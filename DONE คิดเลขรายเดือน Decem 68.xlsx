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-    ส่วน_อก_4   (ยานยนต์)\13.วิภากร ฤทธิสุทธิ์\สรุปภาวะอุตสาหกรรมยานยนต์ ปี 2557-2568\ปี 2568\12. ธันวาคม 2568\"/>
    </mc:Choice>
  </mc:AlternateContent>
  <xr:revisionPtr revIDLastSave="0" documentId="13_ncr:1_{2385F7E0-A333-4E6E-86F8-6C29D9A86692}" xr6:coauthVersionLast="47" xr6:coauthVersionMax="47" xr10:uidLastSave="{00000000-0000-0000-0000-000000000000}"/>
  <bookViews>
    <workbookView xWindow="-120" yWindow="-120" windowWidth="24240" windowHeight="13140" tabRatio="623" xr2:uid="{00000000-000D-0000-FFFF-FFFF00000000}"/>
  </bookViews>
  <sheets>
    <sheet name="ธ.ค.  " sheetId="17" r:id="rId1"/>
    <sheet name="พ.ย. " sheetId="16" r:id="rId2"/>
    <sheet name="ต.ค." sheetId="15" r:id="rId3"/>
    <sheet name="ก.ย." sheetId="14" r:id="rId4"/>
    <sheet name="ส.ค." sheetId="13" r:id="rId5"/>
    <sheet name="ก.ค." sheetId="12" r:id="rId6"/>
    <sheet name="มิ.ย." sheetId="11" r:id="rId7"/>
    <sheet name="พ.ค." sheetId="10" r:id="rId8"/>
    <sheet name="เม.ย." sheetId="9" r:id="rId9"/>
    <sheet name="มี.ค." sheetId="8" r:id="rId10"/>
    <sheet name="ก.พ." sheetId="7" r:id="rId11"/>
    <sheet name="ม.ค." sheetId="6" r:id="rId12"/>
  </sheets>
  <externalReferences>
    <externalReference r:id="rId13"/>
  </externalReferences>
  <definedNames>
    <definedName name="_xlnm.Print_Area" localSheetId="8">เม.ย.!$A$1:$H$33</definedName>
    <definedName name="_xlnm.Print_Area" localSheetId="5">ก.ค.!$A$1:$H$32</definedName>
    <definedName name="_xlnm.Print_Area" localSheetId="10">ก.พ.!$A$1:$H$32</definedName>
    <definedName name="_xlnm.Print_Area" localSheetId="3">ก.ย.!$A$1:$H$32</definedName>
    <definedName name="_xlnm.Print_Area" localSheetId="2">ต.ค.!$A$1:$H$33</definedName>
    <definedName name="_xlnm.Print_Area" localSheetId="0">'ธ.ค.  '!$A$1:$H$33</definedName>
    <definedName name="_xlnm.Print_Area" localSheetId="7">พ.ค.!$A$1:$H$32</definedName>
    <definedName name="_xlnm.Print_Area" localSheetId="1">'พ.ย. '!$A$1:$H$34</definedName>
    <definedName name="_xlnm.Print_Area" localSheetId="11">ม.ค.!$A$1:$H$32</definedName>
    <definedName name="_xlnm.Print_Area" localSheetId="6">มิ.ย.!$A$1:$H$32</definedName>
    <definedName name="_xlnm.Print_Area" localSheetId="9">มี.ค.!$A$1:$H$33</definedName>
    <definedName name="_xlnm.Print_Area" localSheetId="4">ส.ค.!$A$1:$H$33</definedName>
  </definedNames>
  <calcPr calcId="191029"/>
</workbook>
</file>

<file path=xl/calcChain.xml><?xml version="1.0" encoding="utf-8"?>
<calcChain xmlns="http://schemas.openxmlformats.org/spreadsheetml/2006/main">
  <c r="H26" i="17" l="1"/>
  <c r="E22" i="17"/>
  <c r="C56" i="17" l="1"/>
  <c r="E56" i="17" s="1"/>
  <c r="E54" i="17"/>
  <c r="E53" i="17"/>
  <c r="E52" i="17"/>
  <c r="C30" i="17" l="1"/>
  <c r="C27" i="17"/>
  <c r="C25" i="17"/>
  <c r="H6" i="16"/>
  <c r="H7" i="16"/>
  <c r="G8" i="16"/>
  <c r="D8" i="16"/>
  <c r="D15" i="16"/>
  <c r="D27" i="16"/>
  <c r="D30" i="16"/>
  <c r="D25" i="16"/>
  <c r="H32" i="16"/>
  <c r="E32" i="16"/>
  <c r="H31" i="16"/>
  <c r="E31" i="16"/>
  <c r="H30" i="16"/>
  <c r="E30" i="16"/>
  <c r="H29" i="16"/>
  <c r="E29" i="16"/>
  <c r="H28" i="16"/>
  <c r="E28" i="16"/>
  <c r="H27" i="16"/>
  <c r="E27" i="16"/>
  <c r="H26" i="16"/>
  <c r="E26" i="16"/>
  <c r="H25" i="16"/>
  <c r="E25" i="16"/>
  <c r="H24" i="16"/>
  <c r="E24" i="16"/>
  <c r="H23" i="16"/>
  <c r="E23" i="16"/>
  <c r="H22" i="16"/>
  <c r="E22" i="16"/>
  <c r="H18" i="16"/>
  <c r="E18" i="16"/>
  <c r="H17" i="16"/>
  <c r="E17" i="16"/>
  <c r="H16" i="16"/>
  <c r="E16" i="16"/>
  <c r="H15" i="16"/>
  <c r="E15" i="16"/>
  <c r="H14" i="16"/>
  <c r="E14" i="16"/>
  <c r="H13" i="16"/>
  <c r="E13" i="16"/>
  <c r="H12" i="16"/>
  <c r="E12" i="16"/>
  <c r="H11" i="16"/>
  <c r="E11" i="16"/>
  <c r="H10" i="16"/>
  <c r="E10" i="16"/>
  <c r="H8" i="16"/>
  <c r="E8" i="16"/>
  <c r="E6" i="16"/>
  <c r="H5" i="16"/>
  <c r="E5" i="16"/>
  <c r="H4" i="16"/>
  <c r="E4" i="16"/>
  <c r="H3" i="16"/>
  <c r="E3" i="16"/>
  <c r="D15" i="15"/>
  <c r="E6" i="15"/>
  <c r="E7" i="15"/>
  <c r="D8" i="15"/>
  <c r="E8" i="15" s="1"/>
  <c r="E14" i="15"/>
  <c r="H18" i="15"/>
  <c r="E18" i="15"/>
  <c r="H17" i="15"/>
  <c r="E17" i="15"/>
  <c r="H16" i="15"/>
  <c r="E16" i="15"/>
  <c r="H15" i="15"/>
  <c r="E15" i="15"/>
  <c r="H14" i="15"/>
  <c r="B14" i="15"/>
  <c r="H13" i="15"/>
  <c r="E13" i="15"/>
  <c r="H12" i="15"/>
  <c r="E12" i="15"/>
  <c r="H11" i="15"/>
  <c r="E11" i="15"/>
  <c r="H10" i="15"/>
  <c r="E10" i="15"/>
  <c r="H8" i="15"/>
  <c r="H7" i="15"/>
  <c r="H5" i="15"/>
  <c r="E5" i="15"/>
  <c r="H4" i="15"/>
  <c r="E4" i="15"/>
  <c r="H3" i="15"/>
  <c r="E3" i="15"/>
  <c r="D27" i="15"/>
  <c r="H32" i="15" l="1"/>
  <c r="E32" i="15"/>
  <c r="H31" i="15"/>
  <c r="E31" i="15"/>
  <c r="H30" i="15"/>
  <c r="E30" i="15"/>
  <c r="H29" i="15"/>
  <c r="E29" i="15"/>
  <c r="H28" i="15"/>
  <c r="E28" i="15"/>
  <c r="H27" i="15"/>
  <c r="E27" i="15"/>
  <c r="H26" i="15"/>
  <c r="E26" i="15"/>
  <c r="H25" i="15"/>
  <c r="H24" i="15"/>
  <c r="E24" i="15"/>
  <c r="H23" i="15"/>
  <c r="H22" i="15"/>
  <c r="E22" i="15"/>
  <c r="D27" i="14"/>
  <c r="D30" i="14"/>
  <c r="D15" i="14" l="1"/>
  <c r="D23" i="14"/>
  <c r="H32" i="14" l="1"/>
  <c r="E32" i="14"/>
  <c r="H31" i="14"/>
  <c r="E31" i="14"/>
  <c r="H30" i="14"/>
  <c r="E30" i="14"/>
  <c r="H29" i="14"/>
  <c r="E29" i="14"/>
  <c r="H28" i="14"/>
  <c r="E28" i="14"/>
  <c r="H27" i="14"/>
  <c r="E27" i="14"/>
  <c r="H26" i="14"/>
  <c r="E26" i="14"/>
  <c r="H25" i="14"/>
  <c r="E25" i="14"/>
  <c r="H24" i="14"/>
  <c r="E24" i="14"/>
  <c r="H23" i="14"/>
  <c r="E23" i="14"/>
  <c r="H22" i="14"/>
  <c r="E22" i="14"/>
  <c r="H18" i="14"/>
  <c r="E18" i="14"/>
  <c r="H17" i="14"/>
  <c r="E17" i="14"/>
  <c r="H16" i="14"/>
  <c r="E16" i="14"/>
  <c r="H15" i="14"/>
  <c r="E15" i="14"/>
  <c r="H14" i="14"/>
  <c r="E14" i="14"/>
  <c r="H13" i="14"/>
  <c r="E13" i="14"/>
  <c r="H12" i="14"/>
  <c r="E12" i="14"/>
  <c r="H11" i="14"/>
  <c r="E11" i="14"/>
  <c r="H10" i="14"/>
  <c r="E10" i="14"/>
  <c r="H8" i="14"/>
  <c r="E8" i="14"/>
  <c r="H7" i="14"/>
  <c r="E7" i="14"/>
  <c r="H6" i="14"/>
  <c r="E6" i="14"/>
  <c r="H5" i="14"/>
  <c r="E5" i="14"/>
  <c r="H4" i="14"/>
  <c r="E4" i="14"/>
  <c r="H3" i="14"/>
  <c r="E3" i="14"/>
  <c r="D15" i="13" l="1"/>
  <c r="E15" i="13" s="1"/>
  <c r="D27" i="13"/>
  <c r="D25" i="13"/>
  <c r="H32" i="13"/>
  <c r="E32" i="13"/>
  <c r="H31" i="13"/>
  <c r="E31" i="13"/>
  <c r="H30" i="13"/>
  <c r="E30" i="13"/>
  <c r="H29" i="13"/>
  <c r="E29" i="13"/>
  <c r="H28" i="13"/>
  <c r="E28" i="13"/>
  <c r="H27" i="13"/>
  <c r="E27" i="13"/>
  <c r="H26" i="13"/>
  <c r="E26" i="13"/>
  <c r="H25" i="13"/>
  <c r="E25" i="13"/>
  <c r="H24" i="13"/>
  <c r="E24" i="13"/>
  <c r="H23" i="13"/>
  <c r="E23" i="13"/>
  <c r="H22" i="13"/>
  <c r="E22" i="13"/>
  <c r="H18" i="13"/>
  <c r="E18" i="13"/>
  <c r="H17" i="13"/>
  <c r="E17" i="13"/>
  <c r="H16" i="13"/>
  <c r="E16" i="13"/>
  <c r="H15" i="13"/>
  <c r="H14" i="13"/>
  <c r="E14" i="13"/>
  <c r="H13" i="13"/>
  <c r="E13" i="13"/>
  <c r="H12" i="13"/>
  <c r="E12" i="13"/>
  <c r="H11" i="13"/>
  <c r="E11" i="13"/>
  <c r="H10" i="13"/>
  <c r="E10" i="13"/>
  <c r="H8" i="13"/>
  <c r="E8" i="13"/>
  <c r="H7" i="13"/>
  <c r="E7" i="13"/>
  <c r="H6" i="13"/>
  <c r="E6" i="13"/>
  <c r="H5" i="13"/>
  <c r="E5" i="13"/>
  <c r="H4" i="13"/>
  <c r="E4" i="13"/>
  <c r="H3" i="13"/>
  <c r="E3" i="13"/>
  <c r="H32" i="12"/>
  <c r="G26" i="12"/>
  <c r="D27" i="12"/>
  <c r="D15" i="12" l="1"/>
  <c r="E15" i="12" s="1"/>
  <c r="D25" i="12"/>
  <c r="E32" i="12"/>
  <c r="H31" i="12"/>
  <c r="E31" i="12"/>
  <c r="H30" i="12"/>
  <c r="E30" i="12"/>
  <c r="H29" i="12"/>
  <c r="E29" i="12"/>
  <c r="H28" i="12"/>
  <c r="E28" i="12"/>
  <c r="H27" i="12"/>
  <c r="E27" i="12"/>
  <c r="H26" i="12"/>
  <c r="E26" i="12"/>
  <c r="H25" i="12"/>
  <c r="E25" i="12"/>
  <c r="H24" i="12"/>
  <c r="E24" i="12"/>
  <c r="H23" i="12"/>
  <c r="E23" i="12"/>
  <c r="H22" i="12"/>
  <c r="E22" i="12"/>
  <c r="H18" i="12"/>
  <c r="E18" i="12"/>
  <c r="H17" i="12"/>
  <c r="E17" i="12"/>
  <c r="H16" i="12"/>
  <c r="E16" i="12"/>
  <c r="H15" i="12"/>
  <c r="H14" i="12"/>
  <c r="E14" i="12"/>
  <c r="H13" i="12"/>
  <c r="E13" i="12"/>
  <c r="H12" i="12"/>
  <c r="E12" i="12"/>
  <c r="H11" i="12"/>
  <c r="E11" i="12"/>
  <c r="H10" i="12"/>
  <c r="E10" i="12"/>
  <c r="H8" i="12"/>
  <c r="E8" i="12"/>
  <c r="H7" i="12"/>
  <c r="E7" i="12"/>
  <c r="H6" i="12"/>
  <c r="E6" i="12"/>
  <c r="H5" i="12"/>
  <c r="E5" i="12"/>
  <c r="H4" i="12"/>
  <c r="E4" i="12"/>
  <c r="H3" i="12"/>
  <c r="E3" i="12"/>
  <c r="D23" i="11"/>
  <c r="D15" i="11"/>
  <c r="D8" i="11"/>
  <c r="D30" i="11"/>
  <c r="D27" i="11" s="1"/>
  <c r="D25" i="11" l="1"/>
  <c r="E25" i="11" s="1"/>
  <c r="H32" i="11"/>
  <c r="E32" i="11"/>
  <c r="H31" i="11"/>
  <c r="E31" i="11"/>
  <c r="H30" i="11"/>
  <c r="E30" i="11"/>
  <c r="H29" i="11"/>
  <c r="E29" i="11"/>
  <c r="H28" i="11"/>
  <c r="E28" i="11"/>
  <c r="H27" i="11"/>
  <c r="E27" i="11"/>
  <c r="H26" i="11"/>
  <c r="E26" i="11"/>
  <c r="H25" i="11"/>
  <c r="H24" i="11"/>
  <c r="E24" i="11"/>
  <c r="H23" i="11"/>
  <c r="E23" i="11"/>
  <c r="H22" i="11"/>
  <c r="E22" i="11"/>
  <c r="H18" i="11"/>
  <c r="E18" i="11"/>
  <c r="H17" i="11"/>
  <c r="E17" i="11"/>
  <c r="H16" i="11"/>
  <c r="E16" i="11"/>
  <c r="H15" i="11"/>
  <c r="E15" i="11"/>
  <c r="H14" i="11"/>
  <c r="E14" i="11"/>
  <c r="H13" i="11"/>
  <c r="E13" i="11"/>
  <c r="H12" i="11"/>
  <c r="E12" i="11"/>
  <c r="H11" i="11"/>
  <c r="E11" i="11"/>
  <c r="H10" i="11"/>
  <c r="E10" i="11"/>
  <c r="H8" i="11"/>
  <c r="E8" i="11"/>
  <c r="H7" i="11"/>
  <c r="E7" i="11"/>
  <c r="H6" i="11"/>
  <c r="E6" i="11"/>
  <c r="H5" i="11"/>
  <c r="E5" i="11"/>
  <c r="H4" i="11"/>
  <c r="E4" i="11"/>
  <c r="H3" i="11"/>
  <c r="E3" i="11"/>
  <c r="D15" i="10"/>
  <c r="C27" i="10"/>
  <c r="C25" i="10"/>
  <c r="G23" i="10"/>
  <c r="G24" i="10"/>
  <c r="G26" i="10"/>
  <c r="G28" i="10"/>
  <c r="G29" i="10"/>
  <c r="G31" i="10"/>
  <c r="G22" i="10"/>
  <c r="D30" i="10"/>
  <c r="G30" i="10" s="1"/>
  <c r="D27" i="10" l="1"/>
  <c r="G27" i="10" s="1"/>
  <c r="D25" i="10"/>
  <c r="H32" i="10"/>
  <c r="E32" i="10"/>
  <c r="H31" i="10"/>
  <c r="E31" i="10"/>
  <c r="H30" i="10"/>
  <c r="E30" i="10"/>
  <c r="H29" i="10"/>
  <c r="E29" i="10"/>
  <c r="H28" i="10"/>
  <c r="E28" i="10"/>
  <c r="H27" i="10"/>
  <c r="E27" i="10"/>
  <c r="H26" i="10"/>
  <c r="E26" i="10"/>
  <c r="H24" i="10"/>
  <c r="E24" i="10"/>
  <c r="H23" i="10"/>
  <c r="E23" i="10"/>
  <c r="H22" i="10"/>
  <c r="E22" i="10"/>
  <c r="H18" i="10"/>
  <c r="E18" i="10"/>
  <c r="H17" i="10"/>
  <c r="E17" i="10"/>
  <c r="H16" i="10"/>
  <c r="E16" i="10"/>
  <c r="H15" i="10"/>
  <c r="E15" i="10"/>
  <c r="H14" i="10"/>
  <c r="E14" i="10"/>
  <c r="H13" i="10"/>
  <c r="E13" i="10"/>
  <c r="H12" i="10"/>
  <c r="E12" i="10"/>
  <c r="H11" i="10"/>
  <c r="E11" i="10"/>
  <c r="H10" i="10"/>
  <c r="E10" i="10"/>
  <c r="H8" i="10"/>
  <c r="E8" i="10"/>
  <c r="H7" i="10"/>
  <c r="E7" i="10"/>
  <c r="H6" i="10"/>
  <c r="E6" i="10"/>
  <c r="H5" i="10"/>
  <c r="E5" i="10"/>
  <c r="H4" i="10"/>
  <c r="E4" i="10"/>
  <c r="H3" i="10"/>
  <c r="E3" i="10"/>
  <c r="D27" i="9"/>
  <c r="G27" i="9" s="1"/>
  <c r="D15" i="9"/>
  <c r="D8" i="9"/>
  <c r="G3" i="9"/>
  <c r="G28" i="9"/>
  <c r="G29" i="9"/>
  <c r="G30" i="9"/>
  <c r="G31" i="9"/>
  <c r="G32" i="9"/>
  <c r="E26" i="9"/>
  <c r="G26" i="9" l="1"/>
  <c r="E25" i="10"/>
  <c r="G25" i="10"/>
  <c r="H25" i="10" s="1"/>
  <c r="H6" i="9"/>
  <c r="D25" i="9" l="1"/>
  <c r="E25" i="9" s="1"/>
  <c r="H32" i="9"/>
  <c r="E32" i="9"/>
  <c r="H31" i="9"/>
  <c r="E31" i="9"/>
  <c r="H30" i="9"/>
  <c r="E30" i="9"/>
  <c r="H29" i="9"/>
  <c r="E29" i="9"/>
  <c r="H28" i="9"/>
  <c r="E28" i="9"/>
  <c r="H27" i="9"/>
  <c r="E27" i="9"/>
  <c r="H26" i="9"/>
  <c r="H25" i="9"/>
  <c r="H24" i="9"/>
  <c r="E24" i="9"/>
  <c r="H23" i="9"/>
  <c r="E23" i="9"/>
  <c r="H22" i="9"/>
  <c r="E22" i="9"/>
  <c r="H18" i="9"/>
  <c r="E18" i="9"/>
  <c r="H17" i="9"/>
  <c r="E17" i="9"/>
  <c r="H16" i="9"/>
  <c r="E16" i="9"/>
  <c r="H15" i="9"/>
  <c r="E15" i="9"/>
  <c r="H14" i="9"/>
  <c r="E14" i="9"/>
  <c r="H13" i="9"/>
  <c r="E13" i="9"/>
  <c r="H12" i="9"/>
  <c r="E12" i="9"/>
  <c r="H11" i="9"/>
  <c r="E11" i="9"/>
  <c r="H10" i="9"/>
  <c r="E10" i="9"/>
  <c r="H8" i="9"/>
  <c r="E8" i="9"/>
  <c r="H7" i="9"/>
  <c r="E7" i="9"/>
  <c r="E6" i="9"/>
  <c r="H5" i="9"/>
  <c r="E5" i="9"/>
  <c r="H4" i="9"/>
  <c r="E4" i="9"/>
  <c r="H3" i="9"/>
  <c r="E3" i="9"/>
  <c r="D30" i="8" l="1"/>
  <c r="D27" i="8" s="1"/>
  <c r="D15" i="8"/>
  <c r="D8" i="8"/>
  <c r="E8" i="8" s="1"/>
  <c r="D25" i="8"/>
  <c r="G25" i="8" s="1"/>
  <c r="H25" i="8" s="1"/>
  <c r="G26" i="8"/>
  <c r="G23" i="8"/>
  <c r="H23" i="8" s="1"/>
  <c r="G24" i="8"/>
  <c r="H24" i="8" s="1"/>
  <c r="G28" i="8"/>
  <c r="H28" i="8" s="1"/>
  <c r="G29" i="8"/>
  <c r="H29" i="8" s="1"/>
  <c r="G30" i="8"/>
  <c r="H30" i="8" s="1"/>
  <c r="G31" i="8"/>
  <c r="H31" i="8" s="1"/>
  <c r="G32" i="8"/>
  <c r="H32" i="8" s="1"/>
  <c r="G22" i="8"/>
  <c r="H22" i="8" s="1"/>
  <c r="G10" i="8"/>
  <c r="H10" i="8" s="1"/>
  <c r="G11" i="8"/>
  <c r="H11" i="8" s="1"/>
  <c r="G12" i="8"/>
  <c r="H12" i="8" s="1"/>
  <c r="G13" i="8"/>
  <c r="G14" i="8"/>
  <c r="H14" i="8" s="1"/>
  <c r="G15" i="8"/>
  <c r="H15" i="8" s="1"/>
  <c r="G16" i="8"/>
  <c r="H16" i="8" s="1"/>
  <c r="G17" i="8"/>
  <c r="H17" i="8" s="1"/>
  <c r="G18" i="8"/>
  <c r="H18" i="8" s="1"/>
  <c r="G9" i="8"/>
  <c r="G4" i="8"/>
  <c r="H4" i="8" s="1"/>
  <c r="G5" i="8"/>
  <c r="H5" i="8" s="1"/>
  <c r="G6" i="8"/>
  <c r="H6" i="8" s="1"/>
  <c r="G7" i="8"/>
  <c r="H7" i="8" s="1"/>
  <c r="G3" i="8"/>
  <c r="H3" i="8" s="1"/>
  <c r="E32" i="8"/>
  <c r="E31" i="8"/>
  <c r="E30" i="8"/>
  <c r="E29" i="8"/>
  <c r="E28" i="8"/>
  <c r="H26" i="8"/>
  <c r="E26" i="8"/>
  <c r="E24" i="8"/>
  <c r="E23" i="8"/>
  <c r="E22" i="8"/>
  <c r="E18" i="8"/>
  <c r="E17" i="8"/>
  <c r="E16" i="8"/>
  <c r="E15" i="8"/>
  <c r="E14" i="8"/>
  <c r="H13" i="8"/>
  <c r="E13" i="8"/>
  <c r="E12" i="8"/>
  <c r="E11" i="8"/>
  <c r="E10" i="8"/>
  <c r="E7" i="8"/>
  <c r="E6" i="8"/>
  <c r="E5" i="8"/>
  <c r="E4" i="8"/>
  <c r="E3" i="8"/>
  <c r="H3" i="7"/>
  <c r="H7" i="7"/>
  <c r="G8" i="8" l="1"/>
  <c r="H8" i="8" s="1"/>
  <c r="G27" i="8"/>
  <c r="H27" i="8" s="1"/>
  <c r="E27" i="8"/>
  <c r="E25" i="8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18" i="7"/>
  <c r="E18" i="7"/>
  <c r="H17" i="7"/>
  <c r="E17" i="7"/>
  <c r="H16" i="7"/>
  <c r="E16" i="7"/>
  <c r="H15" i="7"/>
  <c r="E15" i="7"/>
  <c r="H14" i="7"/>
  <c r="E14" i="7"/>
  <c r="H13" i="7"/>
  <c r="E13" i="7"/>
  <c r="H12" i="7"/>
  <c r="E12" i="7"/>
  <c r="H11" i="7"/>
  <c r="E11" i="7"/>
  <c r="H10" i="7"/>
  <c r="E10" i="7"/>
  <c r="H8" i="7"/>
  <c r="E8" i="7"/>
  <c r="E7" i="7"/>
  <c r="E6" i="7"/>
  <c r="H5" i="7"/>
  <c r="E5" i="7"/>
  <c r="H4" i="7"/>
  <c r="E4" i="7"/>
  <c r="E3" i="7"/>
  <c r="H6" i="6"/>
  <c r="H32" i="6" l="1"/>
  <c r="E32" i="6"/>
  <c r="H31" i="6"/>
  <c r="E31" i="6"/>
  <c r="H30" i="6"/>
  <c r="E30" i="6"/>
  <c r="H29" i="6"/>
  <c r="E29" i="6"/>
  <c r="H28" i="6"/>
  <c r="E28" i="6"/>
  <c r="H27" i="6"/>
  <c r="E27" i="6"/>
  <c r="H26" i="6"/>
  <c r="E26" i="6"/>
  <c r="H25" i="6"/>
  <c r="E25" i="6"/>
  <c r="H24" i="6"/>
  <c r="E24" i="6"/>
  <c r="H23" i="6"/>
  <c r="E23" i="6"/>
  <c r="H22" i="6"/>
  <c r="E22" i="6"/>
  <c r="U22" i="6"/>
  <c r="X22" i="6"/>
  <c r="U23" i="6"/>
  <c r="X23" i="6"/>
  <c r="U24" i="6"/>
  <c r="X24" i="6"/>
  <c r="U25" i="6"/>
  <c r="X25" i="6"/>
  <c r="U26" i="6"/>
  <c r="X26" i="6"/>
  <c r="U27" i="6"/>
  <c r="X27" i="6"/>
  <c r="U28" i="6"/>
  <c r="X28" i="6"/>
  <c r="U29" i="6"/>
  <c r="X29" i="6"/>
  <c r="U30" i="6"/>
  <c r="X30" i="6"/>
  <c r="U31" i="6"/>
  <c r="X31" i="6"/>
  <c r="U32" i="6"/>
  <c r="X32" i="6"/>
  <c r="H18" i="6"/>
  <c r="E18" i="6"/>
  <c r="H17" i="6"/>
  <c r="E17" i="6"/>
  <c r="H16" i="6"/>
  <c r="E16" i="6"/>
  <c r="H15" i="6"/>
  <c r="E15" i="6"/>
  <c r="H14" i="6"/>
  <c r="E14" i="6"/>
  <c r="H13" i="6"/>
  <c r="E13" i="6"/>
  <c r="H12" i="6"/>
  <c r="E12" i="6"/>
  <c r="H11" i="6"/>
  <c r="E11" i="6"/>
  <c r="H10" i="6"/>
  <c r="E10" i="6"/>
  <c r="H8" i="6"/>
  <c r="E8" i="6"/>
  <c r="H7" i="6"/>
  <c r="E7" i="6"/>
  <c r="E6" i="6"/>
  <c r="H5" i="6"/>
  <c r="E5" i="6"/>
  <c r="H4" i="6"/>
  <c r="E4" i="6"/>
  <c r="H3" i="6"/>
  <c r="E3" i="6"/>
  <c r="M22" i="6"/>
  <c r="P22" i="6"/>
  <c r="M23" i="6"/>
  <c r="P23" i="6"/>
  <c r="M24" i="6"/>
  <c r="P24" i="6"/>
  <c r="M25" i="6"/>
  <c r="P25" i="6"/>
  <c r="M26" i="6"/>
  <c r="P26" i="6"/>
  <c r="M27" i="6"/>
  <c r="P27" i="6"/>
  <c r="M28" i="6"/>
  <c r="P28" i="6"/>
  <c r="M29" i="6"/>
  <c r="P29" i="6"/>
  <c r="M30" i="6"/>
  <c r="P30" i="6"/>
  <c r="M31" i="6"/>
  <c r="P31" i="6"/>
  <c r="M32" i="6"/>
  <c r="P32" i="6"/>
  <c r="CJ31" i="6"/>
  <c r="CK31" i="6" s="1"/>
  <c r="CF31" i="6"/>
  <c r="CH31" i="6" s="1"/>
  <c r="CJ30" i="6"/>
  <c r="CK30" i="6" s="1"/>
  <c r="CF30" i="6"/>
  <c r="CH30" i="6" s="1"/>
  <c r="CJ29" i="6"/>
  <c r="BZ29" i="6" s="1"/>
  <c r="CB29" i="6" s="1"/>
  <c r="CI29" i="6"/>
  <c r="CF29" i="6"/>
  <c r="CH29" i="6" s="1"/>
  <c r="CJ28" i="6"/>
  <c r="CJ27" i="6"/>
  <c r="BZ27" i="6" s="1"/>
  <c r="CB27" i="6" s="1"/>
  <c r="CI27" i="6"/>
  <c r="CF27" i="6"/>
  <c r="CH27" i="6" s="1"/>
  <c r="CJ26" i="6"/>
  <c r="BZ26" i="6" s="1"/>
  <c r="CB26" i="6" s="1"/>
  <c r="CF26" i="6"/>
  <c r="CH26" i="6" s="1"/>
  <c r="CJ25" i="6"/>
  <c r="BZ25" i="6" s="1"/>
  <c r="CB25" i="6" s="1"/>
  <c r="CI24" i="6"/>
  <c r="CG24" i="6"/>
  <c r="CJ24" i="6" s="1"/>
  <c r="CF24" i="6"/>
  <c r="CI23" i="6"/>
  <c r="CG23" i="6"/>
  <c r="CJ23" i="6" s="1"/>
  <c r="CF23" i="6"/>
  <c r="CJ22" i="6"/>
  <c r="CK22" i="6" s="1"/>
  <c r="CF22" i="6"/>
  <c r="CH22" i="6" s="1"/>
  <c r="CJ21" i="6"/>
  <c r="CF21" i="6"/>
  <c r="CH21" i="6" s="1"/>
  <c r="BY31" i="6"/>
  <c r="BY30" i="6"/>
  <c r="BY29" i="6"/>
  <c r="BY28" i="6"/>
  <c r="BY27" i="6"/>
  <c r="BY26" i="6"/>
  <c r="BY25" i="6"/>
  <c r="CB24" i="6"/>
  <c r="BY24" i="6"/>
  <c r="CB23" i="6"/>
  <c r="BY23" i="6"/>
  <c r="CB22" i="6"/>
  <c r="BY22" i="6"/>
  <c r="CB21" i="6"/>
  <c r="BY21" i="6"/>
  <c r="BQ22" i="6"/>
  <c r="BT22" i="6"/>
  <c r="BQ23" i="6"/>
  <c r="BT23" i="6"/>
  <c r="BQ24" i="6"/>
  <c r="BT24" i="6"/>
  <c r="BQ25" i="6"/>
  <c r="BT25" i="6"/>
  <c r="BQ26" i="6"/>
  <c r="BT26" i="6"/>
  <c r="BQ27" i="6"/>
  <c r="BT27" i="6"/>
  <c r="BQ28" i="6"/>
  <c r="BT28" i="6"/>
  <c r="BQ29" i="6"/>
  <c r="BT29" i="6"/>
  <c r="BQ30" i="6"/>
  <c r="BT30" i="6"/>
  <c r="BQ31" i="6"/>
  <c r="BT31" i="6"/>
  <c r="BQ32" i="6"/>
  <c r="BT32" i="6"/>
  <c r="BA22" i="6"/>
  <c r="BD22" i="6"/>
  <c r="BI22" i="6"/>
  <c r="BL22" i="6"/>
  <c r="BA23" i="6"/>
  <c r="BD23" i="6"/>
  <c r="BI23" i="6"/>
  <c r="BL23" i="6"/>
  <c r="BA24" i="6"/>
  <c r="BD24" i="6"/>
  <c r="BI24" i="6"/>
  <c r="BL24" i="6"/>
  <c r="BA25" i="6"/>
  <c r="BD25" i="6"/>
  <c r="BI25" i="6"/>
  <c r="BL25" i="6"/>
  <c r="BA26" i="6"/>
  <c r="BD26" i="6"/>
  <c r="BI26" i="6"/>
  <c r="BL26" i="6"/>
  <c r="BA27" i="6"/>
  <c r="BD27" i="6"/>
  <c r="BI27" i="6"/>
  <c r="BL27" i="6"/>
  <c r="BA28" i="6"/>
  <c r="BD28" i="6"/>
  <c r="BI28" i="6"/>
  <c r="BL28" i="6"/>
  <c r="BA29" i="6"/>
  <c r="BD29" i="6"/>
  <c r="BI29" i="6"/>
  <c r="BL29" i="6"/>
  <c r="BA30" i="6"/>
  <c r="BD30" i="6"/>
  <c r="BI30" i="6"/>
  <c r="BL30" i="6"/>
  <c r="BA31" i="6"/>
  <c r="BD31" i="6"/>
  <c r="BI31" i="6"/>
  <c r="BL31" i="6"/>
  <c r="BA32" i="6"/>
  <c r="BD32" i="6"/>
  <c r="BI32" i="6"/>
  <c r="BL32" i="6"/>
  <c r="AK22" i="6"/>
  <c r="AN22" i="6"/>
  <c r="AS22" i="6"/>
  <c r="AV22" i="6"/>
  <c r="AK23" i="6"/>
  <c r="AN23" i="6"/>
  <c r="AS23" i="6"/>
  <c r="AV23" i="6"/>
  <c r="AK24" i="6"/>
  <c r="AN24" i="6"/>
  <c r="AS24" i="6"/>
  <c r="AV24" i="6"/>
  <c r="AK25" i="6"/>
  <c r="AN25" i="6"/>
  <c r="AS25" i="6"/>
  <c r="AV25" i="6"/>
  <c r="AK26" i="6"/>
  <c r="AN26" i="6"/>
  <c r="AS26" i="6"/>
  <c r="AV26" i="6"/>
  <c r="AK27" i="6"/>
  <c r="AN27" i="6"/>
  <c r="AS27" i="6"/>
  <c r="AV27" i="6"/>
  <c r="AK28" i="6"/>
  <c r="AN28" i="6"/>
  <c r="AS28" i="6"/>
  <c r="AV28" i="6"/>
  <c r="AK29" i="6"/>
  <c r="AN29" i="6"/>
  <c r="AS29" i="6"/>
  <c r="AV29" i="6"/>
  <c r="AK30" i="6"/>
  <c r="AN30" i="6"/>
  <c r="AS30" i="6"/>
  <c r="AV30" i="6"/>
  <c r="AK31" i="6"/>
  <c r="AN31" i="6"/>
  <c r="AS31" i="6"/>
  <c r="AV31" i="6"/>
  <c r="AK32" i="6"/>
  <c r="AN32" i="6"/>
  <c r="AS32" i="6"/>
  <c r="AV32" i="6"/>
  <c r="AC22" i="6"/>
  <c r="AF22" i="6"/>
  <c r="AC23" i="6"/>
  <c r="AF23" i="6"/>
  <c r="AC24" i="6"/>
  <c r="AF24" i="6"/>
  <c r="AC25" i="6"/>
  <c r="AF25" i="6"/>
  <c r="AC26" i="6"/>
  <c r="AF26" i="6"/>
  <c r="AC27" i="6"/>
  <c r="AF27" i="6"/>
  <c r="AC28" i="6"/>
  <c r="AF28" i="6"/>
  <c r="AC29" i="6"/>
  <c r="AF29" i="6"/>
  <c r="AC30" i="6"/>
  <c r="AF30" i="6"/>
  <c r="AC31" i="6"/>
  <c r="AF31" i="6"/>
  <c r="AC32" i="6"/>
  <c r="AF32" i="6"/>
  <c r="H5" i="17"/>
  <c r="CI28" i="6" l="1"/>
  <c r="CI25" i="6" s="1"/>
  <c r="CK25" i="6" s="1"/>
  <c r="CH24" i="6"/>
  <c r="CI21" i="6"/>
  <c r="CK21" i="6" s="1"/>
  <c r="CK23" i="6"/>
  <c r="CH23" i="6"/>
  <c r="CK26" i="6"/>
  <c r="CK24" i="6"/>
  <c r="CK27" i="6"/>
  <c r="CK29" i="6"/>
  <c r="BZ28" i="6"/>
  <c r="CB28" i="6" s="1"/>
  <c r="BZ31" i="6"/>
  <c r="CB31" i="6" s="1"/>
  <c r="BZ30" i="6"/>
  <c r="CB30" i="6" s="1"/>
  <c r="M27" i="16"/>
  <c r="P32" i="17"/>
  <c r="M32" i="17"/>
  <c r="P31" i="17"/>
  <c r="M31" i="17"/>
  <c r="P30" i="17"/>
  <c r="M30" i="17"/>
  <c r="P29" i="17"/>
  <c r="M29" i="17"/>
  <c r="P28" i="17"/>
  <c r="M28" i="17"/>
  <c r="P27" i="17"/>
  <c r="M27" i="17"/>
  <c r="N26" i="17"/>
  <c r="P26" i="17" s="1"/>
  <c r="M26" i="17"/>
  <c r="P25" i="17"/>
  <c r="M25" i="17"/>
  <c r="P24" i="17"/>
  <c r="M24" i="17"/>
  <c r="P23" i="17"/>
  <c r="M23" i="17"/>
  <c r="P22" i="17"/>
  <c r="M22" i="17"/>
  <c r="P18" i="17"/>
  <c r="M18" i="17"/>
  <c r="P17" i="17"/>
  <c r="M17" i="17"/>
  <c r="P16" i="17"/>
  <c r="M16" i="17"/>
  <c r="P15" i="17"/>
  <c r="M15" i="17"/>
  <c r="P14" i="17"/>
  <c r="M14" i="17"/>
  <c r="P13" i="17"/>
  <c r="M13" i="17"/>
  <c r="P12" i="17"/>
  <c r="M12" i="17"/>
  <c r="P11" i="17"/>
  <c r="M11" i="17"/>
  <c r="P10" i="17"/>
  <c r="M10" i="17"/>
  <c r="P8" i="17"/>
  <c r="M8" i="17"/>
  <c r="P7" i="17"/>
  <c r="M7" i="17"/>
  <c r="P6" i="17"/>
  <c r="M6" i="17"/>
  <c r="P5" i="17"/>
  <c r="M5" i="17"/>
  <c r="P4" i="17"/>
  <c r="M4" i="17"/>
  <c r="P3" i="17"/>
  <c r="M3" i="17"/>
  <c r="U3" i="17"/>
  <c r="X3" i="17"/>
  <c r="U4" i="17"/>
  <c r="X4" i="17"/>
  <c r="U5" i="17"/>
  <c r="X5" i="17"/>
  <c r="U8" i="17"/>
  <c r="X8" i="17"/>
  <c r="U10" i="17"/>
  <c r="X10" i="17"/>
  <c r="U11" i="17"/>
  <c r="X11" i="17"/>
  <c r="U12" i="17"/>
  <c r="X12" i="17"/>
  <c r="U13" i="17"/>
  <c r="X13" i="17"/>
  <c r="U14" i="17"/>
  <c r="X14" i="17"/>
  <c r="U15" i="17"/>
  <c r="X15" i="17"/>
  <c r="U16" i="17"/>
  <c r="X16" i="17"/>
  <c r="U17" i="17"/>
  <c r="X17" i="17"/>
  <c r="U18" i="17"/>
  <c r="X18" i="17"/>
  <c r="U22" i="17"/>
  <c r="X22" i="17"/>
  <c r="U23" i="17"/>
  <c r="X23" i="17"/>
  <c r="U24" i="17"/>
  <c r="X24" i="17"/>
  <c r="U25" i="17"/>
  <c r="X25" i="17"/>
  <c r="U26" i="17"/>
  <c r="V26" i="17"/>
  <c r="W26" i="17"/>
  <c r="U27" i="17"/>
  <c r="X27" i="17"/>
  <c r="U28" i="17"/>
  <c r="X28" i="17"/>
  <c r="U29" i="17"/>
  <c r="X29" i="17"/>
  <c r="U30" i="17"/>
  <c r="X30" i="17"/>
  <c r="U31" i="17"/>
  <c r="X31" i="17"/>
  <c r="U32" i="17"/>
  <c r="X32" i="17"/>
  <c r="X26" i="17" l="1"/>
  <c r="CK28" i="6"/>
  <c r="X32" i="16"/>
  <c r="U32" i="16"/>
  <c r="X31" i="16"/>
  <c r="U31" i="16"/>
  <c r="X30" i="16"/>
  <c r="U30" i="16"/>
  <c r="X29" i="16"/>
  <c r="U29" i="16"/>
  <c r="X28" i="16"/>
  <c r="U28" i="16"/>
  <c r="X27" i="16"/>
  <c r="U27" i="16"/>
  <c r="X26" i="16"/>
  <c r="U26" i="16"/>
  <c r="X25" i="16"/>
  <c r="U25" i="16"/>
  <c r="X24" i="16"/>
  <c r="U24" i="16"/>
  <c r="X23" i="16"/>
  <c r="U23" i="16"/>
  <c r="X22" i="16"/>
  <c r="U22" i="16"/>
  <c r="X18" i="16"/>
  <c r="U18" i="16"/>
  <c r="X17" i="16"/>
  <c r="U17" i="16"/>
  <c r="X16" i="16"/>
  <c r="U16" i="16"/>
  <c r="X15" i="16"/>
  <c r="U15" i="16"/>
  <c r="X14" i="16"/>
  <c r="U14" i="16"/>
  <c r="X13" i="16"/>
  <c r="U13" i="16"/>
  <c r="X12" i="16"/>
  <c r="U12" i="16"/>
  <c r="X11" i="16"/>
  <c r="U11" i="16"/>
  <c r="X10" i="16"/>
  <c r="U10" i="16"/>
  <c r="X8" i="16"/>
  <c r="U8" i="16"/>
  <c r="X6" i="16"/>
  <c r="U6" i="16"/>
  <c r="X5" i="16"/>
  <c r="U5" i="16"/>
  <c r="X4" i="16"/>
  <c r="U4" i="16"/>
  <c r="X3" i="16"/>
  <c r="U3" i="16"/>
  <c r="M16" i="15" l="1"/>
  <c r="M16" i="14"/>
  <c r="M22" i="15" l="1"/>
  <c r="M6" i="14" l="1"/>
  <c r="P6" i="14"/>
  <c r="P7" i="15"/>
  <c r="P5" i="15"/>
  <c r="M5" i="15"/>
  <c r="M7" i="15"/>
  <c r="X32" i="15" l="1"/>
  <c r="U32" i="15"/>
  <c r="X31" i="15"/>
  <c r="U31" i="15"/>
  <c r="X30" i="15"/>
  <c r="U30" i="15"/>
  <c r="X29" i="15"/>
  <c r="U29" i="15"/>
  <c r="X28" i="15"/>
  <c r="U28" i="15"/>
  <c r="X27" i="15"/>
  <c r="U27" i="15"/>
  <c r="X26" i="15"/>
  <c r="U26" i="15"/>
  <c r="X25" i="15"/>
  <c r="U25" i="15"/>
  <c r="X24" i="15"/>
  <c r="U24" i="15"/>
  <c r="X23" i="15"/>
  <c r="U23" i="15"/>
  <c r="X22" i="15"/>
  <c r="U22" i="15"/>
  <c r="X18" i="15"/>
  <c r="U18" i="15"/>
  <c r="X17" i="15"/>
  <c r="U17" i="15"/>
  <c r="X16" i="15"/>
  <c r="U16" i="15"/>
  <c r="X15" i="15"/>
  <c r="U15" i="15"/>
  <c r="X14" i="15"/>
  <c r="U14" i="15"/>
  <c r="R14" i="15"/>
  <c r="X13" i="15"/>
  <c r="U13" i="15"/>
  <c r="X12" i="15"/>
  <c r="U12" i="15"/>
  <c r="X11" i="15"/>
  <c r="U11" i="15"/>
  <c r="X10" i="15"/>
  <c r="U10" i="15"/>
  <c r="X8" i="15"/>
  <c r="U8" i="15"/>
  <c r="X5" i="15"/>
  <c r="U5" i="15"/>
  <c r="X4" i="15"/>
  <c r="U4" i="15"/>
  <c r="X3" i="15"/>
  <c r="U3" i="15"/>
  <c r="AC3" i="15"/>
  <c r="AC4" i="15"/>
  <c r="AC5" i="15"/>
  <c r="AC8" i="15"/>
  <c r="AC10" i="15"/>
  <c r="AC11" i="15"/>
  <c r="AC12" i="15"/>
  <c r="AC13" i="15"/>
  <c r="AC14" i="15"/>
  <c r="AC15" i="15"/>
  <c r="AC16" i="15"/>
  <c r="AC17" i="15"/>
  <c r="AC18" i="15"/>
  <c r="P22" i="15"/>
  <c r="P7" i="14"/>
  <c r="M7" i="14"/>
  <c r="P32" i="14"/>
  <c r="M32" i="14"/>
  <c r="P31" i="14"/>
  <c r="M31" i="14"/>
  <c r="P30" i="14"/>
  <c r="M30" i="14"/>
  <c r="P29" i="14"/>
  <c r="M29" i="14"/>
  <c r="P28" i="14"/>
  <c r="M28" i="14"/>
  <c r="P27" i="14"/>
  <c r="M27" i="14"/>
  <c r="P26" i="14"/>
  <c r="M26" i="14"/>
  <c r="P25" i="14"/>
  <c r="M25" i="14"/>
  <c r="P24" i="14"/>
  <c r="M24" i="14"/>
  <c r="P23" i="14"/>
  <c r="M23" i="14"/>
  <c r="P22" i="14"/>
  <c r="M22" i="14"/>
  <c r="P18" i="14"/>
  <c r="M18" i="14"/>
  <c r="P17" i="14"/>
  <c r="M17" i="14"/>
  <c r="P16" i="14"/>
  <c r="P15" i="14"/>
  <c r="M15" i="14"/>
  <c r="P14" i="14"/>
  <c r="M14" i="14"/>
  <c r="P13" i="14"/>
  <c r="M13" i="14"/>
  <c r="P12" i="14"/>
  <c r="M12" i="14"/>
  <c r="P11" i="14"/>
  <c r="M11" i="14"/>
  <c r="P10" i="14"/>
  <c r="M10" i="14"/>
  <c r="P8" i="14"/>
  <c r="M8" i="14"/>
  <c r="P5" i="14"/>
  <c r="M5" i="14"/>
  <c r="P4" i="14"/>
  <c r="M4" i="14"/>
  <c r="P3" i="14"/>
  <c r="M3" i="14"/>
  <c r="P7" i="13"/>
  <c r="P6" i="13"/>
  <c r="M7" i="13"/>
  <c r="M6" i="13"/>
  <c r="P32" i="13"/>
  <c r="M32" i="13"/>
  <c r="P31" i="13"/>
  <c r="M31" i="13"/>
  <c r="P30" i="13"/>
  <c r="M30" i="13"/>
  <c r="P29" i="13"/>
  <c r="M29" i="13"/>
  <c r="P28" i="13"/>
  <c r="M28" i="13"/>
  <c r="P27" i="13"/>
  <c r="M27" i="13"/>
  <c r="P26" i="13"/>
  <c r="M26" i="13"/>
  <c r="P25" i="13"/>
  <c r="M25" i="13"/>
  <c r="P24" i="13"/>
  <c r="M24" i="13"/>
  <c r="P23" i="13"/>
  <c r="M23" i="13"/>
  <c r="P22" i="13"/>
  <c r="M22" i="13"/>
  <c r="P18" i="13"/>
  <c r="M18" i="13"/>
  <c r="P17" i="13"/>
  <c r="M17" i="13"/>
  <c r="P16" i="13"/>
  <c r="M16" i="13"/>
  <c r="P15" i="13"/>
  <c r="M15" i="13"/>
  <c r="P14" i="13"/>
  <c r="M14" i="13"/>
  <c r="P13" i="13"/>
  <c r="M13" i="13"/>
  <c r="P12" i="13"/>
  <c r="M12" i="13"/>
  <c r="P11" i="13"/>
  <c r="M11" i="13"/>
  <c r="P10" i="13"/>
  <c r="M10" i="13"/>
  <c r="P8" i="13"/>
  <c r="M8" i="13"/>
  <c r="P5" i="13"/>
  <c r="M5" i="13"/>
  <c r="P4" i="13"/>
  <c r="M4" i="13"/>
  <c r="P3" i="13"/>
  <c r="M3" i="13"/>
  <c r="P7" i="12"/>
  <c r="P6" i="12"/>
  <c r="M7" i="12"/>
  <c r="M6" i="12"/>
  <c r="P32" i="12"/>
  <c r="M32" i="12"/>
  <c r="P31" i="12"/>
  <c r="M31" i="12"/>
  <c r="P30" i="12"/>
  <c r="M30" i="12"/>
  <c r="P29" i="12"/>
  <c r="M29" i="12"/>
  <c r="P28" i="12"/>
  <c r="M28" i="12"/>
  <c r="P27" i="12"/>
  <c r="M27" i="12"/>
  <c r="P26" i="12"/>
  <c r="M26" i="12"/>
  <c r="P25" i="12"/>
  <c r="M25" i="12"/>
  <c r="P24" i="12"/>
  <c r="M24" i="12"/>
  <c r="P23" i="12"/>
  <c r="M23" i="12"/>
  <c r="P22" i="12"/>
  <c r="M22" i="12"/>
  <c r="P18" i="12"/>
  <c r="M18" i="12"/>
  <c r="P17" i="12"/>
  <c r="M17" i="12"/>
  <c r="P16" i="12"/>
  <c r="M16" i="12"/>
  <c r="P15" i="12"/>
  <c r="M15" i="12"/>
  <c r="P14" i="12"/>
  <c r="M14" i="12"/>
  <c r="P13" i="12"/>
  <c r="M13" i="12"/>
  <c r="P12" i="12"/>
  <c r="M12" i="12"/>
  <c r="P11" i="12"/>
  <c r="M11" i="12"/>
  <c r="P10" i="12"/>
  <c r="M10" i="12"/>
  <c r="P8" i="12"/>
  <c r="M8" i="12"/>
  <c r="P5" i="12"/>
  <c r="M5" i="12"/>
  <c r="P4" i="12"/>
  <c r="M4" i="12"/>
  <c r="P3" i="12"/>
  <c r="M3" i="12"/>
  <c r="P7" i="11"/>
  <c r="M7" i="11"/>
  <c r="P6" i="11"/>
  <c r="M6" i="11"/>
  <c r="P32" i="11"/>
  <c r="M32" i="11"/>
  <c r="P31" i="11"/>
  <c r="M31" i="11"/>
  <c r="P30" i="11"/>
  <c r="M30" i="11"/>
  <c r="P29" i="11"/>
  <c r="M29" i="11"/>
  <c r="P28" i="11"/>
  <c r="M28" i="11"/>
  <c r="P27" i="11"/>
  <c r="M27" i="11"/>
  <c r="P26" i="11"/>
  <c r="M26" i="11"/>
  <c r="P25" i="11"/>
  <c r="M25" i="11"/>
  <c r="P24" i="11"/>
  <c r="M24" i="11"/>
  <c r="P23" i="11"/>
  <c r="M23" i="11"/>
  <c r="P22" i="11"/>
  <c r="M22" i="11"/>
  <c r="P18" i="11"/>
  <c r="M18" i="11"/>
  <c r="P17" i="11"/>
  <c r="M17" i="11"/>
  <c r="P16" i="11"/>
  <c r="M16" i="11"/>
  <c r="P15" i="11"/>
  <c r="M15" i="11"/>
  <c r="P14" i="11"/>
  <c r="M14" i="11"/>
  <c r="P13" i="11"/>
  <c r="M13" i="11"/>
  <c r="P12" i="11"/>
  <c r="M12" i="11"/>
  <c r="P11" i="11"/>
  <c r="M11" i="11"/>
  <c r="P10" i="11"/>
  <c r="M10" i="11"/>
  <c r="P8" i="11"/>
  <c r="M8" i="11"/>
  <c r="P5" i="11"/>
  <c r="M5" i="11"/>
  <c r="P4" i="11"/>
  <c r="M4" i="11"/>
  <c r="P3" i="11"/>
  <c r="M3" i="11"/>
  <c r="P7" i="10"/>
  <c r="P6" i="10"/>
  <c r="M7" i="10"/>
  <c r="M6" i="10"/>
  <c r="P32" i="10"/>
  <c r="M32" i="10"/>
  <c r="P31" i="10"/>
  <c r="M31" i="10"/>
  <c r="P30" i="10"/>
  <c r="M30" i="10"/>
  <c r="P29" i="10"/>
  <c r="M29" i="10"/>
  <c r="P28" i="10"/>
  <c r="M28" i="10"/>
  <c r="P27" i="10"/>
  <c r="M27" i="10"/>
  <c r="P26" i="10"/>
  <c r="M26" i="10"/>
  <c r="P25" i="10"/>
  <c r="M25" i="10"/>
  <c r="P24" i="10"/>
  <c r="M24" i="10"/>
  <c r="P23" i="10"/>
  <c r="M23" i="10"/>
  <c r="P22" i="10"/>
  <c r="M22" i="10"/>
  <c r="P18" i="10"/>
  <c r="M18" i="10"/>
  <c r="P17" i="10"/>
  <c r="M17" i="10"/>
  <c r="P16" i="10"/>
  <c r="M16" i="10"/>
  <c r="P15" i="10"/>
  <c r="M15" i="10"/>
  <c r="P14" i="10"/>
  <c r="M14" i="10"/>
  <c r="P13" i="10"/>
  <c r="M13" i="10"/>
  <c r="P12" i="10"/>
  <c r="M12" i="10"/>
  <c r="P11" i="10"/>
  <c r="M11" i="10"/>
  <c r="P10" i="10"/>
  <c r="M10" i="10"/>
  <c r="P8" i="10"/>
  <c r="M8" i="10"/>
  <c r="P5" i="10"/>
  <c r="M5" i="10"/>
  <c r="P4" i="10"/>
  <c r="M4" i="10"/>
  <c r="P3" i="10"/>
  <c r="M3" i="10"/>
  <c r="P7" i="9"/>
  <c r="M7" i="9"/>
  <c r="P6" i="9"/>
  <c r="M6" i="9"/>
  <c r="P32" i="9"/>
  <c r="M32" i="9"/>
  <c r="P31" i="9"/>
  <c r="M31" i="9"/>
  <c r="P30" i="9"/>
  <c r="M30" i="9"/>
  <c r="P29" i="9"/>
  <c r="M29" i="9"/>
  <c r="P28" i="9"/>
  <c r="M28" i="9"/>
  <c r="P27" i="9"/>
  <c r="M27" i="9"/>
  <c r="P26" i="9"/>
  <c r="M26" i="9"/>
  <c r="P25" i="9"/>
  <c r="M25" i="9"/>
  <c r="P24" i="9"/>
  <c r="M24" i="9"/>
  <c r="P23" i="9"/>
  <c r="M23" i="9"/>
  <c r="P22" i="9"/>
  <c r="M22" i="9"/>
  <c r="P18" i="9"/>
  <c r="M18" i="9"/>
  <c r="P17" i="9"/>
  <c r="M17" i="9"/>
  <c r="P16" i="9"/>
  <c r="M16" i="9"/>
  <c r="P15" i="9"/>
  <c r="M15" i="9"/>
  <c r="P14" i="9"/>
  <c r="M14" i="9"/>
  <c r="P13" i="9"/>
  <c r="M13" i="9"/>
  <c r="P12" i="9"/>
  <c r="M12" i="9"/>
  <c r="P11" i="9"/>
  <c r="M11" i="9"/>
  <c r="P10" i="9"/>
  <c r="M10" i="9"/>
  <c r="P8" i="9"/>
  <c r="M8" i="9"/>
  <c r="P5" i="9"/>
  <c r="M5" i="9"/>
  <c r="P4" i="9"/>
  <c r="M4" i="9"/>
  <c r="P3" i="9"/>
  <c r="M3" i="9"/>
  <c r="M7" i="8"/>
  <c r="M6" i="8"/>
  <c r="P32" i="8"/>
  <c r="M32" i="8"/>
  <c r="P31" i="8"/>
  <c r="M31" i="8"/>
  <c r="P30" i="8"/>
  <c r="M30" i="8"/>
  <c r="P29" i="8"/>
  <c r="M29" i="8"/>
  <c r="P28" i="8"/>
  <c r="M28" i="8"/>
  <c r="P27" i="8"/>
  <c r="M27" i="8"/>
  <c r="P26" i="8"/>
  <c r="M26" i="8"/>
  <c r="P25" i="8"/>
  <c r="M25" i="8"/>
  <c r="P24" i="8"/>
  <c r="M24" i="8"/>
  <c r="P23" i="8"/>
  <c r="M23" i="8"/>
  <c r="P22" i="8"/>
  <c r="M22" i="8"/>
  <c r="P18" i="8"/>
  <c r="M18" i="8"/>
  <c r="P17" i="8"/>
  <c r="M17" i="8"/>
  <c r="P16" i="8"/>
  <c r="M16" i="8"/>
  <c r="P15" i="8"/>
  <c r="M15" i="8"/>
  <c r="P14" i="8"/>
  <c r="M14" i="8"/>
  <c r="P13" i="8"/>
  <c r="M13" i="8"/>
  <c r="P12" i="8"/>
  <c r="M12" i="8"/>
  <c r="P11" i="8"/>
  <c r="M11" i="8"/>
  <c r="P10" i="8"/>
  <c r="M10" i="8"/>
  <c r="P8" i="8"/>
  <c r="M8" i="8"/>
  <c r="P5" i="8"/>
  <c r="M5" i="8"/>
  <c r="P4" i="8"/>
  <c r="M4" i="8"/>
  <c r="P3" i="8"/>
  <c r="M3" i="8"/>
  <c r="M7" i="7"/>
  <c r="P32" i="7"/>
  <c r="M32" i="7"/>
  <c r="P31" i="7"/>
  <c r="M31" i="7"/>
  <c r="P30" i="7"/>
  <c r="M30" i="7"/>
  <c r="P29" i="7"/>
  <c r="M29" i="7"/>
  <c r="P28" i="7"/>
  <c r="M28" i="7"/>
  <c r="P27" i="7"/>
  <c r="M27" i="7"/>
  <c r="P26" i="7"/>
  <c r="M26" i="7"/>
  <c r="P25" i="7"/>
  <c r="M25" i="7"/>
  <c r="P24" i="7"/>
  <c r="M24" i="7"/>
  <c r="P23" i="7"/>
  <c r="M23" i="7"/>
  <c r="P22" i="7"/>
  <c r="M22" i="7"/>
  <c r="P18" i="7"/>
  <c r="M18" i="7"/>
  <c r="P17" i="7"/>
  <c r="M17" i="7"/>
  <c r="P16" i="7"/>
  <c r="M16" i="7"/>
  <c r="P15" i="7"/>
  <c r="M15" i="7"/>
  <c r="P14" i="7"/>
  <c r="M14" i="7"/>
  <c r="P13" i="7"/>
  <c r="M13" i="7"/>
  <c r="P12" i="7"/>
  <c r="M12" i="7"/>
  <c r="P11" i="7"/>
  <c r="M11" i="7"/>
  <c r="P10" i="7"/>
  <c r="M10" i="7"/>
  <c r="P8" i="7"/>
  <c r="M8" i="7"/>
  <c r="M6" i="7"/>
  <c r="P5" i="7"/>
  <c r="M5" i="7"/>
  <c r="P4" i="7"/>
  <c r="M4" i="7"/>
  <c r="P3" i="7"/>
  <c r="M3" i="7"/>
  <c r="P18" i="6"/>
  <c r="M18" i="6"/>
  <c r="P17" i="6"/>
  <c r="M17" i="6"/>
  <c r="P16" i="6"/>
  <c r="M16" i="6"/>
  <c r="P15" i="6"/>
  <c r="M15" i="6"/>
  <c r="P14" i="6"/>
  <c r="M14" i="6"/>
  <c r="P13" i="6"/>
  <c r="M13" i="6"/>
  <c r="P12" i="6"/>
  <c r="M12" i="6"/>
  <c r="P11" i="6"/>
  <c r="M11" i="6"/>
  <c r="P10" i="6"/>
  <c r="M10" i="6"/>
  <c r="P8" i="6"/>
  <c r="M8" i="6"/>
  <c r="P7" i="6"/>
  <c r="M7" i="6"/>
  <c r="P6" i="6"/>
  <c r="M6" i="6"/>
  <c r="P5" i="6"/>
  <c r="M5" i="6"/>
  <c r="P4" i="6"/>
  <c r="M4" i="6"/>
  <c r="P3" i="6"/>
  <c r="M3" i="6"/>
  <c r="H7" i="17"/>
  <c r="H6" i="17"/>
  <c r="E7" i="17"/>
  <c r="E6" i="17"/>
  <c r="H32" i="17"/>
  <c r="E32" i="17"/>
  <c r="H31" i="17"/>
  <c r="E31" i="17"/>
  <c r="H30" i="17"/>
  <c r="E30" i="17"/>
  <c r="H29" i="17"/>
  <c r="E29" i="17"/>
  <c r="H28" i="17"/>
  <c r="E28" i="17"/>
  <c r="H27" i="17"/>
  <c r="E27" i="17"/>
  <c r="E26" i="17"/>
  <c r="H25" i="17"/>
  <c r="E25" i="17"/>
  <c r="H24" i="17"/>
  <c r="E24" i="17"/>
  <c r="H23" i="17"/>
  <c r="E23" i="17"/>
  <c r="H22" i="17"/>
  <c r="H18" i="17"/>
  <c r="E18" i="17"/>
  <c r="H17" i="17"/>
  <c r="E17" i="17"/>
  <c r="H16" i="17"/>
  <c r="E16" i="17"/>
  <c r="H15" i="17"/>
  <c r="E15" i="17"/>
  <c r="H14" i="17"/>
  <c r="E14" i="17"/>
  <c r="H13" i="17"/>
  <c r="E13" i="17"/>
  <c r="H12" i="17"/>
  <c r="E12" i="17"/>
  <c r="H11" i="17"/>
  <c r="E11" i="17"/>
  <c r="H10" i="17"/>
  <c r="E10" i="17"/>
  <c r="H8" i="17"/>
  <c r="E8" i="17"/>
  <c r="E5" i="17"/>
  <c r="H4" i="17"/>
  <c r="E4" i="17"/>
  <c r="H3" i="17"/>
  <c r="E3" i="17"/>
  <c r="P6" i="16"/>
  <c r="M6" i="16"/>
  <c r="P32" i="16"/>
  <c r="M32" i="16"/>
  <c r="P31" i="16"/>
  <c r="M31" i="16"/>
  <c r="P30" i="16"/>
  <c r="M30" i="16"/>
  <c r="P29" i="16"/>
  <c r="M29" i="16"/>
  <c r="P28" i="16"/>
  <c r="M28" i="16"/>
  <c r="P27" i="16"/>
  <c r="P26" i="16"/>
  <c r="M26" i="16"/>
  <c r="P25" i="16"/>
  <c r="M25" i="16"/>
  <c r="P24" i="16"/>
  <c r="M24" i="16"/>
  <c r="P23" i="16"/>
  <c r="M23" i="16"/>
  <c r="P22" i="16"/>
  <c r="M22" i="16"/>
  <c r="P18" i="16"/>
  <c r="M18" i="16"/>
  <c r="P17" i="16"/>
  <c r="M17" i="16"/>
  <c r="P16" i="16"/>
  <c r="M16" i="16"/>
  <c r="P15" i="16"/>
  <c r="M15" i="16"/>
  <c r="P14" i="16"/>
  <c r="M14" i="16"/>
  <c r="P13" i="16"/>
  <c r="M13" i="16"/>
  <c r="P12" i="16"/>
  <c r="M12" i="16"/>
  <c r="P11" i="16"/>
  <c r="M11" i="16"/>
  <c r="P10" i="16"/>
  <c r="M10" i="16"/>
  <c r="P8" i="16"/>
  <c r="M8" i="16"/>
  <c r="P5" i="16"/>
  <c r="M5" i="16"/>
  <c r="P4" i="16"/>
  <c r="M4" i="16"/>
  <c r="P3" i="16"/>
  <c r="M3" i="16"/>
  <c r="J14" i="15"/>
  <c r="P32" i="15"/>
  <c r="M32" i="15"/>
  <c r="P31" i="15"/>
  <c r="M31" i="15"/>
  <c r="P30" i="15"/>
  <c r="M30" i="15"/>
  <c r="P29" i="15"/>
  <c r="M29" i="15"/>
  <c r="P28" i="15"/>
  <c r="M28" i="15"/>
  <c r="P27" i="15"/>
  <c r="M27" i="15"/>
  <c r="P26" i="15"/>
  <c r="M26" i="15"/>
  <c r="P25" i="15"/>
  <c r="M25" i="15"/>
  <c r="P24" i="15"/>
  <c r="M24" i="15"/>
  <c r="P23" i="15"/>
  <c r="M23" i="15"/>
  <c r="P18" i="15"/>
  <c r="M18" i="15"/>
  <c r="P17" i="15"/>
  <c r="M17" i="15"/>
  <c r="P16" i="15"/>
  <c r="P15" i="15"/>
  <c r="M15" i="15"/>
  <c r="P14" i="15"/>
  <c r="M14" i="15"/>
  <c r="P13" i="15"/>
  <c r="M13" i="15"/>
  <c r="P12" i="15"/>
  <c r="M12" i="15"/>
  <c r="P11" i="15"/>
  <c r="M11" i="15"/>
  <c r="P10" i="15"/>
  <c r="M10" i="15"/>
  <c r="P8" i="15"/>
  <c r="M8" i="15"/>
  <c r="P4" i="15"/>
  <c r="M4" i="15"/>
  <c r="P3" i="15"/>
  <c r="M3" i="15"/>
  <c r="X32" i="14" l="1"/>
  <c r="U32" i="14"/>
  <c r="X31" i="14"/>
  <c r="U31" i="14"/>
  <c r="X30" i="14"/>
  <c r="U30" i="14"/>
  <c r="X29" i="14"/>
  <c r="U29" i="14"/>
  <c r="X28" i="14"/>
  <c r="U28" i="14"/>
  <c r="X27" i="14"/>
  <c r="U27" i="14"/>
  <c r="X26" i="14"/>
  <c r="U26" i="14"/>
  <c r="X25" i="14"/>
  <c r="U25" i="14"/>
  <c r="X24" i="14"/>
  <c r="U24" i="14"/>
  <c r="X23" i="14"/>
  <c r="U23" i="14"/>
  <c r="X22" i="14"/>
  <c r="U22" i="14"/>
  <c r="X18" i="14"/>
  <c r="U18" i="14"/>
  <c r="X17" i="14"/>
  <c r="U17" i="14"/>
  <c r="X16" i="14"/>
  <c r="U16" i="14"/>
  <c r="X15" i="14"/>
  <c r="U15" i="14"/>
  <c r="X14" i="14"/>
  <c r="U14" i="14"/>
  <c r="X13" i="14"/>
  <c r="U13" i="14"/>
  <c r="X12" i="14"/>
  <c r="U12" i="14"/>
  <c r="X11" i="14"/>
  <c r="U11" i="14"/>
  <c r="X10" i="14"/>
  <c r="U10" i="14"/>
  <c r="X8" i="14"/>
  <c r="U8" i="14"/>
  <c r="X5" i="14"/>
  <c r="U5" i="14"/>
  <c r="X4" i="14"/>
  <c r="U4" i="14"/>
  <c r="X3" i="14"/>
  <c r="U3" i="14"/>
  <c r="X32" i="13"/>
  <c r="U32" i="13"/>
  <c r="X31" i="13"/>
  <c r="U31" i="13"/>
  <c r="X30" i="13"/>
  <c r="U30" i="13"/>
  <c r="X29" i="13"/>
  <c r="U29" i="13"/>
  <c r="X28" i="13"/>
  <c r="U28" i="13"/>
  <c r="X27" i="13"/>
  <c r="U27" i="13"/>
  <c r="X26" i="13"/>
  <c r="U26" i="13"/>
  <c r="X25" i="13"/>
  <c r="U25" i="13"/>
  <c r="X24" i="13"/>
  <c r="U24" i="13"/>
  <c r="X23" i="13"/>
  <c r="U23" i="13"/>
  <c r="X22" i="13"/>
  <c r="U22" i="13"/>
  <c r="X18" i="13"/>
  <c r="U18" i="13"/>
  <c r="X17" i="13"/>
  <c r="U17" i="13"/>
  <c r="X16" i="13"/>
  <c r="U16" i="13"/>
  <c r="X15" i="13"/>
  <c r="U15" i="13"/>
  <c r="X14" i="13"/>
  <c r="U14" i="13"/>
  <c r="X13" i="13"/>
  <c r="U13" i="13"/>
  <c r="X12" i="13"/>
  <c r="U12" i="13"/>
  <c r="X11" i="13"/>
  <c r="U11" i="13"/>
  <c r="X10" i="13"/>
  <c r="U10" i="13"/>
  <c r="X8" i="13"/>
  <c r="U8" i="13"/>
  <c r="X5" i="13"/>
  <c r="U5" i="13"/>
  <c r="X4" i="13"/>
  <c r="U4" i="13"/>
  <c r="X3" i="13"/>
  <c r="U3" i="13"/>
  <c r="X32" i="12"/>
  <c r="U32" i="12"/>
  <c r="X31" i="12"/>
  <c r="U31" i="12"/>
  <c r="X30" i="12"/>
  <c r="U30" i="12"/>
  <c r="X29" i="12"/>
  <c r="U29" i="12"/>
  <c r="X28" i="12"/>
  <c r="U28" i="12"/>
  <c r="X27" i="12"/>
  <c r="U27" i="12"/>
  <c r="X26" i="12"/>
  <c r="U26" i="12"/>
  <c r="X25" i="12"/>
  <c r="U25" i="12"/>
  <c r="X24" i="12"/>
  <c r="U24" i="12"/>
  <c r="X23" i="12"/>
  <c r="U23" i="12"/>
  <c r="X22" i="12"/>
  <c r="U22" i="12"/>
  <c r="X18" i="12"/>
  <c r="U18" i="12"/>
  <c r="X17" i="12"/>
  <c r="U17" i="12"/>
  <c r="X16" i="12"/>
  <c r="U16" i="12"/>
  <c r="X15" i="12"/>
  <c r="U15" i="12"/>
  <c r="X14" i="12"/>
  <c r="U14" i="12"/>
  <c r="X13" i="12"/>
  <c r="U13" i="12"/>
  <c r="X12" i="12"/>
  <c r="U12" i="12"/>
  <c r="X11" i="12"/>
  <c r="U11" i="12"/>
  <c r="X10" i="12"/>
  <c r="U10" i="12"/>
  <c r="X8" i="12"/>
  <c r="U8" i="12"/>
  <c r="X5" i="12"/>
  <c r="U5" i="12"/>
  <c r="X4" i="12"/>
  <c r="U4" i="12"/>
  <c r="X3" i="12"/>
  <c r="U3" i="12"/>
  <c r="X32" i="11"/>
  <c r="U32" i="11"/>
  <c r="X31" i="11"/>
  <c r="U31" i="11"/>
  <c r="X30" i="11"/>
  <c r="U30" i="11"/>
  <c r="X29" i="11"/>
  <c r="U29" i="11"/>
  <c r="X28" i="11"/>
  <c r="U28" i="11"/>
  <c r="X27" i="11"/>
  <c r="U27" i="11"/>
  <c r="X26" i="11"/>
  <c r="U26" i="11"/>
  <c r="X25" i="11"/>
  <c r="U25" i="11"/>
  <c r="X24" i="11"/>
  <c r="U24" i="11"/>
  <c r="X23" i="11"/>
  <c r="U23" i="11"/>
  <c r="X22" i="11"/>
  <c r="U22" i="11"/>
  <c r="X18" i="11"/>
  <c r="U18" i="11"/>
  <c r="X17" i="11"/>
  <c r="U17" i="11"/>
  <c r="X16" i="11"/>
  <c r="U16" i="11"/>
  <c r="X15" i="11"/>
  <c r="U15" i="11"/>
  <c r="X14" i="11"/>
  <c r="U14" i="11"/>
  <c r="X13" i="11"/>
  <c r="U13" i="11"/>
  <c r="X12" i="11"/>
  <c r="U12" i="11"/>
  <c r="X11" i="11"/>
  <c r="U11" i="11"/>
  <c r="X10" i="11"/>
  <c r="U10" i="11"/>
  <c r="X8" i="11"/>
  <c r="U8" i="11"/>
  <c r="X5" i="11"/>
  <c r="U5" i="11"/>
  <c r="X4" i="11"/>
  <c r="U4" i="11"/>
  <c r="X3" i="11"/>
  <c r="U3" i="11"/>
  <c r="X32" i="10"/>
  <c r="U32" i="10"/>
  <c r="X31" i="10"/>
  <c r="U31" i="10"/>
  <c r="X30" i="10"/>
  <c r="U30" i="10"/>
  <c r="X29" i="10"/>
  <c r="U29" i="10"/>
  <c r="X28" i="10"/>
  <c r="U28" i="10"/>
  <c r="X27" i="10"/>
  <c r="U27" i="10"/>
  <c r="X26" i="10"/>
  <c r="U26" i="10"/>
  <c r="X25" i="10"/>
  <c r="U25" i="10"/>
  <c r="X24" i="10"/>
  <c r="U24" i="10"/>
  <c r="X23" i="10"/>
  <c r="U23" i="10"/>
  <c r="X22" i="10"/>
  <c r="U22" i="10"/>
  <c r="X18" i="10"/>
  <c r="U18" i="10"/>
  <c r="X17" i="10"/>
  <c r="U17" i="10"/>
  <c r="X16" i="10"/>
  <c r="U16" i="10"/>
  <c r="X15" i="10"/>
  <c r="U15" i="10"/>
  <c r="X14" i="10"/>
  <c r="U14" i="10"/>
  <c r="X13" i="10"/>
  <c r="U13" i="10"/>
  <c r="X12" i="10"/>
  <c r="U12" i="10"/>
  <c r="X11" i="10"/>
  <c r="U11" i="10"/>
  <c r="X10" i="10"/>
  <c r="U10" i="10"/>
  <c r="X8" i="10"/>
  <c r="U8" i="10"/>
  <c r="X5" i="10"/>
  <c r="U5" i="10"/>
  <c r="X4" i="10"/>
  <c r="U4" i="10"/>
  <c r="X3" i="10"/>
  <c r="U3" i="10"/>
  <c r="X32" i="9"/>
  <c r="U32" i="9"/>
  <c r="X31" i="9"/>
  <c r="U31" i="9"/>
  <c r="X30" i="9"/>
  <c r="U30" i="9"/>
  <c r="X29" i="9"/>
  <c r="U29" i="9"/>
  <c r="X28" i="9"/>
  <c r="U28" i="9"/>
  <c r="X27" i="9"/>
  <c r="U27" i="9"/>
  <c r="X26" i="9"/>
  <c r="U26" i="9"/>
  <c r="X25" i="9"/>
  <c r="U25" i="9"/>
  <c r="X24" i="9"/>
  <c r="U24" i="9"/>
  <c r="X23" i="9"/>
  <c r="U23" i="9"/>
  <c r="X22" i="9"/>
  <c r="U22" i="9"/>
  <c r="X18" i="9"/>
  <c r="U18" i="9"/>
  <c r="X17" i="9"/>
  <c r="U17" i="9"/>
  <c r="X16" i="9"/>
  <c r="U16" i="9"/>
  <c r="X15" i="9"/>
  <c r="U15" i="9"/>
  <c r="X14" i="9"/>
  <c r="U14" i="9"/>
  <c r="X13" i="9"/>
  <c r="U13" i="9"/>
  <c r="X12" i="9"/>
  <c r="U12" i="9"/>
  <c r="X11" i="9"/>
  <c r="U11" i="9"/>
  <c r="X10" i="9"/>
  <c r="U10" i="9"/>
  <c r="X8" i="9"/>
  <c r="U8" i="9"/>
  <c r="X5" i="9"/>
  <c r="U5" i="9"/>
  <c r="X4" i="9"/>
  <c r="U4" i="9"/>
  <c r="X3" i="9"/>
  <c r="U3" i="9"/>
  <c r="X32" i="8"/>
  <c r="U32" i="8"/>
  <c r="X31" i="8"/>
  <c r="U31" i="8"/>
  <c r="X30" i="8"/>
  <c r="U30" i="8"/>
  <c r="X29" i="8"/>
  <c r="U29" i="8"/>
  <c r="X28" i="8"/>
  <c r="U28" i="8"/>
  <c r="X27" i="8"/>
  <c r="U27" i="8"/>
  <c r="X26" i="8"/>
  <c r="U26" i="8"/>
  <c r="X25" i="8"/>
  <c r="U25" i="8"/>
  <c r="X24" i="8"/>
  <c r="U24" i="8"/>
  <c r="X23" i="8"/>
  <c r="U23" i="8"/>
  <c r="X22" i="8"/>
  <c r="U22" i="8"/>
  <c r="X18" i="8"/>
  <c r="U18" i="8"/>
  <c r="X17" i="8"/>
  <c r="U17" i="8"/>
  <c r="X16" i="8"/>
  <c r="U16" i="8"/>
  <c r="X15" i="8"/>
  <c r="U15" i="8"/>
  <c r="X14" i="8"/>
  <c r="U14" i="8"/>
  <c r="X13" i="8"/>
  <c r="U13" i="8"/>
  <c r="X12" i="8"/>
  <c r="U12" i="8"/>
  <c r="X11" i="8"/>
  <c r="U11" i="8"/>
  <c r="X10" i="8"/>
  <c r="U10" i="8"/>
  <c r="X8" i="8"/>
  <c r="U8" i="8"/>
  <c r="X5" i="8"/>
  <c r="U5" i="8"/>
  <c r="X4" i="8"/>
  <c r="U4" i="8"/>
  <c r="X3" i="8"/>
  <c r="U3" i="8"/>
  <c r="U6" i="7"/>
  <c r="X32" i="7" l="1"/>
  <c r="U32" i="7"/>
  <c r="X31" i="7"/>
  <c r="U31" i="7"/>
  <c r="X30" i="7"/>
  <c r="U30" i="7"/>
  <c r="X29" i="7"/>
  <c r="U29" i="7"/>
  <c r="X28" i="7"/>
  <c r="U28" i="7"/>
  <c r="X27" i="7"/>
  <c r="U27" i="7"/>
  <c r="X26" i="7"/>
  <c r="U26" i="7"/>
  <c r="X25" i="7"/>
  <c r="U25" i="7"/>
  <c r="X24" i="7"/>
  <c r="U24" i="7"/>
  <c r="X23" i="7"/>
  <c r="U23" i="7"/>
  <c r="X22" i="7"/>
  <c r="U22" i="7"/>
  <c r="X18" i="7"/>
  <c r="U18" i="7"/>
  <c r="X17" i="7"/>
  <c r="U17" i="7"/>
  <c r="X16" i="7"/>
  <c r="U16" i="7"/>
  <c r="X15" i="7"/>
  <c r="U15" i="7"/>
  <c r="X14" i="7"/>
  <c r="U14" i="7"/>
  <c r="X13" i="7"/>
  <c r="U13" i="7"/>
  <c r="X12" i="7"/>
  <c r="U12" i="7"/>
  <c r="X11" i="7"/>
  <c r="U11" i="7"/>
  <c r="X10" i="7"/>
  <c r="U10" i="7"/>
  <c r="X8" i="7"/>
  <c r="U8" i="7"/>
  <c r="X5" i="7"/>
  <c r="U5" i="7"/>
  <c r="X4" i="7"/>
  <c r="U4" i="7"/>
  <c r="X3" i="7"/>
  <c r="U3" i="7"/>
  <c r="X17" i="6"/>
  <c r="U17" i="6"/>
  <c r="X16" i="6"/>
  <c r="U16" i="6"/>
  <c r="X15" i="6"/>
  <c r="U15" i="6"/>
  <c r="X14" i="6"/>
  <c r="U14" i="6"/>
  <c r="X13" i="6"/>
  <c r="U13" i="6"/>
  <c r="X12" i="6"/>
  <c r="U12" i="6"/>
  <c r="X11" i="6"/>
  <c r="U11" i="6"/>
  <c r="X10" i="6"/>
  <c r="U10" i="6"/>
  <c r="X9" i="6"/>
  <c r="U9" i="6"/>
  <c r="X7" i="6"/>
  <c r="U7" i="6"/>
  <c r="X5" i="6"/>
  <c r="U5" i="6"/>
  <c r="X4" i="6"/>
  <c r="U4" i="6"/>
  <c r="X3" i="6"/>
  <c r="U3" i="6"/>
  <c r="AF32" i="16"/>
  <c r="AC32" i="16"/>
  <c r="AF31" i="16"/>
  <c r="AC31" i="16"/>
  <c r="AF30" i="16"/>
  <c r="AC30" i="16"/>
  <c r="AF29" i="16"/>
  <c r="AC29" i="16"/>
  <c r="AF28" i="16"/>
  <c r="AC28" i="16"/>
  <c r="AF27" i="16"/>
  <c r="AC27" i="16"/>
  <c r="AF26" i="16"/>
  <c r="AC26" i="16"/>
  <c r="AF25" i="16"/>
  <c r="AC25" i="16"/>
  <c r="AF24" i="16"/>
  <c r="AC24" i="16"/>
  <c r="AF23" i="16"/>
  <c r="AC23" i="16"/>
  <c r="AF22" i="16"/>
  <c r="AC22" i="16"/>
  <c r="AF18" i="16"/>
  <c r="AC18" i="16"/>
  <c r="AF17" i="16"/>
  <c r="AC17" i="16"/>
  <c r="AF16" i="16"/>
  <c r="AC16" i="16"/>
  <c r="AF15" i="16"/>
  <c r="AC15" i="16"/>
  <c r="AF14" i="16"/>
  <c r="AC14" i="16"/>
  <c r="AF13" i="16"/>
  <c r="AC13" i="16"/>
  <c r="AF12" i="16"/>
  <c r="AC12" i="16"/>
  <c r="AF11" i="16"/>
  <c r="AC11" i="16"/>
  <c r="AF10" i="16"/>
  <c r="AC10" i="16"/>
  <c r="AF8" i="16"/>
  <c r="AC8" i="16"/>
  <c r="AF5" i="16"/>
  <c r="AC5" i="16"/>
  <c r="AF4" i="16"/>
  <c r="AC4" i="16"/>
  <c r="AF3" i="16"/>
  <c r="AC3" i="16"/>
  <c r="AF32" i="15"/>
  <c r="AC32" i="15"/>
  <c r="AF31" i="15"/>
  <c r="AC31" i="15"/>
  <c r="AF30" i="15"/>
  <c r="AC30" i="15"/>
  <c r="AF29" i="15"/>
  <c r="AC29" i="15"/>
  <c r="AF28" i="15"/>
  <c r="AC28" i="15"/>
  <c r="AF27" i="15"/>
  <c r="AC27" i="15"/>
  <c r="AF26" i="15"/>
  <c r="AC26" i="15"/>
  <c r="AF25" i="15"/>
  <c r="AC25" i="15"/>
  <c r="AF24" i="15"/>
  <c r="AC24" i="15"/>
  <c r="AF23" i="15"/>
  <c r="AC23" i="15"/>
  <c r="AF22" i="15"/>
  <c r="AC22" i="15"/>
  <c r="AF18" i="15"/>
  <c r="AF17" i="15"/>
  <c r="AF16" i="15"/>
  <c r="AF15" i="15"/>
  <c r="AF14" i="15"/>
  <c r="AF13" i="15"/>
  <c r="AF12" i="15"/>
  <c r="AF11" i="15"/>
  <c r="AF10" i="15"/>
  <c r="AF8" i="15"/>
  <c r="AF5" i="15"/>
  <c r="AF4" i="15"/>
  <c r="AF3" i="15"/>
  <c r="AD27" i="14"/>
  <c r="AD26" i="14"/>
  <c r="AE26" i="14"/>
  <c r="AF26" i="14" l="1"/>
  <c r="AF32" i="14"/>
  <c r="AC32" i="14"/>
  <c r="AF31" i="14"/>
  <c r="AC31" i="14"/>
  <c r="AF30" i="14"/>
  <c r="AC30" i="14"/>
  <c r="AF29" i="14"/>
  <c r="AC29" i="14"/>
  <c r="AF28" i="14"/>
  <c r="AC28" i="14"/>
  <c r="AC27" i="14"/>
  <c r="AC26" i="14"/>
  <c r="AF25" i="14"/>
  <c r="AC25" i="14"/>
  <c r="AF24" i="14"/>
  <c r="AC24" i="14"/>
  <c r="AF23" i="14"/>
  <c r="AC23" i="14"/>
  <c r="AF22" i="14"/>
  <c r="AC22" i="14"/>
  <c r="AF18" i="14"/>
  <c r="AC18" i="14"/>
  <c r="AF17" i="14"/>
  <c r="AC17" i="14"/>
  <c r="AF16" i="14"/>
  <c r="AC16" i="14"/>
  <c r="AF15" i="14"/>
  <c r="AC15" i="14"/>
  <c r="AF14" i="14"/>
  <c r="AC14" i="14"/>
  <c r="AF13" i="14"/>
  <c r="AC13" i="14"/>
  <c r="AF12" i="14"/>
  <c r="AC12" i="14"/>
  <c r="AF11" i="14"/>
  <c r="AC11" i="14"/>
  <c r="AF10" i="14"/>
  <c r="AC10" i="14"/>
  <c r="AF8" i="14"/>
  <c r="AC8" i="14"/>
  <c r="AF5" i="14"/>
  <c r="AC5" i="14"/>
  <c r="AF4" i="14"/>
  <c r="AC4" i="14"/>
  <c r="AF3" i="14"/>
  <c r="AC3" i="14"/>
  <c r="AF32" i="13"/>
  <c r="AC32" i="13"/>
  <c r="AF31" i="13"/>
  <c r="AC31" i="13"/>
  <c r="AF30" i="13"/>
  <c r="AC30" i="13"/>
  <c r="AF29" i="13"/>
  <c r="AC29" i="13"/>
  <c r="AF28" i="13"/>
  <c r="AC28" i="13"/>
  <c r="AF27" i="13"/>
  <c r="AC27" i="13"/>
  <c r="AF26" i="13"/>
  <c r="AC26" i="13"/>
  <c r="AF25" i="13"/>
  <c r="AC25" i="13"/>
  <c r="AF24" i="13"/>
  <c r="AC24" i="13"/>
  <c r="AF23" i="13"/>
  <c r="AC23" i="13"/>
  <c r="AF22" i="13"/>
  <c r="AC22" i="13"/>
  <c r="AF18" i="13"/>
  <c r="AC18" i="13"/>
  <c r="AF17" i="13"/>
  <c r="AC17" i="13"/>
  <c r="AF16" i="13"/>
  <c r="AC16" i="13"/>
  <c r="AF15" i="13"/>
  <c r="AC15" i="13"/>
  <c r="AF14" i="13"/>
  <c r="AC14" i="13"/>
  <c r="AF13" i="13"/>
  <c r="AC13" i="13"/>
  <c r="AF12" i="13"/>
  <c r="AC12" i="13"/>
  <c r="AF11" i="13"/>
  <c r="AC11" i="13"/>
  <c r="AF10" i="13"/>
  <c r="AC10" i="13"/>
  <c r="AF8" i="13"/>
  <c r="AC8" i="13"/>
  <c r="AF5" i="13"/>
  <c r="AC5" i="13"/>
  <c r="AF4" i="13"/>
  <c r="AC4" i="13"/>
  <c r="AF3" i="13"/>
  <c r="AC3" i="13"/>
  <c r="AF32" i="12"/>
  <c r="AC32" i="12"/>
  <c r="AF31" i="12"/>
  <c r="AC31" i="12"/>
  <c r="AF30" i="12"/>
  <c r="AC30" i="12"/>
  <c r="AF29" i="12"/>
  <c r="AC29" i="12"/>
  <c r="AF28" i="12"/>
  <c r="AC28" i="12"/>
  <c r="AF27" i="12"/>
  <c r="AC27" i="12"/>
  <c r="AF26" i="12"/>
  <c r="AC26" i="12"/>
  <c r="AF25" i="12"/>
  <c r="AC25" i="12"/>
  <c r="AF24" i="12"/>
  <c r="AC24" i="12"/>
  <c r="AF23" i="12"/>
  <c r="AC23" i="12"/>
  <c r="AF22" i="12"/>
  <c r="AC22" i="12"/>
  <c r="AF18" i="12"/>
  <c r="AC18" i="12"/>
  <c r="AF17" i="12"/>
  <c r="AC17" i="12"/>
  <c r="AF16" i="12"/>
  <c r="AC16" i="12"/>
  <c r="AF15" i="12"/>
  <c r="AC15" i="12"/>
  <c r="AF14" i="12"/>
  <c r="AC14" i="12"/>
  <c r="AF13" i="12"/>
  <c r="AC13" i="12"/>
  <c r="AF12" i="12"/>
  <c r="AC12" i="12"/>
  <c r="AF11" i="12"/>
  <c r="AC11" i="12"/>
  <c r="AF10" i="12"/>
  <c r="AC10" i="12"/>
  <c r="AF8" i="12"/>
  <c r="AC8" i="12"/>
  <c r="AF5" i="12"/>
  <c r="AC5" i="12"/>
  <c r="AF4" i="12"/>
  <c r="AC4" i="12"/>
  <c r="AF3" i="12"/>
  <c r="AC3" i="12"/>
  <c r="AF32" i="11"/>
  <c r="AC32" i="11"/>
  <c r="AF31" i="11"/>
  <c r="AC31" i="11"/>
  <c r="AF30" i="11"/>
  <c r="AC30" i="11"/>
  <c r="AF29" i="11"/>
  <c r="AC29" i="11"/>
  <c r="AF28" i="11"/>
  <c r="AC28" i="11"/>
  <c r="AF27" i="11"/>
  <c r="AC27" i="11"/>
  <c r="AF26" i="11"/>
  <c r="AC26" i="11"/>
  <c r="AF25" i="11"/>
  <c r="AC25" i="11"/>
  <c r="AF24" i="11"/>
  <c r="AC24" i="11"/>
  <c r="AF23" i="11"/>
  <c r="AC23" i="11"/>
  <c r="AF22" i="11"/>
  <c r="AC22" i="11"/>
  <c r="AF18" i="11"/>
  <c r="AC18" i="11"/>
  <c r="AF17" i="11"/>
  <c r="AC17" i="11"/>
  <c r="AF16" i="11"/>
  <c r="AC16" i="11"/>
  <c r="AF15" i="11"/>
  <c r="AC15" i="11"/>
  <c r="AF14" i="11"/>
  <c r="AC14" i="11"/>
  <c r="AF13" i="11"/>
  <c r="AC13" i="11"/>
  <c r="AF12" i="11"/>
  <c r="AC12" i="11"/>
  <c r="AF11" i="11"/>
  <c r="AC11" i="11"/>
  <c r="AF10" i="11"/>
  <c r="AC10" i="11"/>
  <c r="AF8" i="11"/>
  <c r="AC8" i="11"/>
  <c r="AF5" i="11"/>
  <c r="AC5" i="11"/>
  <c r="AF4" i="11"/>
  <c r="AC4" i="11"/>
  <c r="AF3" i="11"/>
  <c r="AC3" i="11"/>
  <c r="AF32" i="10"/>
  <c r="AC32" i="10"/>
  <c r="AF31" i="10"/>
  <c r="AC31" i="10"/>
  <c r="AF30" i="10"/>
  <c r="AC30" i="10"/>
  <c r="AF29" i="10"/>
  <c r="AC29" i="10"/>
  <c r="AF28" i="10"/>
  <c r="AC28" i="10"/>
  <c r="AF27" i="10"/>
  <c r="AC27" i="10"/>
  <c r="AF26" i="10"/>
  <c r="AC26" i="10"/>
  <c r="AF25" i="10"/>
  <c r="AC25" i="10"/>
  <c r="AF24" i="10"/>
  <c r="AC24" i="10"/>
  <c r="AF23" i="10"/>
  <c r="AC23" i="10"/>
  <c r="AF22" i="10"/>
  <c r="AC22" i="10"/>
  <c r="AF18" i="10"/>
  <c r="AC18" i="10"/>
  <c r="AF17" i="10"/>
  <c r="AC17" i="10"/>
  <c r="AF16" i="10"/>
  <c r="AC16" i="10"/>
  <c r="AF15" i="10"/>
  <c r="AC15" i="10"/>
  <c r="AF14" i="10"/>
  <c r="AC14" i="10"/>
  <c r="AF13" i="10"/>
  <c r="AC13" i="10"/>
  <c r="AF12" i="10"/>
  <c r="AC12" i="10"/>
  <c r="AF11" i="10"/>
  <c r="AC11" i="10"/>
  <c r="AF10" i="10"/>
  <c r="AC10" i="10"/>
  <c r="AF8" i="10"/>
  <c r="AC8" i="10"/>
  <c r="AF5" i="10"/>
  <c r="AC5" i="10"/>
  <c r="AF4" i="10"/>
  <c r="AC4" i="10"/>
  <c r="AF3" i="10"/>
  <c r="AC3" i="10"/>
  <c r="AF32" i="9"/>
  <c r="AC32" i="9"/>
  <c r="AF31" i="9"/>
  <c r="AC31" i="9"/>
  <c r="AF30" i="9"/>
  <c r="AC30" i="9"/>
  <c r="AF29" i="9"/>
  <c r="AC29" i="9"/>
  <c r="AF28" i="9"/>
  <c r="AC28" i="9"/>
  <c r="AF27" i="9"/>
  <c r="AC27" i="9"/>
  <c r="AF26" i="9"/>
  <c r="AC26" i="9"/>
  <c r="AF25" i="9"/>
  <c r="AC25" i="9"/>
  <c r="AF24" i="9"/>
  <c r="AC24" i="9"/>
  <c r="AF23" i="9"/>
  <c r="AC23" i="9"/>
  <c r="AF22" i="9"/>
  <c r="AC22" i="9"/>
  <c r="AF18" i="9"/>
  <c r="AC18" i="9"/>
  <c r="AF17" i="9"/>
  <c r="AC17" i="9"/>
  <c r="AF16" i="9"/>
  <c r="AC16" i="9"/>
  <c r="AF15" i="9"/>
  <c r="AC15" i="9"/>
  <c r="AF14" i="9"/>
  <c r="AC14" i="9"/>
  <c r="AF13" i="9"/>
  <c r="AC13" i="9"/>
  <c r="AF12" i="9"/>
  <c r="AC12" i="9"/>
  <c r="AF11" i="9"/>
  <c r="AC11" i="9"/>
  <c r="AF10" i="9"/>
  <c r="AC10" i="9"/>
  <c r="AF8" i="9"/>
  <c r="AC8" i="9"/>
  <c r="AF5" i="9"/>
  <c r="AC5" i="9"/>
  <c r="AF4" i="9"/>
  <c r="AC4" i="9"/>
  <c r="AF3" i="9"/>
  <c r="AC3" i="9"/>
  <c r="AF32" i="8"/>
  <c r="AC32" i="8"/>
  <c r="AF31" i="8"/>
  <c r="AC31" i="8"/>
  <c r="AF30" i="8"/>
  <c r="AC30" i="8"/>
  <c r="AF29" i="8"/>
  <c r="AC29" i="8"/>
  <c r="AF28" i="8"/>
  <c r="AC28" i="8"/>
  <c r="AF27" i="8"/>
  <c r="AC27" i="8"/>
  <c r="AF26" i="8"/>
  <c r="AC26" i="8"/>
  <c r="AF25" i="8"/>
  <c r="AC25" i="8"/>
  <c r="AF24" i="8"/>
  <c r="AC24" i="8"/>
  <c r="AF23" i="8"/>
  <c r="AC23" i="8"/>
  <c r="AF22" i="8"/>
  <c r="AC22" i="8"/>
  <c r="AF18" i="8"/>
  <c r="AC18" i="8"/>
  <c r="AF17" i="8"/>
  <c r="AC17" i="8"/>
  <c r="AF16" i="8"/>
  <c r="AC16" i="8"/>
  <c r="AF15" i="8"/>
  <c r="AC15" i="8"/>
  <c r="AF14" i="8"/>
  <c r="AC14" i="8"/>
  <c r="AF13" i="8"/>
  <c r="AC13" i="8"/>
  <c r="AF12" i="8"/>
  <c r="AC12" i="8"/>
  <c r="AF11" i="8"/>
  <c r="AC11" i="8"/>
  <c r="AF10" i="8"/>
  <c r="AC10" i="8"/>
  <c r="AF8" i="8"/>
  <c r="AC8" i="8"/>
  <c r="AF5" i="8"/>
  <c r="AC5" i="8"/>
  <c r="AF4" i="8"/>
  <c r="AC4" i="8"/>
  <c r="AF3" i="8"/>
  <c r="AC3" i="8"/>
  <c r="AF32" i="7"/>
  <c r="AC32" i="7"/>
  <c r="AF31" i="7"/>
  <c r="AC31" i="7"/>
  <c r="AF30" i="7"/>
  <c r="AC30" i="7"/>
  <c r="AF29" i="7"/>
  <c r="AC29" i="7"/>
  <c r="AF28" i="7"/>
  <c r="AC28" i="7"/>
  <c r="AF27" i="7"/>
  <c r="AC27" i="7"/>
  <c r="AC26" i="7"/>
  <c r="AF25" i="7"/>
  <c r="AC25" i="7"/>
  <c r="AF24" i="7"/>
  <c r="AC24" i="7"/>
  <c r="AF23" i="7"/>
  <c r="AC23" i="7"/>
  <c r="AF22" i="7"/>
  <c r="AC22" i="7"/>
  <c r="AF18" i="7"/>
  <c r="AC18" i="7"/>
  <c r="AF17" i="7"/>
  <c r="AC17" i="7"/>
  <c r="AF16" i="7"/>
  <c r="AC16" i="7"/>
  <c r="AF15" i="7"/>
  <c r="AC15" i="7"/>
  <c r="AF14" i="7"/>
  <c r="AC14" i="7"/>
  <c r="AF13" i="7"/>
  <c r="AC13" i="7"/>
  <c r="AF12" i="7"/>
  <c r="AC12" i="7"/>
  <c r="AF11" i="7"/>
  <c r="AC11" i="7"/>
  <c r="AF10" i="7"/>
  <c r="AC10" i="7"/>
  <c r="AF8" i="7"/>
  <c r="AC8" i="7"/>
  <c r="AF5" i="7"/>
  <c r="AC5" i="7"/>
  <c r="AF4" i="7"/>
  <c r="AC4" i="7"/>
  <c r="AF3" i="7"/>
  <c r="AC3" i="7"/>
  <c r="AB3" i="6"/>
  <c r="AC3" i="6" s="1"/>
  <c r="AF17" i="6"/>
  <c r="AC17" i="6"/>
  <c r="AF16" i="6"/>
  <c r="AC16" i="6"/>
  <c r="AF15" i="6"/>
  <c r="AC15" i="6"/>
  <c r="AF14" i="6"/>
  <c r="AC14" i="6"/>
  <c r="AF13" i="6"/>
  <c r="AC13" i="6"/>
  <c r="AF12" i="6"/>
  <c r="AC12" i="6"/>
  <c r="AF11" i="6"/>
  <c r="AC11" i="6"/>
  <c r="AF10" i="6"/>
  <c r="AC10" i="6"/>
  <c r="AF9" i="6"/>
  <c r="AC9" i="6"/>
  <c r="AF7" i="6"/>
  <c r="AC7" i="6"/>
  <c r="AF5" i="6"/>
  <c r="AC5" i="6"/>
  <c r="AF4" i="6"/>
  <c r="AC4" i="6"/>
  <c r="AF3" i="6"/>
  <c r="AF32" i="17"/>
  <c r="AC32" i="17"/>
  <c r="AF31" i="17"/>
  <c r="AC31" i="17"/>
  <c r="AF30" i="17"/>
  <c r="AC30" i="17"/>
  <c r="AF29" i="17"/>
  <c r="AC29" i="17"/>
  <c r="AF28" i="17"/>
  <c r="AC28" i="17"/>
  <c r="AF27" i="17"/>
  <c r="AC27" i="17"/>
  <c r="AF26" i="17"/>
  <c r="AC26" i="17"/>
  <c r="AF25" i="17"/>
  <c r="AC25" i="17"/>
  <c r="AF24" i="17"/>
  <c r="AC24" i="17"/>
  <c r="AF23" i="17"/>
  <c r="AC23" i="17"/>
  <c r="AF22" i="17"/>
  <c r="AC22" i="17"/>
  <c r="AF18" i="17"/>
  <c r="AC18" i="17"/>
  <c r="AF17" i="17"/>
  <c r="AC17" i="17"/>
  <c r="AF16" i="17"/>
  <c r="AC16" i="17"/>
  <c r="AF15" i="17"/>
  <c r="AC15" i="17"/>
  <c r="AF14" i="17"/>
  <c r="AC14" i="17"/>
  <c r="AF13" i="17"/>
  <c r="AC13" i="17"/>
  <c r="AF12" i="17"/>
  <c r="AC12" i="17"/>
  <c r="AF11" i="17"/>
  <c r="AC11" i="17"/>
  <c r="AF10" i="17"/>
  <c r="AC10" i="17"/>
  <c r="AF8" i="17"/>
  <c r="AC8" i="17"/>
  <c r="AF5" i="17"/>
  <c r="AC5" i="17"/>
  <c r="AF4" i="17"/>
  <c r="AC4" i="17"/>
  <c r="AF3" i="17"/>
  <c r="AC3" i="17"/>
  <c r="AN32" i="16"/>
  <c r="AK32" i="16"/>
  <c r="AN31" i="16"/>
  <c r="AK31" i="16"/>
  <c r="AN30" i="16"/>
  <c r="AK30" i="16"/>
  <c r="AN29" i="16"/>
  <c r="AK29" i="16"/>
  <c r="AN28" i="16"/>
  <c r="AK28" i="16"/>
  <c r="AN27" i="16"/>
  <c r="AK27" i="16"/>
  <c r="AN26" i="16"/>
  <c r="AK26" i="16"/>
  <c r="AN25" i="16"/>
  <c r="AK25" i="16"/>
  <c r="AN24" i="16"/>
  <c r="AK24" i="16"/>
  <c r="AN23" i="16"/>
  <c r="AK23" i="16"/>
  <c r="AN22" i="16"/>
  <c r="AK22" i="16"/>
  <c r="AN18" i="16"/>
  <c r="AK18" i="16"/>
  <c r="AN17" i="16"/>
  <c r="AK17" i="16"/>
  <c r="AN16" i="16"/>
  <c r="AK16" i="16"/>
  <c r="AN15" i="16"/>
  <c r="AK15" i="16"/>
  <c r="AN14" i="16"/>
  <c r="AK14" i="16"/>
  <c r="AN13" i="16"/>
  <c r="AK13" i="16"/>
  <c r="AN12" i="16"/>
  <c r="AK12" i="16"/>
  <c r="AN11" i="16"/>
  <c r="AK11" i="16"/>
  <c r="AN10" i="16"/>
  <c r="AK10" i="16"/>
  <c r="AN8" i="16"/>
  <c r="AK8" i="16"/>
  <c r="AN5" i="16"/>
  <c r="AK5" i="16"/>
  <c r="AN4" i="16"/>
  <c r="AK4" i="16"/>
  <c r="AN3" i="16"/>
  <c r="AK3" i="16"/>
  <c r="AK8" i="15"/>
  <c r="AN32" i="15"/>
  <c r="AK32" i="15"/>
  <c r="AN31" i="15"/>
  <c r="AK31" i="15"/>
  <c r="AN30" i="15"/>
  <c r="AK30" i="15"/>
  <c r="AN29" i="15"/>
  <c r="AK29" i="15"/>
  <c r="AN28" i="15"/>
  <c r="AK28" i="15"/>
  <c r="AN27" i="15"/>
  <c r="AK27" i="15"/>
  <c r="AN26" i="15"/>
  <c r="AK26" i="15"/>
  <c r="AN25" i="15"/>
  <c r="AK25" i="15"/>
  <c r="AN24" i="15"/>
  <c r="AK24" i="15"/>
  <c r="AN23" i="15"/>
  <c r="AK23" i="15"/>
  <c r="AN22" i="15"/>
  <c r="AK22" i="15"/>
  <c r="AN18" i="15"/>
  <c r="AK18" i="15"/>
  <c r="AN17" i="15"/>
  <c r="AK17" i="15"/>
  <c r="AN16" i="15"/>
  <c r="AK16" i="15"/>
  <c r="AN15" i="15"/>
  <c r="AK15" i="15"/>
  <c r="AN14" i="15"/>
  <c r="AK14" i="15"/>
  <c r="AN13" i="15"/>
  <c r="AK13" i="15"/>
  <c r="AN12" i="15"/>
  <c r="AK12" i="15"/>
  <c r="AN11" i="15"/>
  <c r="AK11" i="15"/>
  <c r="AN10" i="15"/>
  <c r="AK10" i="15"/>
  <c r="AN8" i="15"/>
  <c r="AN5" i="15"/>
  <c r="AK5" i="15"/>
  <c r="AN4" i="15"/>
  <c r="AK4" i="15"/>
  <c r="AN3" i="15"/>
  <c r="AK3" i="15"/>
  <c r="AL27" i="14"/>
  <c r="AL26" i="14" s="1"/>
  <c r="AF27" i="14" l="1"/>
  <c r="AF26" i="7"/>
  <c r="AM26" i="14"/>
  <c r="AJ26" i="14"/>
  <c r="AN32" i="14" l="1"/>
  <c r="AK32" i="14"/>
  <c r="AN31" i="14"/>
  <c r="AK31" i="14"/>
  <c r="AN30" i="14"/>
  <c r="AK30" i="14"/>
  <c r="AN29" i="14"/>
  <c r="AK29" i="14"/>
  <c r="AN28" i="14"/>
  <c r="AK28" i="14"/>
  <c r="AN27" i="14"/>
  <c r="AK27" i="14"/>
  <c r="AN26" i="14"/>
  <c r="AK26" i="14"/>
  <c r="AN25" i="14"/>
  <c r="AK25" i="14"/>
  <c r="AN24" i="14"/>
  <c r="AK24" i="14"/>
  <c r="AN23" i="14"/>
  <c r="AK23" i="14"/>
  <c r="AN22" i="14"/>
  <c r="AK22" i="14"/>
  <c r="AN18" i="14"/>
  <c r="AK18" i="14"/>
  <c r="AN17" i="14"/>
  <c r="AK17" i="14"/>
  <c r="AN16" i="14"/>
  <c r="AK16" i="14"/>
  <c r="AN15" i="14"/>
  <c r="AK15" i="14"/>
  <c r="AN14" i="14"/>
  <c r="AK14" i="14"/>
  <c r="AN13" i="14"/>
  <c r="AK13" i="14"/>
  <c r="AN12" i="14"/>
  <c r="AK12" i="14"/>
  <c r="AN11" i="14"/>
  <c r="AK11" i="14"/>
  <c r="AN10" i="14"/>
  <c r="AK10" i="14"/>
  <c r="AN8" i="14"/>
  <c r="AK8" i="14"/>
  <c r="AN5" i="14"/>
  <c r="AK5" i="14"/>
  <c r="AN4" i="14"/>
  <c r="AK4" i="14"/>
  <c r="AN3" i="14"/>
  <c r="AK3" i="14"/>
  <c r="AN32" i="13"/>
  <c r="AK32" i="13"/>
  <c r="AN31" i="13"/>
  <c r="AK31" i="13"/>
  <c r="AN30" i="13"/>
  <c r="AK30" i="13"/>
  <c r="AN29" i="13"/>
  <c r="AK29" i="13"/>
  <c r="AN28" i="13"/>
  <c r="AK28" i="13"/>
  <c r="AN27" i="13"/>
  <c r="AK27" i="13"/>
  <c r="AN26" i="13"/>
  <c r="AK26" i="13"/>
  <c r="AN25" i="13"/>
  <c r="AK25" i="13"/>
  <c r="AN24" i="13"/>
  <c r="AK24" i="13"/>
  <c r="AN23" i="13"/>
  <c r="AK23" i="13"/>
  <c r="AN22" i="13"/>
  <c r="AK22" i="13"/>
  <c r="AN18" i="13"/>
  <c r="AK18" i="13"/>
  <c r="AN17" i="13"/>
  <c r="AK17" i="13"/>
  <c r="AN16" i="13"/>
  <c r="AK16" i="13"/>
  <c r="AN15" i="13"/>
  <c r="AK15" i="13"/>
  <c r="AN14" i="13"/>
  <c r="AK14" i="13"/>
  <c r="AN13" i="13"/>
  <c r="AK13" i="13"/>
  <c r="AN12" i="13"/>
  <c r="AK12" i="13"/>
  <c r="AN11" i="13"/>
  <c r="AK11" i="13"/>
  <c r="AN10" i="13"/>
  <c r="AK10" i="13"/>
  <c r="AN8" i="13"/>
  <c r="AK8" i="13"/>
  <c r="AN5" i="13"/>
  <c r="AK5" i="13"/>
  <c r="AN4" i="13"/>
  <c r="AK4" i="13"/>
  <c r="AN3" i="13"/>
  <c r="AK3" i="13"/>
  <c r="AN32" i="12"/>
  <c r="AK32" i="12"/>
  <c r="AN31" i="12"/>
  <c r="AK31" i="12"/>
  <c r="AN30" i="12"/>
  <c r="AK30" i="12"/>
  <c r="AN29" i="12"/>
  <c r="AK29" i="12"/>
  <c r="AN28" i="12"/>
  <c r="AK28" i="12"/>
  <c r="AN27" i="12"/>
  <c r="AK27" i="12"/>
  <c r="AN26" i="12"/>
  <c r="AK26" i="12"/>
  <c r="AN25" i="12"/>
  <c r="AK25" i="12"/>
  <c r="AN24" i="12"/>
  <c r="AK24" i="12"/>
  <c r="AN23" i="12"/>
  <c r="AK23" i="12"/>
  <c r="AN22" i="12"/>
  <c r="AK22" i="12"/>
  <c r="AN18" i="12"/>
  <c r="AK18" i="12"/>
  <c r="AH14" i="12" s="1"/>
  <c r="AN17" i="12"/>
  <c r="AK17" i="12"/>
  <c r="AN16" i="12"/>
  <c r="AK16" i="12"/>
  <c r="AN15" i="12"/>
  <c r="AK15" i="12"/>
  <c r="AN14" i="12"/>
  <c r="AK14" i="12"/>
  <c r="AN13" i="12"/>
  <c r="AK13" i="12"/>
  <c r="AN12" i="12"/>
  <c r="AK12" i="12"/>
  <c r="AN11" i="12"/>
  <c r="AK11" i="12"/>
  <c r="AN10" i="12"/>
  <c r="AK10" i="12"/>
  <c r="AN8" i="12"/>
  <c r="AK8" i="12"/>
  <c r="AN5" i="12"/>
  <c r="AK5" i="12"/>
  <c r="AN4" i="12"/>
  <c r="AK4" i="12"/>
  <c r="AN3" i="12"/>
  <c r="AK3" i="12"/>
  <c r="AL26" i="11" l="1"/>
  <c r="AL27" i="11"/>
  <c r="AK8" i="11" l="1"/>
  <c r="AN32" i="11"/>
  <c r="AK32" i="11"/>
  <c r="AN31" i="11"/>
  <c r="AK31" i="11"/>
  <c r="AN30" i="11"/>
  <c r="AK30" i="11"/>
  <c r="AN29" i="11"/>
  <c r="AK29" i="11"/>
  <c r="AN28" i="11"/>
  <c r="AK28" i="11"/>
  <c r="AN27" i="11"/>
  <c r="AK27" i="11"/>
  <c r="AN26" i="11"/>
  <c r="AK26" i="11"/>
  <c r="AN25" i="11"/>
  <c r="AK25" i="11"/>
  <c r="AN24" i="11"/>
  <c r="AK24" i="11"/>
  <c r="AN23" i="11"/>
  <c r="AK23" i="11"/>
  <c r="AN22" i="11"/>
  <c r="AK22" i="11"/>
  <c r="AN18" i="11"/>
  <c r="AK18" i="11"/>
  <c r="AN17" i="11"/>
  <c r="AK17" i="11"/>
  <c r="AN16" i="11"/>
  <c r="AK16" i="11"/>
  <c r="AN15" i="11"/>
  <c r="AK15" i="11"/>
  <c r="AN14" i="11"/>
  <c r="AK14" i="11"/>
  <c r="AN13" i="11"/>
  <c r="AK13" i="11"/>
  <c r="AN12" i="11"/>
  <c r="AK12" i="11"/>
  <c r="AN11" i="11"/>
  <c r="AK11" i="11"/>
  <c r="AN10" i="11"/>
  <c r="AK10" i="11"/>
  <c r="AN8" i="11"/>
  <c r="AN5" i="11"/>
  <c r="AK5" i="11"/>
  <c r="AN4" i="11"/>
  <c r="AK4" i="11"/>
  <c r="AN3" i="11"/>
  <c r="AK3" i="11"/>
  <c r="AN32" i="10" l="1"/>
  <c r="AK32" i="10"/>
  <c r="AN31" i="10"/>
  <c r="AK31" i="10"/>
  <c r="AN30" i="10"/>
  <c r="AK30" i="10"/>
  <c r="AN29" i="10"/>
  <c r="AK29" i="10"/>
  <c r="AN28" i="10"/>
  <c r="AK28" i="10"/>
  <c r="AN27" i="10"/>
  <c r="AK27" i="10"/>
  <c r="AN26" i="10"/>
  <c r="AK26" i="10"/>
  <c r="AN25" i="10"/>
  <c r="AK25" i="10"/>
  <c r="AN24" i="10"/>
  <c r="AK24" i="10"/>
  <c r="AN23" i="10"/>
  <c r="AK23" i="10"/>
  <c r="AN22" i="10"/>
  <c r="AK22" i="10"/>
  <c r="AN18" i="10"/>
  <c r="AK18" i="10"/>
  <c r="AN17" i="10"/>
  <c r="AK17" i="10"/>
  <c r="AN16" i="10"/>
  <c r="AK16" i="10"/>
  <c r="AN15" i="10"/>
  <c r="AK15" i="10"/>
  <c r="AN14" i="10"/>
  <c r="AK14" i="10"/>
  <c r="AN13" i="10"/>
  <c r="AK13" i="10"/>
  <c r="AN12" i="10"/>
  <c r="AK12" i="10"/>
  <c r="AN11" i="10"/>
  <c r="AK11" i="10"/>
  <c r="AN10" i="10"/>
  <c r="AK10" i="10"/>
  <c r="AN8" i="10"/>
  <c r="AK8" i="10"/>
  <c r="AN5" i="10"/>
  <c r="AK5" i="10"/>
  <c r="AN4" i="10"/>
  <c r="AK4" i="10"/>
  <c r="AN3" i="10"/>
  <c r="AK3" i="10"/>
  <c r="AN32" i="9"/>
  <c r="AK32" i="9"/>
  <c r="AN31" i="9"/>
  <c r="AK31" i="9"/>
  <c r="AN30" i="9"/>
  <c r="AK30" i="9"/>
  <c r="AN29" i="9"/>
  <c r="AK29" i="9"/>
  <c r="AN28" i="9"/>
  <c r="AK28" i="9"/>
  <c r="AN27" i="9"/>
  <c r="AK27" i="9"/>
  <c r="AN26" i="9"/>
  <c r="AK26" i="9"/>
  <c r="AN25" i="9"/>
  <c r="AK25" i="9"/>
  <c r="AN24" i="9"/>
  <c r="AK24" i="9"/>
  <c r="AN23" i="9"/>
  <c r="AK23" i="9"/>
  <c r="AN22" i="9"/>
  <c r="AK22" i="9"/>
  <c r="AN18" i="9"/>
  <c r="AK18" i="9"/>
  <c r="AN17" i="9"/>
  <c r="AK17" i="9"/>
  <c r="AN16" i="9"/>
  <c r="AK16" i="9"/>
  <c r="AN15" i="9"/>
  <c r="AK15" i="9"/>
  <c r="AN14" i="9"/>
  <c r="AK14" i="9"/>
  <c r="AN13" i="9"/>
  <c r="AK13" i="9"/>
  <c r="AN12" i="9"/>
  <c r="AK12" i="9"/>
  <c r="AN11" i="9"/>
  <c r="AK11" i="9"/>
  <c r="AN10" i="9"/>
  <c r="AK10" i="9"/>
  <c r="AN8" i="9"/>
  <c r="AK8" i="9"/>
  <c r="AN5" i="9"/>
  <c r="AK5" i="9"/>
  <c r="AN4" i="9"/>
  <c r="AK4" i="9"/>
  <c r="AN3" i="9"/>
  <c r="AK3" i="9"/>
  <c r="AL26" i="8"/>
  <c r="AN26" i="8" s="1"/>
  <c r="AN32" i="8"/>
  <c r="AK32" i="8"/>
  <c r="AN31" i="8"/>
  <c r="AK31" i="8"/>
  <c r="AN30" i="8"/>
  <c r="AK30" i="8"/>
  <c r="AN29" i="8"/>
  <c r="AK29" i="8"/>
  <c r="AN28" i="8"/>
  <c r="AK28" i="8"/>
  <c r="AN27" i="8"/>
  <c r="AK27" i="8"/>
  <c r="AK26" i="8"/>
  <c r="AN25" i="8"/>
  <c r="AK25" i="8"/>
  <c r="AN24" i="8"/>
  <c r="AK24" i="8"/>
  <c r="AN23" i="8"/>
  <c r="AK23" i="8"/>
  <c r="AN22" i="8"/>
  <c r="AK22" i="8"/>
  <c r="AN18" i="8"/>
  <c r="AK18" i="8"/>
  <c r="AN17" i="8"/>
  <c r="AK17" i="8"/>
  <c r="AN16" i="8"/>
  <c r="AK16" i="8"/>
  <c r="AN15" i="8"/>
  <c r="AK15" i="8"/>
  <c r="AN14" i="8"/>
  <c r="AK14" i="8"/>
  <c r="AN13" i="8"/>
  <c r="AK13" i="8"/>
  <c r="AN12" i="8"/>
  <c r="AK12" i="8"/>
  <c r="AN11" i="8"/>
  <c r="AK11" i="8"/>
  <c r="AN10" i="8"/>
  <c r="AK10" i="8"/>
  <c r="AN8" i="8"/>
  <c r="AK8" i="8"/>
  <c r="AN5" i="8"/>
  <c r="AK5" i="8"/>
  <c r="AN4" i="8"/>
  <c r="AK4" i="8"/>
  <c r="AN3" i="8"/>
  <c r="AK3" i="8"/>
  <c r="AL27" i="7"/>
  <c r="AL26" i="7" s="1"/>
  <c r="AN32" i="7" l="1"/>
  <c r="AK32" i="7"/>
  <c r="AN31" i="7"/>
  <c r="AK31" i="7"/>
  <c r="AN30" i="7"/>
  <c r="AK30" i="7"/>
  <c r="AN29" i="7"/>
  <c r="AK29" i="7"/>
  <c r="AN28" i="7"/>
  <c r="AK28" i="7"/>
  <c r="AN27" i="7"/>
  <c r="AK27" i="7"/>
  <c r="AN26" i="7"/>
  <c r="AK26" i="7"/>
  <c r="AN25" i="7"/>
  <c r="AK25" i="7"/>
  <c r="AN24" i="7"/>
  <c r="AK24" i="7"/>
  <c r="AN23" i="7"/>
  <c r="AK23" i="7"/>
  <c r="AN22" i="7"/>
  <c r="AK22" i="7"/>
  <c r="AN18" i="7"/>
  <c r="AK18" i="7"/>
  <c r="AN17" i="7"/>
  <c r="AK17" i="7"/>
  <c r="AN16" i="7"/>
  <c r="AK16" i="7"/>
  <c r="AN15" i="7"/>
  <c r="AK15" i="7"/>
  <c r="AN14" i="7"/>
  <c r="AK14" i="7"/>
  <c r="AN13" i="7"/>
  <c r="AK13" i="7"/>
  <c r="AN12" i="7"/>
  <c r="AK12" i="7"/>
  <c r="AN11" i="7"/>
  <c r="AK11" i="7"/>
  <c r="AN10" i="7"/>
  <c r="AK10" i="7"/>
  <c r="AN8" i="7"/>
  <c r="AK8" i="7"/>
  <c r="AN5" i="7"/>
  <c r="AK5" i="7"/>
  <c r="AN4" i="7"/>
  <c r="AK4" i="7"/>
  <c r="AN3" i="7"/>
  <c r="AK3" i="7"/>
  <c r="AN17" i="6"/>
  <c r="AK17" i="6"/>
  <c r="AN16" i="6"/>
  <c r="AK16" i="6"/>
  <c r="AN15" i="6"/>
  <c r="AK15" i="6"/>
  <c r="AN14" i="6"/>
  <c r="AK14" i="6"/>
  <c r="AN13" i="6"/>
  <c r="AK13" i="6"/>
  <c r="AN12" i="6"/>
  <c r="AK12" i="6"/>
  <c r="AN11" i="6"/>
  <c r="AK11" i="6"/>
  <c r="AN10" i="6"/>
  <c r="AK10" i="6"/>
  <c r="AN9" i="6"/>
  <c r="AK9" i="6"/>
  <c r="AN7" i="6"/>
  <c r="AK7" i="6"/>
  <c r="AN5" i="6"/>
  <c r="AK5" i="6"/>
  <c r="AN4" i="6"/>
  <c r="AK4" i="6"/>
  <c r="AN3" i="6"/>
  <c r="AK3" i="6"/>
  <c r="AN32" i="17"/>
  <c r="AK32" i="17"/>
  <c r="AN31" i="17"/>
  <c r="AK31" i="17"/>
  <c r="AN30" i="17"/>
  <c r="AK30" i="17"/>
  <c r="AN29" i="17"/>
  <c r="AK29" i="17"/>
  <c r="AN28" i="17"/>
  <c r="AK28" i="17"/>
  <c r="AN27" i="17"/>
  <c r="AK27" i="17"/>
  <c r="AN26" i="17"/>
  <c r="AK26" i="17"/>
  <c r="AN25" i="17"/>
  <c r="AK25" i="17"/>
  <c r="AN24" i="17"/>
  <c r="AK24" i="17"/>
  <c r="AN23" i="17"/>
  <c r="AK23" i="17"/>
  <c r="AN22" i="17"/>
  <c r="AK22" i="17"/>
  <c r="AN18" i="17"/>
  <c r="AK18" i="17"/>
  <c r="AN17" i="17"/>
  <c r="AK17" i="17"/>
  <c r="AN16" i="17"/>
  <c r="AK16" i="17"/>
  <c r="AN15" i="17"/>
  <c r="AK15" i="17"/>
  <c r="AN14" i="17"/>
  <c r="AK14" i="17"/>
  <c r="AN13" i="17"/>
  <c r="AK13" i="17"/>
  <c r="AN12" i="17"/>
  <c r="AK12" i="17"/>
  <c r="AN11" i="17"/>
  <c r="AK11" i="17"/>
  <c r="AN10" i="17"/>
  <c r="AK10" i="17"/>
  <c r="AN8" i="17"/>
  <c r="AK8" i="17"/>
  <c r="AN5" i="17"/>
  <c r="AK5" i="17"/>
  <c r="AN4" i="17"/>
  <c r="AK4" i="17"/>
  <c r="AN3" i="17"/>
  <c r="AK3" i="17"/>
  <c r="AU27" i="16"/>
  <c r="AU26" i="16"/>
  <c r="AS3" i="16"/>
  <c r="AW32" i="16" l="1"/>
  <c r="AT32" i="16"/>
  <c r="AW31" i="16"/>
  <c r="AT31" i="16"/>
  <c r="AW30" i="16"/>
  <c r="AT30" i="16"/>
  <c r="AW29" i="16"/>
  <c r="AT29" i="16"/>
  <c r="AW28" i="16"/>
  <c r="AT28" i="16"/>
  <c r="AW27" i="16"/>
  <c r="AT27" i="16"/>
  <c r="AW26" i="16"/>
  <c r="AT26" i="16"/>
  <c r="AW25" i="16"/>
  <c r="AT25" i="16"/>
  <c r="AW24" i="16"/>
  <c r="AT24" i="16"/>
  <c r="AW23" i="16"/>
  <c r="AT23" i="16"/>
  <c r="AW22" i="16"/>
  <c r="AT22" i="16"/>
  <c r="AW18" i="16"/>
  <c r="AT18" i="16"/>
  <c r="AW17" i="16"/>
  <c r="AT17" i="16"/>
  <c r="AW16" i="16"/>
  <c r="AT16" i="16"/>
  <c r="AW15" i="16"/>
  <c r="AT15" i="16"/>
  <c r="AW14" i="16"/>
  <c r="AT14" i="16"/>
  <c r="AW13" i="16"/>
  <c r="AT13" i="16"/>
  <c r="AW12" i="16"/>
  <c r="AT12" i="16"/>
  <c r="AW11" i="16"/>
  <c r="AT11" i="16"/>
  <c r="AW10" i="16"/>
  <c r="AT10" i="16"/>
  <c r="AW8" i="16"/>
  <c r="AT8" i="16"/>
  <c r="AW5" i="16"/>
  <c r="AT5" i="16"/>
  <c r="AW4" i="16"/>
  <c r="AT4" i="16"/>
  <c r="AW3" i="16"/>
  <c r="AT3" i="16"/>
  <c r="AT27" i="15" l="1"/>
  <c r="AV32" i="15" l="1"/>
  <c r="AS32" i="15"/>
  <c r="AV31" i="15"/>
  <c r="AS31" i="15"/>
  <c r="AV30" i="15"/>
  <c r="AS30" i="15"/>
  <c r="AV29" i="15"/>
  <c r="AS29" i="15"/>
  <c r="AV28" i="15"/>
  <c r="AS28" i="15"/>
  <c r="AV27" i="15"/>
  <c r="AS27" i="15"/>
  <c r="AV26" i="15"/>
  <c r="AS26" i="15"/>
  <c r="AV25" i="15"/>
  <c r="AS25" i="15"/>
  <c r="AV24" i="15"/>
  <c r="AS24" i="15"/>
  <c r="AV23" i="15"/>
  <c r="AS23" i="15"/>
  <c r="AV22" i="15"/>
  <c r="AS22" i="15"/>
  <c r="AV18" i="15"/>
  <c r="AS18" i="15"/>
  <c r="AV17" i="15"/>
  <c r="AS17" i="15"/>
  <c r="AV16" i="15"/>
  <c r="AS16" i="15"/>
  <c r="AV15" i="15"/>
  <c r="AS15" i="15"/>
  <c r="AV14" i="15"/>
  <c r="AS14" i="15"/>
  <c r="AV13" i="15"/>
  <c r="AS13" i="15"/>
  <c r="AV12" i="15"/>
  <c r="AS12" i="15"/>
  <c r="AV11" i="15"/>
  <c r="AS11" i="15"/>
  <c r="AV10" i="15"/>
  <c r="AS10" i="15"/>
  <c r="AV8" i="15"/>
  <c r="AS8" i="15"/>
  <c r="AV5" i="15"/>
  <c r="AS5" i="15"/>
  <c r="AV4" i="15"/>
  <c r="AS4" i="15"/>
  <c r="AV3" i="15"/>
  <c r="AS3" i="15"/>
  <c r="AV32" i="14" l="1"/>
  <c r="AS32" i="14"/>
  <c r="AV31" i="14"/>
  <c r="AS31" i="14"/>
  <c r="AV30" i="14"/>
  <c r="AS30" i="14"/>
  <c r="AV29" i="14"/>
  <c r="AS29" i="14"/>
  <c r="AV28" i="14"/>
  <c r="AS28" i="14"/>
  <c r="AV27" i="14"/>
  <c r="AS27" i="14"/>
  <c r="AV26" i="14"/>
  <c r="AS26" i="14"/>
  <c r="AV25" i="14"/>
  <c r="AS25" i="14"/>
  <c r="AV24" i="14"/>
  <c r="AS24" i="14"/>
  <c r="AV23" i="14"/>
  <c r="AS23" i="14"/>
  <c r="AV22" i="14"/>
  <c r="AS22" i="14"/>
  <c r="AV18" i="14"/>
  <c r="AS18" i="14"/>
  <c r="AV17" i="14"/>
  <c r="AS17" i="14"/>
  <c r="AV16" i="14"/>
  <c r="AS16" i="14"/>
  <c r="AV15" i="14"/>
  <c r="AS15" i="14"/>
  <c r="AV14" i="14"/>
  <c r="AS14" i="14"/>
  <c r="AV13" i="14"/>
  <c r="AS13" i="14"/>
  <c r="AV12" i="14"/>
  <c r="AS12" i="14"/>
  <c r="AV11" i="14"/>
  <c r="AS11" i="14"/>
  <c r="AV10" i="14"/>
  <c r="AS10" i="14"/>
  <c r="AV8" i="14"/>
  <c r="AS8" i="14"/>
  <c r="AV5" i="14"/>
  <c r="AS5" i="14"/>
  <c r="AV4" i="14"/>
  <c r="AS4" i="14"/>
  <c r="AV3" i="14"/>
  <c r="AS3" i="14"/>
  <c r="AU29" i="13" l="1"/>
  <c r="AR29" i="13"/>
  <c r="AV32" i="13" l="1"/>
  <c r="AS32" i="13"/>
  <c r="AV31" i="13"/>
  <c r="AS31" i="13"/>
  <c r="AV30" i="13"/>
  <c r="AS30" i="13"/>
  <c r="AV29" i="13"/>
  <c r="AS29" i="13"/>
  <c r="AV28" i="13"/>
  <c r="AS28" i="13"/>
  <c r="AV27" i="13"/>
  <c r="AS27" i="13"/>
  <c r="AV26" i="13"/>
  <c r="AS26" i="13"/>
  <c r="AV25" i="13"/>
  <c r="AS25" i="13"/>
  <c r="AV24" i="13"/>
  <c r="AS24" i="13"/>
  <c r="AV23" i="13"/>
  <c r="AS23" i="13"/>
  <c r="AV22" i="13"/>
  <c r="AS22" i="13"/>
  <c r="AV18" i="13"/>
  <c r="AS18" i="13"/>
  <c r="AV17" i="13"/>
  <c r="AS17" i="13"/>
  <c r="AV16" i="13"/>
  <c r="AS16" i="13"/>
  <c r="AV15" i="13"/>
  <c r="AS15" i="13"/>
  <c r="AV14" i="13"/>
  <c r="AS14" i="13"/>
  <c r="AV13" i="13"/>
  <c r="AS13" i="13"/>
  <c r="AV12" i="13"/>
  <c r="AS12" i="13"/>
  <c r="AV11" i="13"/>
  <c r="AS11" i="13"/>
  <c r="AV10" i="13"/>
  <c r="AS10" i="13"/>
  <c r="AV8" i="13"/>
  <c r="AS8" i="13"/>
  <c r="AV5" i="13"/>
  <c r="AS5" i="13"/>
  <c r="AV4" i="13"/>
  <c r="AS4" i="13"/>
  <c r="AV3" i="13"/>
  <c r="AS3" i="13"/>
  <c r="AV32" i="12" l="1"/>
  <c r="AS32" i="12"/>
  <c r="AV31" i="12"/>
  <c r="AS31" i="12"/>
  <c r="AV30" i="12"/>
  <c r="AS30" i="12"/>
  <c r="AV29" i="12"/>
  <c r="AS29" i="12"/>
  <c r="AV28" i="12"/>
  <c r="AS28" i="12"/>
  <c r="AV27" i="12"/>
  <c r="AS27" i="12"/>
  <c r="AV26" i="12"/>
  <c r="AS26" i="12"/>
  <c r="AV25" i="12"/>
  <c r="AS25" i="12"/>
  <c r="AV24" i="12"/>
  <c r="AS24" i="12"/>
  <c r="AV23" i="12"/>
  <c r="AS23" i="12"/>
  <c r="AV22" i="12"/>
  <c r="AS22" i="12"/>
  <c r="AV18" i="12"/>
  <c r="AS18" i="12"/>
  <c r="AV17" i="12"/>
  <c r="AS17" i="12"/>
  <c r="AV16" i="12"/>
  <c r="AS16" i="12"/>
  <c r="AV15" i="12"/>
  <c r="AS15" i="12"/>
  <c r="AV14" i="12"/>
  <c r="AS14" i="12"/>
  <c r="AV13" i="12"/>
  <c r="AS13" i="12"/>
  <c r="AV12" i="12"/>
  <c r="AS12" i="12"/>
  <c r="AV11" i="12"/>
  <c r="AS11" i="12"/>
  <c r="AV10" i="12"/>
  <c r="AS10" i="12"/>
  <c r="AV8" i="12"/>
  <c r="AS8" i="12"/>
  <c r="AV5" i="12"/>
  <c r="AS5" i="12"/>
  <c r="AV4" i="12"/>
  <c r="AS4" i="12"/>
  <c r="AV3" i="12"/>
  <c r="AS3" i="12"/>
  <c r="AV32" i="11" l="1"/>
  <c r="AS32" i="11"/>
  <c r="AV31" i="11"/>
  <c r="AS31" i="11"/>
  <c r="AV30" i="11"/>
  <c r="AS30" i="11"/>
  <c r="AV29" i="11"/>
  <c r="AS29" i="11"/>
  <c r="AV28" i="11"/>
  <c r="AS28" i="11"/>
  <c r="AV27" i="11"/>
  <c r="AS27" i="11"/>
  <c r="AV26" i="11"/>
  <c r="AS26" i="11"/>
  <c r="AV25" i="11"/>
  <c r="AS25" i="11"/>
  <c r="AV24" i="11"/>
  <c r="AS24" i="11"/>
  <c r="AV23" i="11"/>
  <c r="AS23" i="11"/>
  <c r="AV22" i="11"/>
  <c r="AS22" i="11"/>
  <c r="AV18" i="11"/>
  <c r="AS18" i="11"/>
  <c r="AV17" i="11"/>
  <c r="AS17" i="11"/>
  <c r="AV16" i="11"/>
  <c r="AS16" i="11"/>
  <c r="AV15" i="11"/>
  <c r="AS15" i="11"/>
  <c r="AV14" i="11"/>
  <c r="AS14" i="11"/>
  <c r="AV13" i="11"/>
  <c r="AS13" i="11"/>
  <c r="AV12" i="11"/>
  <c r="AS12" i="11"/>
  <c r="AV11" i="11"/>
  <c r="AS11" i="11"/>
  <c r="AV10" i="11"/>
  <c r="AS10" i="11"/>
  <c r="AV8" i="11"/>
  <c r="AS8" i="11"/>
  <c r="AV5" i="11"/>
  <c r="AS5" i="11"/>
  <c r="AV4" i="11"/>
  <c r="AS4" i="11"/>
  <c r="AV3" i="11"/>
  <c r="AS3" i="11"/>
  <c r="AV32" i="9" l="1"/>
  <c r="AS32" i="9"/>
  <c r="AV31" i="9"/>
  <c r="AS31" i="9"/>
  <c r="AV30" i="9"/>
  <c r="AS30" i="9"/>
  <c r="AV29" i="9"/>
  <c r="AS29" i="9"/>
  <c r="AV28" i="9"/>
  <c r="AS28" i="9"/>
  <c r="AV27" i="9"/>
  <c r="AS27" i="9"/>
  <c r="AV26" i="9"/>
  <c r="AS26" i="9"/>
  <c r="AV25" i="9"/>
  <c r="AS25" i="9"/>
  <c r="AV24" i="9"/>
  <c r="AS24" i="9"/>
  <c r="AV23" i="9"/>
  <c r="AS23" i="9"/>
  <c r="AV22" i="9"/>
  <c r="AS22" i="9"/>
  <c r="AV18" i="9"/>
  <c r="AS18" i="9"/>
  <c r="AV17" i="9"/>
  <c r="AS17" i="9"/>
  <c r="AV16" i="9"/>
  <c r="AS16" i="9"/>
  <c r="AV15" i="9"/>
  <c r="AS15" i="9"/>
  <c r="AV14" i="9"/>
  <c r="AS14" i="9"/>
  <c r="AV13" i="9"/>
  <c r="AS13" i="9"/>
  <c r="AV12" i="9"/>
  <c r="AS12" i="9"/>
  <c r="AV11" i="9"/>
  <c r="AS11" i="9"/>
  <c r="AV10" i="9"/>
  <c r="AS10" i="9"/>
  <c r="AV8" i="9"/>
  <c r="AS8" i="9"/>
  <c r="AV5" i="9"/>
  <c r="AS5" i="9"/>
  <c r="AV4" i="9"/>
  <c r="AS4" i="9"/>
  <c r="AV3" i="9"/>
  <c r="AS3" i="9"/>
  <c r="AV32" i="10"/>
  <c r="AS32" i="10"/>
  <c r="AV31" i="10"/>
  <c r="AS31" i="10"/>
  <c r="AV30" i="10"/>
  <c r="AS30" i="10"/>
  <c r="AV29" i="10"/>
  <c r="AS29" i="10"/>
  <c r="AV28" i="10"/>
  <c r="AS28" i="10"/>
  <c r="AV27" i="10"/>
  <c r="AS27" i="10"/>
  <c r="AV26" i="10"/>
  <c r="AS26" i="10"/>
  <c r="AV25" i="10"/>
  <c r="AS25" i="10"/>
  <c r="AV24" i="10"/>
  <c r="AS24" i="10"/>
  <c r="AV23" i="10"/>
  <c r="AS23" i="10"/>
  <c r="AV22" i="10"/>
  <c r="AS22" i="10"/>
  <c r="AV18" i="10"/>
  <c r="AS18" i="10"/>
  <c r="AV17" i="10"/>
  <c r="AS17" i="10"/>
  <c r="AV16" i="10"/>
  <c r="AS16" i="10"/>
  <c r="AV15" i="10"/>
  <c r="AS15" i="10"/>
  <c r="AV14" i="10"/>
  <c r="AS14" i="10"/>
  <c r="AV13" i="10"/>
  <c r="AS13" i="10"/>
  <c r="AV12" i="10"/>
  <c r="AS12" i="10"/>
  <c r="AV11" i="10"/>
  <c r="AS11" i="10"/>
  <c r="AV10" i="10"/>
  <c r="AS10" i="10"/>
  <c r="AS9" i="10"/>
  <c r="AV8" i="10"/>
  <c r="AS8" i="10"/>
  <c r="AV5" i="10"/>
  <c r="AS5" i="10"/>
  <c r="AV4" i="10"/>
  <c r="AS4" i="10"/>
  <c r="AV3" i="10"/>
  <c r="AS3" i="10"/>
  <c r="AV32" i="8" l="1"/>
  <c r="AS32" i="8"/>
  <c r="AV31" i="8"/>
  <c r="AS31" i="8"/>
  <c r="AV30" i="8"/>
  <c r="AS30" i="8"/>
  <c r="AV29" i="8"/>
  <c r="AS29" i="8"/>
  <c r="AV28" i="8"/>
  <c r="AS28" i="8"/>
  <c r="AV27" i="8"/>
  <c r="AS27" i="8"/>
  <c r="AV26" i="8"/>
  <c r="AS26" i="8"/>
  <c r="AV25" i="8"/>
  <c r="AS25" i="8"/>
  <c r="AV24" i="8"/>
  <c r="AS24" i="8"/>
  <c r="AV23" i="8"/>
  <c r="AS23" i="8"/>
  <c r="AV22" i="8"/>
  <c r="AS22" i="8"/>
  <c r="AV18" i="8"/>
  <c r="AS18" i="8"/>
  <c r="AV17" i="8"/>
  <c r="AS17" i="8"/>
  <c r="AV16" i="8"/>
  <c r="AS16" i="8"/>
  <c r="AV15" i="8"/>
  <c r="AS15" i="8"/>
  <c r="AV14" i="8"/>
  <c r="AS14" i="8"/>
  <c r="AV13" i="8"/>
  <c r="AS13" i="8"/>
  <c r="AV12" i="8"/>
  <c r="AS12" i="8"/>
  <c r="AV11" i="8"/>
  <c r="AS11" i="8"/>
  <c r="AV10" i="8"/>
  <c r="AS10" i="8"/>
  <c r="AV8" i="8"/>
  <c r="AS8" i="8"/>
  <c r="AV5" i="8"/>
  <c r="AS5" i="8"/>
  <c r="AV4" i="8"/>
  <c r="AS4" i="8"/>
  <c r="AV3" i="8"/>
  <c r="AS3" i="8"/>
  <c r="AV32" i="7" l="1"/>
  <c r="AS32" i="7"/>
  <c r="AV31" i="7"/>
  <c r="AS31" i="7"/>
  <c r="AV30" i="7"/>
  <c r="AS30" i="7"/>
  <c r="AV29" i="7"/>
  <c r="AS29" i="7"/>
  <c r="AV28" i="7"/>
  <c r="AS28" i="7"/>
  <c r="AV27" i="7"/>
  <c r="AS27" i="7"/>
  <c r="AV26" i="7"/>
  <c r="AS26" i="7"/>
  <c r="AV25" i="7"/>
  <c r="AS25" i="7"/>
  <c r="AV24" i="7"/>
  <c r="AS24" i="7"/>
  <c r="AV23" i="7"/>
  <c r="AS23" i="7"/>
  <c r="AV22" i="7"/>
  <c r="AS22" i="7"/>
  <c r="AV18" i="7"/>
  <c r="AS18" i="7"/>
  <c r="AV17" i="7"/>
  <c r="AS17" i="7"/>
  <c r="AV16" i="7"/>
  <c r="AS16" i="7"/>
  <c r="AV15" i="7"/>
  <c r="AS15" i="7"/>
  <c r="AV14" i="7"/>
  <c r="AS14" i="7"/>
  <c r="AV13" i="7"/>
  <c r="AS13" i="7"/>
  <c r="AV12" i="7"/>
  <c r="AS12" i="7"/>
  <c r="AV11" i="7"/>
  <c r="AS11" i="7"/>
  <c r="AV10" i="7"/>
  <c r="AS10" i="7"/>
  <c r="AV8" i="7"/>
  <c r="AS8" i="7"/>
  <c r="AV5" i="7"/>
  <c r="AS5" i="7"/>
  <c r="AV4" i="7"/>
  <c r="AS4" i="7"/>
  <c r="AV3" i="7"/>
  <c r="AS3" i="7"/>
  <c r="AV17" i="6" l="1"/>
  <c r="AS17" i="6"/>
  <c r="AV16" i="6"/>
  <c r="AS16" i="6"/>
  <c r="AV15" i="6"/>
  <c r="AS15" i="6"/>
  <c r="AV14" i="6"/>
  <c r="AS14" i="6"/>
  <c r="AV13" i="6"/>
  <c r="AS13" i="6"/>
  <c r="AV12" i="6"/>
  <c r="AS12" i="6"/>
  <c r="AV11" i="6"/>
  <c r="AS11" i="6"/>
  <c r="AV10" i="6"/>
  <c r="AS10" i="6"/>
  <c r="AV9" i="6"/>
  <c r="AS9" i="6"/>
  <c r="AV8" i="6"/>
  <c r="AV7" i="6"/>
  <c r="AS7" i="6"/>
  <c r="AV5" i="6"/>
  <c r="AS5" i="6"/>
  <c r="AV4" i="6"/>
  <c r="AS4" i="6"/>
  <c r="AV3" i="6"/>
  <c r="AS3" i="6"/>
  <c r="AV32" i="17" l="1"/>
  <c r="AS32" i="17"/>
  <c r="AV31" i="17"/>
  <c r="AS31" i="17"/>
  <c r="AV30" i="17"/>
  <c r="AS30" i="17"/>
  <c r="AV29" i="17"/>
  <c r="AS29" i="17"/>
  <c r="AV28" i="17"/>
  <c r="AS28" i="17"/>
  <c r="AV27" i="17"/>
  <c r="AS27" i="17"/>
  <c r="AV26" i="17"/>
  <c r="AS26" i="17"/>
  <c r="AV25" i="17"/>
  <c r="AS25" i="17"/>
  <c r="AV24" i="17"/>
  <c r="AS24" i="17"/>
  <c r="AV23" i="17"/>
  <c r="AS23" i="17"/>
  <c r="AV22" i="17"/>
  <c r="AS22" i="17"/>
  <c r="AV18" i="17"/>
  <c r="AS18" i="17"/>
  <c r="AV17" i="17"/>
  <c r="AS17" i="17"/>
  <c r="AV16" i="17"/>
  <c r="AS16" i="17"/>
  <c r="AV15" i="17"/>
  <c r="AS15" i="17"/>
  <c r="AV14" i="17"/>
  <c r="AS14" i="17"/>
  <c r="AV13" i="17"/>
  <c r="AS13" i="17"/>
  <c r="AV12" i="17"/>
  <c r="AS12" i="17"/>
  <c r="AV11" i="17"/>
  <c r="AS11" i="17"/>
  <c r="AV10" i="17"/>
  <c r="AS10" i="17"/>
  <c r="AV8" i="17"/>
  <c r="AS8" i="17"/>
  <c r="AV5" i="17"/>
  <c r="AS5" i="17"/>
  <c r="AV4" i="17"/>
  <c r="AS4" i="17"/>
  <c r="AV3" i="17"/>
  <c r="AS3" i="17"/>
  <c r="BF32" i="16" l="1"/>
  <c r="BC32" i="16"/>
  <c r="BF31" i="16"/>
  <c r="BC31" i="16"/>
  <c r="BF30" i="16"/>
  <c r="BC30" i="16"/>
  <c r="BF29" i="16"/>
  <c r="BC29" i="16"/>
  <c r="BF28" i="16"/>
  <c r="BC28" i="16"/>
  <c r="BF27" i="16"/>
  <c r="BC27" i="16"/>
  <c r="BF26" i="16"/>
  <c r="BC26" i="16"/>
  <c r="BF25" i="16"/>
  <c r="BC25" i="16"/>
  <c r="BF24" i="16"/>
  <c r="BC24" i="16"/>
  <c r="BF23" i="16"/>
  <c r="BC23" i="16"/>
  <c r="BF22" i="16"/>
  <c r="BC22" i="16"/>
  <c r="BF18" i="16"/>
  <c r="BC18" i="16"/>
  <c r="BF17" i="16"/>
  <c r="BC17" i="16"/>
  <c r="BF16" i="16"/>
  <c r="BC16" i="16"/>
  <c r="BF15" i="16"/>
  <c r="BC15" i="16"/>
  <c r="BF14" i="16"/>
  <c r="BC14" i="16"/>
  <c r="BF13" i="16"/>
  <c r="BC13" i="16"/>
  <c r="BF12" i="16"/>
  <c r="BC12" i="16"/>
  <c r="BF11" i="16"/>
  <c r="BC11" i="16"/>
  <c r="BF10" i="16"/>
  <c r="BC10" i="16"/>
  <c r="BF8" i="16"/>
  <c r="BC8" i="16"/>
  <c r="BF5" i="16"/>
  <c r="BC5" i="16"/>
  <c r="BF4" i="16"/>
  <c r="BC4" i="16"/>
  <c r="BF3" i="16"/>
  <c r="BC3" i="16"/>
  <c r="BD32" i="15" l="1"/>
  <c r="BA32" i="15"/>
  <c r="BD31" i="15"/>
  <c r="BA31" i="15"/>
  <c r="BD30" i="15"/>
  <c r="BA30" i="15"/>
  <c r="BD29" i="15"/>
  <c r="BA29" i="15"/>
  <c r="BD28" i="15"/>
  <c r="BA28" i="15"/>
  <c r="BD27" i="15"/>
  <c r="BA27" i="15"/>
  <c r="BD26" i="15"/>
  <c r="BA26" i="15"/>
  <c r="BD25" i="15"/>
  <c r="BA25" i="15"/>
  <c r="BD24" i="15"/>
  <c r="BA24" i="15"/>
  <c r="BD23" i="15"/>
  <c r="BA23" i="15"/>
  <c r="BD22" i="15"/>
  <c r="BA22" i="15"/>
  <c r="BD18" i="15"/>
  <c r="BA18" i="15"/>
  <c r="BD17" i="15"/>
  <c r="BA17" i="15"/>
  <c r="BD16" i="15"/>
  <c r="BA16" i="15"/>
  <c r="BD15" i="15"/>
  <c r="BA15" i="15"/>
  <c r="BD14" i="15"/>
  <c r="BA14" i="15"/>
  <c r="BD13" i="15"/>
  <c r="BA13" i="15"/>
  <c r="BD12" i="15"/>
  <c r="BA12" i="15"/>
  <c r="BD11" i="15"/>
  <c r="BA11" i="15"/>
  <c r="BD10" i="15"/>
  <c r="BA10" i="15"/>
  <c r="BD8" i="15"/>
  <c r="BA8" i="15"/>
  <c r="BD5" i="15"/>
  <c r="BA5" i="15"/>
  <c r="BD4" i="15"/>
  <c r="BA4" i="15"/>
  <c r="BD3" i="15"/>
  <c r="BA3" i="15"/>
  <c r="BD32" i="14" l="1"/>
  <c r="BA32" i="14"/>
  <c r="BD31" i="14"/>
  <c r="BA31" i="14"/>
  <c r="BD30" i="14"/>
  <c r="BA30" i="14"/>
  <c r="BD29" i="14"/>
  <c r="BA29" i="14"/>
  <c r="BD28" i="14"/>
  <c r="BA28" i="14"/>
  <c r="BD27" i="14"/>
  <c r="BA27" i="14"/>
  <c r="BD26" i="14"/>
  <c r="BA26" i="14"/>
  <c r="BD25" i="14"/>
  <c r="BA25" i="14"/>
  <c r="BD24" i="14"/>
  <c r="BA24" i="14"/>
  <c r="BD23" i="14"/>
  <c r="BA23" i="14"/>
  <c r="BD22" i="14"/>
  <c r="BA22" i="14"/>
  <c r="BD18" i="14"/>
  <c r="BA18" i="14"/>
  <c r="BD17" i="14"/>
  <c r="BA17" i="14"/>
  <c r="BD16" i="14"/>
  <c r="BA16" i="14"/>
  <c r="BD15" i="14"/>
  <c r="BA15" i="14"/>
  <c r="BD14" i="14"/>
  <c r="BA14" i="14"/>
  <c r="BD13" i="14"/>
  <c r="BA13" i="14"/>
  <c r="BD12" i="14"/>
  <c r="BA12" i="14"/>
  <c r="BD11" i="14"/>
  <c r="BA11" i="14"/>
  <c r="BD10" i="14"/>
  <c r="BA10" i="14"/>
  <c r="BD8" i="14"/>
  <c r="BA8" i="14"/>
  <c r="BD5" i="14"/>
  <c r="BA5" i="14"/>
  <c r="BD4" i="14"/>
  <c r="BA4" i="14"/>
  <c r="BD3" i="14"/>
  <c r="BA3" i="14"/>
  <c r="BC15" i="13" l="1"/>
  <c r="AZ15" i="13"/>
  <c r="BL32" i="11" l="1"/>
  <c r="BI32" i="11"/>
  <c r="BL31" i="11"/>
  <c r="BI31" i="11"/>
  <c r="BL30" i="11"/>
  <c r="BI30" i="11"/>
  <c r="BL29" i="11"/>
  <c r="BI29" i="11"/>
  <c r="BL28" i="11"/>
  <c r="BI28" i="11"/>
  <c r="BL27" i="11"/>
  <c r="BI27" i="11"/>
  <c r="BL26" i="11"/>
  <c r="BI26" i="11"/>
  <c r="BL25" i="11"/>
  <c r="BI25" i="11"/>
  <c r="BL24" i="11"/>
  <c r="BI24" i="11"/>
  <c r="BL23" i="11"/>
  <c r="BI23" i="11"/>
  <c r="BL22" i="11"/>
  <c r="BI22" i="11"/>
  <c r="BL18" i="11"/>
  <c r="BI18" i="11"/>
  <c r="BL17" i="11"/>
  <c r="BI17" i="11"/>
  <c r="BL16" i="11"/>
  <c r="BI16" i="11"/>
  <c r="BL15" i="11"/>
  <c r="BI15" i="11"/>
  <c r="BI14" i="11"/>
  <c r="BI13" i="11"/>
  <c r="BI12" i="11"/>
  <c r="BI11" i="11"/>
  <c r="BI10" i="11"/>
  <c r="BI9" i="11"/>
  <c r="BL8" i="11"/>
  <c r="BI8" i="11"/>
  <c r="BL5" i="11"/>
  <c r="BI5" i="11"/>
  <c r="BL4" i="11"/>
  <c r="BI4" i="11"/>
  <c r="BL3" i="11"/>
  <c r="BI3" i="11"/>
  <c r="BN32" i="12"/>
  <c r="BK32" i="12"/>
  <c r="BN31" i="12"/>
  <c r="BK31" i="12"/>
  <c r="BN30" i="12"/>
  <c r="BK30" i="12"/>
  <c r="BN29" i="12"/>
  <c r="BK29" i="12"/>
  <c r="BN28" i="12"/>
  <c r="BK28" i="12"/>
  <c r="BN27" i="12"/>
  <c r="BK27" i="12"/>
  <c r="BN26" i="12"/>
  <c r="BK26" i="12"/>
  <c r="BN25" i="12"/>
  <c r="BK25" i="12"/>
  <c r="BN24" i="12"/>
  <c r="BK24" i="12"/>
  <c r="BN23" i="12"/>
  <c r="BK23" i="12"/>
  <c r="BN22" i="12"/>
  <c r="BK22" i="12"/>
  <c r="BN18" i="12"/>
  <c r="BK18" i="12"/>
  <c r="BN17" i="12"/>
  <c r="BK17" i="12"/>
  <c r="BN16" i="12"/>
  <c r="BK16" i="12"/>
  <c r="BN15" i="12"/>
  <c r="BK15" i="12"/>
  <c r="BK14" i="12"/>
  <c r="BK13" i="12"/>
  <c r="BK12" i="12"/>
  <c r="BK11" i="12"/>
  <c r="BK10" i="12"/>
  <c r="BN8" i="12"/>
  <c r="BK8" i="12"/>
  <c r="BN5" i="12"/>
  <c r="BK5" i="12"/>
  <c r="BN4" i="12"/>
  <c r="BK4" i="12"/>
  <c r="BN3" i="12"/>
  <c r="BK3" i="12"/>
  <c r="BD32" i="13" l="1"/>
  <c r="BA32" i="13"/>
  <c r="BD31" i="13"/>
  <c r="BA31" i="13"/>
  <c r="BD30" i="13"/>
  <c r="BA30" i="13"/>
  <c r="BD29" i="13"/>
  <c r="BA29" i="13"/>
  <c r="BD28" i="13"/>
  <c r="BA28" i="13"/>
  <c r="BD27" i="13"/>
  <c r="BA27" i="13"/>
  <c r="BD26" i="13"/>
  <c r="BA26" i="13"/>
  <c r="BD25" i="13"/>
  <c r="BA25" i="13"/>
  <c r="BD24" i="13"/>
  <c r="BA24" i="13"/>
  <c r="BD23" i="13"/>
  <c r="BA23" i="13"/>
  <c r="BD22" i="13"/>
  <c r="BA22" i="13"/>
  <c r="BD18" i="13"/>
  <c r="BA18" i="13"/>
  <c r="BD17" i="13"/>
  <c r="BA17" i="13"/>
  <c r="BD16" i="13"/>
  <c r="BA16" i="13"/>
  <c r="BD15" i="13"/>
  <c r="BA15" i="13"/>
  <c r="BD14" i="13"/>
  <c r="BA14" i="13"/>
  <c r="BD13" i="13"/>
  <c r="BA13" i="13"/>
  <c r="BD12" i="13"/>
  <c r="BA12" i="13"/>
  <c r="BD11" i="13"/>
  <c r="BA11" i="13"/>
  <c r="BD10" i="13"/>
  <c r="BA10" i="13"/>
  <c r="BD9" i="13"/>
  <c r="BD8" i="13"/>
  <c r="BA8" i="13"/>
  <c r="BD5" i="13"/>
  <c r="BA5" i="13"/>
  <c r="BD4" i="13"/>
  <c r="BA4" i="13"/>
  <c r="BD3" i="13"/>
  <c r="BA3" i="13"/>
  <c r="AZ15" i="12" l="1"/>
  <c r="AZ8" i="12"/>
  <c r="BD10" i="12"/>
  <c r="BD11" i="12"/>
  <c r="BD12" i="12"/>
  <c r="BD13" i="12"/>
  <c r="BD14" i="12"/>
  <c r="BC8" i="12"/>
  <c r="BC15" i="12"/>
  <c r="BA29" i="11" l="1"/>
  <c r="BB8" i="11" l="1"/>
  <c r="BC8" i="11"/>
  <c r="BD4" i="11" l="1"/>
  <c r="BD9" i="11" l="1"/>
  <c r="BD10" i="11"/>
  <c r="BD11" i="11"/>
  <c r="BD12" i="11"/>
  <c r="BD13" i="11"/>
  <c r="BD14" i="11"/>
  <c r="BD32" i="11"/>
  <c r="BA32" i="11"/>
  <c r="BD31" i="11"/>
  <c r="BA31" i="11"/>
  <c r="BD30" i="11"/>
  <c r="BA30" i="11"/>
  <c r="BD29" i="11"/>
  <c r="BD28" i="11"/>
  <c r="BA28" i="11"/>
  <c r="BD27" i="11"/>
  <c r="BA27" i="11"/>
  <c r="BD26" i="11"/>
  <c r="BA26" i="11"/>
  <c r="BD25" i="11"/>
  <c r="BA25" i="11"/>
  <c r="BD24" i="11"/>
  <c r="BA24" i="11"/>
  <c r="BD23" i="11"/>
  <c r="BA23" i="11"/>
  <c r="BD22" i="11"/>
  <c r="BA22" i="11"/>
  <c r="BD18" i="11"/>
  <c r="BA18" i="11"/>
  <c r="BD17" i="11"/>
  <c r="BA17" i="11"/>
  <c r="BD16" i="11"/>
  <c r="BA16" i="11"/>
  <c r="BD15" i="11"/>
  <c r="BA15" i="11"/>
  <c r="BA14" i="11"/>
  <c r="BA13" i="11"/>
  <c r="BA12" i="11"/>
  <c r="BA11" i="11"/>
  <c r="BA10" i="11"/>
  <c r="BA9" i="11"/>
  <c r="BD8" i="11"/>
  <c r="BA8" i="11"/>
  <c r="BD5" i="11"/>
  <c r="BA5" i="11"/>
  <c r="BA4" i="11"/>
  <c r="BD3" i="11"/>
  <c r="BA3" i="11"/>
  <c r="BD32" i="10" l="1"/>
  <c r="BD31" i="10"/>
  <c r="BD30" i="10"/>
  <c r="BD29" i="10"/>
  <c r="BD28" i="10"/>
  <c r="BD27" i="10"/>
  <c r="BD26" i="10"/>
  <c r="BA16" i="10" l="1"/>
  <c r="BA17" i="10"/>
  <c r="BD11" i="10" l="1"/>
  <c r="BD12" i="10"/>
  <c r="BD13" i="10"/>
  <c r="BD14" i="10"/>
  <c r="BD10" i="10"/>
  <c r="BD8" i="10"/>
  <c r="BD5" i="10"/>
  <c r="BC15" i="10" l="1"/>
  <c r="AZ15" i="10"/>
  <c r="BA32" i="10" l="1"/>
  <c r="BA31" i="10"/>
  <c r="BA30" i="10"/>
  <c r="BA29" i="10"/>
  <c r="BA28" i="10"/>
  <c r="BA27" i="10"/>
  <c r="BA26" i="10"/>
  <c r="BD25" i="10"/>
  <c r="BA25" i="10"/>
  <c r="BD24" i="10"/>
  <c r="BA24" i="10"/>
  <c r="BD23" i="10"/>
  <c r="BA23" i="10"/>
  <c r="BD22" i="10"/>
  <c r="BA22" i="10"/>
  <c r="BD18" i="10"/>
  <c r="BA18" i="10"/>
  <c r="BD17" i="10"/>
  <c r="BD16" i="10"/>
  <c r="BD15" i="10"/>
  <c r="BA15" i="10"/>
  <c r="BA14" i="10"/>
  <c r="BA13" i="10"/>
  <c r="BA12" i="10"/>
  <c r="BA11" i="10"/>
  <c r="BA10" i="10"/>
  <c r="BA9" i="10"/>
  <c r="BA8" i="10"/>
  <c r="BA5" i="10"/>
  <c r="BD4" i="10"/>
  <c r="BA4" i="10"/>
  <c r="BD3" i="10"/>
  <c r="BA3" i="10"/>
  <c r="BD9" i="9" l="1"/>
  <c r="BD10" i="9"/>
  <c r="BD11" i="9"/>
  <c r="BD12" i="9"/>
  <c r="BD13" i="9"/>
  <c r="BD14" i="9"/>
  <c r="BD32" i="9" l="1"/>
  <c r="BA32" i="9"/>
  <c r="BD31" i="9"/>
  <c r="BA31" i="9"/>
  <c r="BD30" i="9"/>
  <c r="BA30" i="9"/>
  <c r="BD29" i="9"/>
  <c r="BA29" i="9"/>
  <c r="BD28" i="9"/>
  <c r="BA28" i="9"/>
  <c r="BD27" i="9"/>
  <c r="BA27" i="9"/>
  <c r="BD26" i="9"/>
  <c r="BA26" i="9"/>
  <c r="BD25" i="9"/>
  <c r="BA25" i="9"/>
  <c r="BD24" i="9"/>
  <c r="BA24" i="9"/>
  <c r="BD23" i="9"/>
  <c r="BA23" i="9"/>
  <c r="BD22" i="9"/>
  <c r="BA22" i="9"/>
  <c r="BD18" i="9"/>
  <c r="BA18" i="9"/>
  <c r="BD17" i="9"/>
  <c r="BA17" i="9"/>
  <c r="BD16" i="9"/>
  <c r="BA16" i="9"/>
  <c r="BD15" i="9"/>
  <c r="BA15" i="9"/>
  <c r="BA14" i="9"/>
  <c r="BA13" i="9"/>
  <c r="BA12" i="9"/>
  <c r="BA11" i="9"/>
  <c r="BA10" i="9"/>
  <c r="BD8" i="9"/>
  <c r="BA8" i="9"/>
  <c r="BD5" i="9"/>
  <c r="BA5" i="9"/>
  <c r="BD4" i="9"/>
  <c r="BA4" i="9"/>
  <c r="BD3" i="9"/>
  <c r="BA3" i="9"/>
  <c r="BD9" i="8" l="1"/>
  <c r="BD10" i="8"/>
  <c r="BD11" i="8"/>
  <c r="BD12" i="8"/>
  <c r="BD13" i="8"/>
  <c r="BD32" i="8"/>
  <c r="BA32" i="8"/>
  <c r="BD31" i="8"/>
  <c r="BA31" i="8"/>
  <c r="BD30" i="8"/>
  <c r="BA30" i="8"/>
  <c r="BD29" i="8"/>
  <c r="BA29" i="8"/>
  <c r="BD28" i="8"/>
  <c r="BA28" i="8"/>
  <c r="BD27" i="8"/>
  <c r="BA27" i="8"/>
  <c r="BD26" i="8"/>
  <c r="BA26" i="8"/>
  <c r="BD25" i="8"/>
  <c r="BA25" i="8"/>
  <c r="BD24" i="8"/>
  <c r="BA24" i="8"/>
  <c r="BD23" i="8"/>
  <c r="BA23" i="8"/>
  <c r="BD22" i="8"/>
  <c r="BA22" i="8"/>
  <c r="BD18" i="8"/>
  <c r="BA18" i="8"/>
  <c r="BD17" i="8"/>
  <c r="BA17" i="8"/>
  <c r="BD16" i="8"/>
  <c r="BA16" i="8"/>
  <c r="BD15" i="8"/>
  <c r="BA15" i="8"/>
  <c r="BD14" i="8"/>
  <c r="BA14" i="8"/>
  <c r="BA13" i="8"/>
  <c r="BA12" i="8"/>
  <c r="BA11" i="8"/>
  <c r="BA10" i="8"/>
  <c r="BD8" i="8"/>
  <c r="BA8" i="8"/>
  <c r="BD5" i="8"/>
  <c r="BA5" i="8"/>
  <c r="BD4" i="8"/>
  <c r="BA4" i="8"/>
  <c r="BD3" i="8"/>
  <c r="BA3" i="8"/>
  <c r="BD9" i="7" l="1"/>
  <c r="BD10" i="7"/>
  <c r="BD11" i="7"/>
  <c r="BD12" i="7"/>
  <c r="BD13" i="7"/>
  <c r="BD14" i="7"/>
  <c r="BD32" i="7" l="1"/>
  <c r="BA32" i="7"/>
  <c r="BD31" i="7"/>
  <c r="BA31" i="7"/>
  <c r="BD30" i="7"/>
  <c r="BA30" i="7"/>
  <c r="BD29" i="7"/>
  <c r="BA29" i="7"/>
  <c r="BD28" i="7"/>
  <c r="BA28" i="7"/>
  <c r="BD27" i="7"/>
  <c r="BA27" i="7"/>
  <c r="BD26" i="7"/>
  <c r="BA26" i="7"/>
  <c r="BD25" i="7"/>
  <c r="BA25" i="7"/>
  <c r="BD24" i="7"/>
  <c r="BA24" i="7"/>
  <c r="BD23" i="7"/>
  <c r="BA23" i="7"/>
  <c r="BD22" i="7"/>
  <c r="BA22" i="7"/>
  <c r="BD18" i="7"/>
  <c r="BA18" i="7"/>
  <c r="BD17" i="7"/>
  <c r="BA17" i="7"/>
  <c r="BD16" i="7"/>
  <c r="BA16" i="7"/>
  <c r="BD15" i="7"/>
  <c r="BA15" i="7"/>
  <c r="BA14" i="7"/>
  <c r="BA13" i="7"/>
  <c r="BA12" i="7"/>
  <c r="BA11" i="7"/>
  <c r="BA10" i="7"/>
  <c r="BD8" i="7"/>
  <c r="BA8" i="7"/>
  <c r="BD5" i="7"/>
  <c r="BA5" i="7"/>
  <c r="BD4" i="7"/>
  <c r="BA4" i="7"/>
  <c r="BD3" i="7"/>
  <c r="BA3" i="7"/>
  <c r="BD8" i="6" l="1"/>
  <c r="BD9" i="6"/>
  <c r="BD10" i="6"/>
  <c r="BD11" i="6"/>
  <c r="BD12" i="6"/>
  <c r="BD13" i="6"/>
  <c r="BD17" i="6" l="1"/>
  <c r="BA17" i="6"/>
  <c r="BD16" i="6"/>
  <c r="BA16" i="6"/>
  <c r="BD15" i="6"/>
  <c r="BA15" i="6"/>
  <c r="BD14" i="6"/>
  <c r="BA14" i="6"/>
  <c r="BA13" i="6"/>
  <c r="BA12" i="6"/>
  <c r="BA11" i="6"/>
  <c r="BA10" i="6"/>
  <c r="BA9" i="6"/>
  <c r="BD7" i="6"/>
  <c r="BA7" i="6"/>
  <c r="BD5" i="6"/>
  <c r="BA5" i="6"/>
  <c r="BD4" i="6"/>
  <c r="BA4" i="6"/>
  <c r="BD3" i="6"/>
  <c r="BA3" i="6"/>
  <c r="BD10" i="17" l="1"/>
  <c r="BD11" i="17"/>
  <c r="BD12" i="17"/>
  <c r="BD13" i="17"/>
  <c r="BD14" i="17"/>
  <c r="BA28" i="17"/>
  <c r="BD32" i="17"/>
  <c r="BA32" i="17"/>
  <c r="BD31" i="17"/>
  <c r="BA31" i="17"/>
  <c r="BD30" i="17"/>
  <c r="BA30" i="17"/>
  <c r="BD29" i="17"/>
  <c r="BD28" i="17"/>
  <c r="BD27" i="17"/>
  <c r="BA27" i="17"/>
  <c r="BD26" i="17"/>
  <c r="BA26" i="17"/>
  <c r="BD25" i="17"/>
  <c r="BA25" i="17"/>
  <c r="BD24" i="17"/>
  <c r="BA24" i="17"/>
  <c r="BD23" i="17"/>
  <c r="BA23" i="17"/>
  <c r="BD22" i="17"/>
  <c r="BA22" i="17"/>
  <c r="BD18" i="17"/>
  <c r="BA18" i="17"/>
  <c r="BD17" i="17"/>
  <c r="BA17" i="17"/>
  <c r="BD16" i="17"/>
  <c r="BA16" i="17"/>
  <c r="BD15" i="17"/>
  <c r="BA15" i="17"/>
  <c r="BA14" i="17"/>
  <c r="BA13" i="17"/>
  <c r="BA12" i="17"/>
  <c r="BA11" i="17"/>
  <c r="BA10" i="17"/>
  <c r="BD8" i="17"/>
  <c r="BA8" i="17"/>
  <c r="BD5" i="17"/>
  <c r="BA5" i="17"/>
  <c r="BD4" i="17"/>
  <c r="BA4" i="17"/>
  <c r="BD3" i="17"/>
  <c r="BA3" i="17"/>
  <c r="BA29" i="17" l="1"/>
  <c r="BN9" i="16"/>
  <c r="BN10" i="16"/>
  <c r="BN11" i="16"/>
  <c r="BN12" i="16"/>
  <c r="BN13" i="16"/>
  <c r="BN14" i="16"/>
  <c r="BK10" i="16"/>
  <c r="BN32" i="16"/>
  <c r="BK32" i="16"/>
  <c r="BN31" i="16"/>
  <c r="BK31" i="16"/>
  <c r="BN30" i="16"/>
  <c r="BK30" i="16"/>
  <c r="BN29" i="16"/>
  <c r="BK28" i="16"/>
  <c r="BN27" i="16"/>
  <c r="BK27" i="16"/>
  <c r="BN26" i="16"/>
  <c r="BK26" i="16"/>
  <c r="BN25" i="16"/>
  <c r="BK25" i="16"/>
  <c r="BN24" i="16"/>
  <c r="BK24" i="16"/>
  <c r="BN23" i="16"/>
  <c r="BK23" i="16"/>
  <c r="BN22" i="16"/>
  <c r="BK22" i="16"/>
  <c r="BN18" i="16"/>
  <c r="BK18" i="16"/>
  <c r="BN17" i="16"/>
  <c r="BK17" i="16"/>
  <c r="BN16" i="16"/>
  <c r="BK16" i="16"/>
  <c r="BN15" i="16"/>
  <c r="BK15" i="16"/>
  <c r="BK14" i="16"/>
  <c r="BK13" i="16"/>
  <c r="BK12" i="16"/>
  <c r="BK11" i="16"/>
  <c r="BN8" i="16"/>
  <c r="BK8" i="16"/>
  <c r="BN5" i="16"/>
  <c r="BK5" i="16"/>
  <c r="BN4" i="16"/>
  <c r="BK4" i="16"/>
  <c r="BN3" i="16"/>
  <c r="BK3" i="16"/>
  <c r="BN28" i="16" l="1"/>
  <c r="BK29" i="16"/>
  <c r="BL10" i="15"/>
  <c r="BL11" i="15"/>
  <c r="BL12" i="15"/>
  <c r="BL13" i="15"/>
  <c r="BL14" i="15"/>
  <c r="BL32" i="15"/>
  <c r="BI32" i="15"/>
  <c r="BL31" i="15"/>
  <c r="BI31" i="15"/>
  <c r="BL30" i="15"/>
  <c r="BI30" i="15"/>
  <c r="BL29" i="15"/>
  <c r="BI29" i="15"/>
  <c r="BL28" i="15"/>
  <c r="BI28" i="15"/>
  <c r="BL27" i="15"/>
  <c r="BI27" i="15"/>
  <c r="BL26" i="15"/>
  <c r="BI26" i="15"/>
  <c r="BL25" i="15"/>
  <c r="BI25" i="15"/>
  <c r="BL24" i="15"/>
  <c r="BI24" i="15"/>
  <c r="BL23" i="15"/>
  <c r="BI23" i="15"/>
  <c r="BL22" i="15"/>
  <c r="BI22" i="15"/>
  <c r="BL18" i="15"/>
  <c r="BI18" i="15"/>
  <c r="BL17" i="15"/>
  <c r="BI17" i="15"/>
  <c r="BL16" i="15"/>
  <c r="BI16" i="15"/>
  <c r="BL15" i="15"/>
  <c r="BI15" i="15"/>
  <c r="BI14" i="15"/>
  <c r="BI13" i="15"/>
  <c r="BI12" i="15"/>
  <c r="BI11" i="15"/>
  <c r="BI10" i="15"/>
  <c r="BL8" i="15"/>
  <c r="BI8" i="15"/>
  <c r="BL5" i="15"/>
  <c r="BI5" i="15"/>
  <c r="BL4" i="15"/>
  <c r="BI4" i="15"/>
  <c r="BL3" i="15"/>
  <c r="BI3" i="15"/>
  <c r="BL27" i="14" l="1"/>
  <c r="BL28" i="14"/>
  <c r="BL29" i="14"/>
  <c r="BL30" i="14"/>
  <c r="BI27" i="14"/>
  <c r="BI28" i="14"/>
  <c r="BI29" i="14"/>
  <c r="BI30" i="14"/>
  <c r="BL10" i="14"/>
  <c r="BL11" i="14"/>
  <c r="BL12" i="14"/>
  <c r="BL13" i="14"/>
  <c r="BL14" i="14"/>
  <c r="BI10" i="14"/>
  <c r="BI11" i="14"/>
  <c r="BI12" i="14"/>
  <c r="BI13" i="14"/>
  <c r="BI14" i="14"/>
  <c r="BL32" i="14"/>
  <c r="BI32" i="14"/>
  <c r="BL31" i="14"/>
  <c r="BI31" i="14"/>
  <c r="BL26" i="14"/>
  <c r="BI26" i="14"/>
  <c r="BL25" i="14"/>
  <c r="BI25" i="14"/>
  <c r="BL24" i="14"/>
  <c r="BI24" i="14"/>
  <c r="BL23" i="14"/>
  <c r="BI23" i="14"/>
  <c r="BL22" i="14"/>
  <c r="BI22" i="14"/>
  <c r="BL18" i="14"/>
  <c r="BI18" i="14"/>
  <c r="BL17" i="14"/>
  <c r="BI17" i="14"/>
  <c r="BL16" i="14"/>
  <c r="BI16" i="14"/>
  <c r="BL15" i="14"/>
  <c r="BI15" i="14"/>
  <c r="BL8" i="14"/>
  <c r="BI8" i="14"/>
  <c r="BL5" i="14"/>
  <c r="BI5" i="14"/>
  <c r="BL4" i="14"/>
  <c r="BI4" i="14"/>
  <c r="BL3" i="14"/>
  <c r="BI3" i="14" l="1"/>
  <c r="BL9" i="13"/>
  <c r="BL10" i="13"/>
  <c r="BL11" i="13"/>
  <c r="BL12" i="13"/>
  <c r="BL13" i="13"/>
  <c r="BL14" i="13"/>
  <c r="BI10" i="13"/>
  <c r="BI11" i="13"/>
  <c r="BI12" i="13"/>
  <c r="BI13" i="13"/>
  <c r="BI14" i="13"/>
  <c r="BL32" i="13"/>
  <c r="BI32" i="13"/>
  <c r="BL31" i="13"/>
  <c r="BI31" i="13"/>
  <c r="BL30" i="13"/>
  <c r="BI30" i="13"/>
  <c r="BL29" i="13"/>
  <c r="BI29" i="13"/>
  <c r="BL28" i="13"/>
  <c r="BI28" i="13"/>
  <c r="BL27" i="13"/>
  <c r="BI27" i="13"/>
  <c r="BL26" i="13"/>
  <c r="BI26" i="13"/>
  <c r="BL25" i="13"/>
  <c r="BI25" i="13"/>
  <c r="BL24" i="13"/>
  <c r="BI24" i="13"/>
  <c r="BL23" i="13"/>
  <c r="BI23" i="13"/>
  <c r="BL22" i="13"/>
  <c r="BI22" i="13"/>
  <c r="BL18" i="13"/>
  <c r="BI18" i="13"/>
  <c r="BL17" i="13"/>
  <c r="BI17" i="13"/>
  <c r="BL16" i="13"/>
  <c r="BI16" i="13"/>
  <c r="BL15" i="13"/>
  <c r="BI15" i="13"/>
  <c r="BL8" i="13"/>
  <c r="BI8" i="13"/>
  <c r="BL5" i="13"/>
  <c r="BI5" i="13"/>
  <c r="BL4" i="13"/>
  <c r="BI4" i="13"/>
  <c r="BL3" i="13"/>
  <c r="BI3" i="13"/>
  <c r="BA13" i="12" l="1"/>
  <c r="BA14" i="12"/>
  <c r="BD32" i="12" l="1"/>
  <c r="BA32" i="12"/>
  <c r="BD31" i="12"/>
  <c r="BA31" i="12"/>
  <c r="BD30" i="12"/>
  <c r="BA30" i="12"/>
  <c r="BD29" i="12"/>
  <c r="BA29" i="12"/>
  <c r="BD28" i="12"/>
  <c r="BA28" i="12"/>
  <c r="BD27" i="12"/>
  <c r="BA27" i="12"/>
  <c r="BD26" i="12"/>
  <c r="BA26" i="12"/>
  <c r="BD25" i="12"/>
  <c r="BA25" i="12"/>
  <c r="BD24" i="12"/>
  <c r="BA24" i="12"/>
  <c r="BD23" i="12"/>
  <c r="BA23" i="12"/>
  <c r="BD22" i="12"/>
  <c r="BA22" i="12"/>
  <c r="BD18" i="12"/>
  <c r="BA18" i="12"/>
  <c r="BD17" i="12"/>
  <c r="BA17" i="12"/>
  <c r="BD16" i="12"/>
  <c r="BA16" i="12"/>
  <c r="BD15" i="12"/>
  <c r="BA15" i="12"/>
  <c r="BA12" i="12"/>
  <c r="BA11" i="12"/>
  <c r="BA10" i="12"/>
  <c r="BD8" i="12"/>
  <c r="BA8" i="12"/>
  <c r="BD5" i="12"/>
  <c r="BA5" i="12"/>
  <c r="BD4" i="12"/>
  <c r="BA4" i="12"/>
  <c r="BD3" i="12"/>
  <c r="BA3" i="12"/>
  <c r="BQ13" i="11" l="1"/>
  <c r="BQ14" i="11"/>
  <c r="BT32" i="11"/>
  <c r="BQ32" i="11"/>
  <c r="BT31" i="11"/>
  <c r="BQ31" i="11"/>
  <c r="BT30" i="11"/>
  <c r="BQ30" i="11"/>
  <c r="BT29" i="11"/>
  <c r="BQ29" i="11"/>
  <c r="BT28" i="11"/>
  <c r="BQ28" i="11"/>
  <c r="BT27" i="11"/>
  <c r="BQ27" i="11"/>
  <c r="BT26" i="11"/>
  <c r="BQ26" i="11"/>
  <c r="BT25" i="11"/>
  <c r="BQ25" i="11"/>
  <c r="BT24" i="11"/>
  <c r="BQ24" i="11"/>
  <c r="BT23" i="11"/>
  <c r="BQ23" i="11"/>
  <c r="BT22" i="11"/>
  <c r="BQ22" i="11"/>
  <c r="BT18" i="11"/>
  <c r="BQ18" i="11"/>
  <c r="BT17" i="11"/>
  <c r="BQ17" i="11"/>
  <c r="BT16" i="11"/>
  <c r="BQ16" i="11"/>
  <c r="BT15" i="11"/>
  <c r="BQ15" i="11"/>
  <c r="BQ12" i="11"/>
  <c r="BQ11" i="11"/>
  <c r="BQ10" i="11"/>
  <c r="BQ9" i="11"/>
  <c r="BT8" i="11"/>
  <c r="BQ8" i="11"/>
  <c r="BT5" i="11"/>
  <c r="BQ5" i="11"/>
  <c r="BT4" i="11"/>
  <c r="BQ4" i="11"/>
  <c r="BT3" i="11"/>
  <c r="BQ3" i="11"/>
  <c r="BI13" i="10" l="1"/>
  <c r="BI14" i="10"/>
  <c r="BL32" i="10" l="1"/>
  <c r="BI32" i="10"/>
  <c r="BL31" i="10"/>
  <c r="BI31" i="10"/>
  <c r="BL30" i="10"/>
  <c r="BI30" i="10"/>
  <c r="BL29" i="10"/>
  <c r="BI29" i="10"/>
  <c r="BL28" i="10"/>
  <c r="BI28" i="10"/>
  <c r="BL27" i="10"/>
  <c r="BI27" i="10"/>
  <c r="BL26" i="10"/>
  <c r="BI26" i="10"/>
  <c r="BL25" i="10"/>
  <c r="BI25" i="10"/>
  <c r="BL24" i="10"/>
  <c r="BI24" i="10"/>
  <c r="BL23" i="10"/>
  <c r="BI23" i="10"/>
  <c r="BL22" i="10"/>
  <c r="BI22" i="10"/>
  <c r="BL18" i="10"/>
  <c r="BI18" i="10"/>
  <c r="BL17" i="10"/>
  <c r="BI17" i="10"/>
  <c r="BL16" i="10"/>
  <c r="BI16" i="10"/>
  <c r="BL15" i="10"/>
  <c r="BI15" i="10"/>
  <c r="BI12" i="10"/>
  <c r="BI11" i="10"/>
  <c r="BI10" i="10"/>
  <c r="BI9" i="10"/>
  <c r="BL8" i="10"/>
  <c r="BI8" i="10"/>
  <c r="BL5" i="10"/>
  <c r="BI5" i="10"/>
  <c r="BL4" i="10"/>
  <c r="BI4" i="10"/>
  <c r="BL3" i="10"/>
  <c r="BI3" i="10"/>
  <c r="BI13" i="9" l="1"/>
  <c r="BI14" i="9"/>
  <c r="BL32" i="9"/>
  <c r="BI32" i="9"/>
  <c r="BL31" i="9"/>
  <c r="BI31" i="9"/>
  <c r="BL30" i="9"/>
  <c r="BI30" i="9"/>
  <c r="BL29" i="9"/>
  <c r="BI29" i="9"/>
  <c r="BL28" i="9"/>
  <c r="BI28" i="9"/>
  <c r="BL27" i="9"/>
  <c r="BI27" i="9"/>
  <c r="BL26" i="9"/>
  <c r="BI26" i="9"/>
  <c r="BL25" i="9"/>
  <c r="BI25" i="9"/>
  <c r="BL24" i="9"/>
  <c r="BI24" i="9"/>
  <c r="BL23" i="9"/>
  <c r="BI23" i="9"/>
  <c r="BL22" i="9"/>
  <c r="BI22" i="9"/>
  <c r="BL18" i="9"/>
  <c r="BI18" i="9"/>
  <c r="BL17" i="9"/>
  <c r="BI17" i="9"/>
  <c r="BL16" i="9"/>
  <c r="BI16" i="9"/>
  <c r="BL15" i="9"/>
  <c r="BI15" i="9"/>
  <c r="BI12" i="9"/>
  <c r="BI11" i="9"/>
  <c r="BI10" i="9"/>
  <c r="BI9" i="9"/>
  <c r="BL8" i="9"/>
  <c r="BI8" i="9"/>
  <c r="BL5" i="9"/>
  <c r="BI5" i="9"/>
  <c r="BL4" i="9"/>
  <c r="BI4" i="9"/>
  <c r="BL3" i="9"/>
  <c r="BI3" i="9"/>
  <c r="BI22" i="8" l="1"/>
  <c r="BL22" i="8"/>
  <c r="BI23" i="8"/>
  <c r="BL23" i="8"/>
  <c r="BI24" i="8"/>
  <c r="BL24" i="8"/>
  <c r="BI25" i="8"/>
  <c r="BL25" i="8"/>
  <c r="BI26" i="8"/>
  <c r="BI27" i="8"/>
  <c r="BL27" i="8"/>
  <c r="BI28" i="8"/>
  <c r="BL28" i="8"/>
  <c r="BI29" i="8"/>
  <c r="BL26" i="8"/>
  <c r="BI30" i="8"/>
  <c r="BL30" i="8"/>
  <c r="BI31" i="8"/>
  <c r="BL31" i="8"/>
  <c r="BI32" i="8"/>
  <c r="BL32" i="8"/>
  <c r="BI12" i="8"/>
  <c r="BI13" i="8"/>
  <c r="BI14" i="8"/>
  <c r="BL18" i="8"/>
  <c r="BI18" i="8"/>
  <c r="BL17" i="8"/>
  <c r="BI17" i="8"/>
  <c r="BL16" i="8"/>
  <c r="BI16" i="8"/>
  <c r="BL15" i="8"/>
  <c r="BI15" i="8"/>
  <c r="BL14" i="8"/>
  <c r="BI11" i="8"/>
  <c r="BI10" i="8"/>
  <c r="BI9" i="8"/>
  <c r="BL8" i="8"/>
  <c r="BI8" i="8"/>
  <c r="BL5" i="8"/>
  <c r="BI5" i="8"/>
  <c r="BL4" i="8"/>
  <c r="BI4" i="8"/>
  <c r="BL3" i="8"/>
  <c r="BI3" i="8"/>
  <c r="BL29" i="8" l="1"/>
  <c r="BI13" i="7"/>
  <c r="BI14" i="7"/>
  <c r="BL32" i="7" l="1"/>
  <c r="BI32" i="7"/>
  <c r="BL31" i="7"/>
  <c r="BI31" i="7"/>
  <c r="BL30" i="7"/>
  <c r="BI30" i="7"/>
  <c r="BL29" i="7"/>
  <c r="BI29" i="7"/>
  <c r="BL28" i="7"/>
  <c r="BI28" i="7"/>
  <c r="BL27" i="7"/>
  <c r="BI27" i="7"/>
  <c r="BL26" i="7"/>
  <c r="BI26" i="7"/>
  <c r="BL25" i="7"/>
  <c r="BI25" i="7"/>
  <c r="BL24" i="7"/>
  <c r="BI24" i="7"/>
  <c r="BL23" i="7"/>
  <c r="BI23" i="7"/>
  <c r="BL22" i="7"/>
  <c r="BI22" i="7"/>
  <c r="BL18" i="7"/>
  <c r="BI18" i="7"/>
  <c r="BL17" i="7"/>
  <c r="BI17" i="7"/>
  <c r="BL16" i="7"/>
  <c r="BI16" i="7"/>
  <c r="BL15" i="7"/>
  <c r="BI15" i="7"/>
  <c r="BI12" i="7"/>
  <c r="BI11" i="7"/>
  <c r="BI10" i="7"/>
  <c r="BI9" i="7"/>
  <c r="BL8" i="7"/>
  <c r="BI8" i="7"/>
  <c r="BL5" i="7"/>
  <c r="BI5" i="7"/>
  <c r="BL4" i="7"/>
  <c r="BI4" i="7"/>
  <c r="BL3" i="7"/>
  <c r="BI3" i="7"/>
  <c r="BI9" i="6" l="1"/>
  <c r="BI10" i="6"/>
  <c r="BI11" i="6"/>
  <c r="BI12" i="6"/>
  <c r="BI13" i="6"/>
  <c r="BL17" i="6" l="1"/>
  <c r="BI17" i="6"/>
  <c r="BL16" i="6"/>
  <c r="BI16" i="6"/>
  <c r="BL15" i="6"/>
  <c r="BI15" i="6"/>
  <c r="BL14" i="6"/>
  <c r="BI14" i="6"/>
  <c r="BL7" i="6"/>
  <c r="BI7" i="6"/>
  <c r="BL5" i="6"/>
  <c r="BI5" i="6"/>
  <c r="BL4" i="6"/>
  <c r="BI4" i="6"/>
  <c r="BL3" i="6"/>
  <c r="BI3" i="6"/>
  <c r="BI13" i="17" l="1"/>
  <c r="BI14" i="17"/>
  <c r="BI15" i="17" l="1"/>
  <c r="BL15" i="17"/>
  <c r="BR15" i="17"/>
  <c r="BU15" i="17"/>
  <c r="BZ15" i="17"/>
  <c r="CC15" i="17" s="1"/>
  <c r="CB15" i="17"/>
  <c r="CH15" i="17"/>
  <c r="CI15" i="17"/>
  <c r="CK15" i="17"/>
  <c r="CL15" i="17"/>
  <c r="CQ15" i="17"/>
  <c r="CS15" i="17" s="1"/>
  <c r="CV15" i="17"/>
  <c r="CZ15" i="17"/>
  <c r="DA15" i="17"/>
  <c r="DC15" i="17"/>
  <c r="DD15" i="17"/>
  <c r="DI15" i="17"/>
  <c r="DJ15" i="17"/>
  <c r="DM15" i="17"/>
  <c r="DN15" i="17" s="1"/>
  <c r="DR15" i="17"/>
  <c r="DS15" i="17"/>
  <c r="DW15" i="17"/>
  <c r="EA15" i="17"/>
  <c r="EB15" i="17"/>
  <c r="EE15" i="17"/>
  <c r="EF15" i="17" s="1"/>
  <c r="EJ15" i="17"/>
  <c r="EK15" i="17"/>
  <c r="EM15" i="17"/>
  <c r="EO15" i="17" s="1"/>
  <c r="ES15" i="17"/>
  <c r="ET15" i="17"/>
  <c r="EV15" i="17"/>
  <c r="EW15" i="17"/>
  <c r="FC15" i="17"/>
  <c r="FF15" i="17"/>
  <c r="FK15" i="17"/>
  <c r="FN15" i="17"/>
  <c r="BL32" i="17"/>
  <c r="BI32" i="17"/>
  <c r="BL31" i="17"/>
  <c r="BI31" i="17"/>
  <c r="BL30" i="17"/>
  <c r="BI30" i="17"/>
  <c r="BL29" i="17"/>
  <c r="BI29" i="17"/>
  <c r="BL28" i="17"/>
  <c r="BI28" i="17"/>
  <c r="BL27" i="17"/>
  <c r="BI27" i="17"/>
  <c r="BL26" i="17"/>
  <c r="BI26" i="17"/>
  <c r="BL25" i="17"/>
  <c r="BI25" i="17"/>
  <c r="BL24" i="17"/>
  <c r="BI24" i="17"/>
  <c r="BL23" i="17"/>
  <c r="BI23" i="17"/>
  <c r="BL22" i="17"/>
  <c r="BI22" i="17"/>
  <c r="BL18" i="17"/>
  <c r="BI18" i="17"/>
  <c r="BL17" i="17"/>
  <c r="BI17" i="17"/>
  <c r="BL16" i="17"/>
  <c r="BI16" i="17"/>
  <c r="BI12" i="17"/>
  <c r="BI11" i="17"/>
  <c r="BI10" i="17"/>
  <c r="BI9" i="17"/>
  <c r="BL8" i="17"/>
  <c r="BI8" i="17"/>
  <c r="BL5" i="17"/>
  <c r="BI5" i="17"/>
  <c r="BL4" i="17"/>
  <c r="BI4" i="17"/>
  <c r="BL3" i="17"/>
  <c r="BI3" i="17"/>
  <c r="DK15" i="17" l="1"/>
  <c r="DB15" i="17"/>
  <c r="EL15" i="17"/>
  <c r="EU15" i="17"/>
  <c r="EX15" i="17"/>
  <c r="DT15" i="17"/>
  <c r="EC15" i="17"/>
  <c r="DE15" i="17"/>
  <c r="CJ15" i="17"/>
  <c r="CM15" i="17"/>
  <c r="CD15" i="17"/>
  <c r="BV30" i="16"/>
  <c r="BV28" i="16"/>
  <c r="BS30" i="16"/>
  <c r="BS28" i="16"/>
  <c r="BS29" i="16" l="1"/>
  <c r="BT29" i="16" s="1"/>
  <c r="BV29" i="16"/>
  <c r="BW29" i="16" s="1"/>
  <c r="BT13" i="16"/>
  <c r="BT14" i="16"/>
  <c r="BW32" i="16"/>
  <c r="BT32" i="16"/>
  <c r="BW31" i="16"/>
  <c r="BT31" i="16"/>
  <c r="BW30" i="16"/>
  <c r="BT30" i="16"/>
  <c r="BW28" i="16"/>
  <c r="BT28" i="16"/>
  <c r="BW27" i="16"/>
  <c r="BT27" i="16"/>
  <c r="BW26" i="16"/>
  <c r="BT26" i="16"/>
  <c r="BW25" i="16"/>
  <c r="BT25" i="16"/>
  <c r="BW24" i="16"/>
  <c r="BT24" i="16"/>
  <c r="BW23" i="16"/>
  <c r="BT23" i="16"/>
  <c r="BW22" i="16"/>
  <c r="BT22" i="16"/>
  <c r="BW18" i="16"/>
  <c r="BT18" i="16"/>
  <c r="BW17" i="16"/>
  <c r="BT17" i="16"/>
  <c r="BW16" i="16"/>
  <c r="BT16" i="16"/>
  <c r="BW15" i="16"/>
  <c r="BT15" i="16"/>
  <c r="BT12" i="16"/>
  <c r="BT11" i="16"/>
  <c r="BT10" i="16"/>
  <c r="BW8" i="16"/>
  <c r="BT8" i="16"/>
  <c r="BW5" i="16"/>
  <c r="BT5" i="16"/>
  <c r="BW4" i="16"/>
  <c r="BT4" i="16"/>
  <c r="BW3" i="16"/>
  <c r="BT3" i="16"/>
  <c r="BQ10" i="15" l="1"/>
  <c r="BQ11" i="15"/>
  <c r="BQ12" i="15"/>
  <c r="BQ13" i="15"/>
  <c r="BQ14" i="15"/>
  <c r="BT32" i="15" l="1"/>
  <c r="BQ32" i="15"/>
  <c r="BT31" i="15"/>
  <c r="BQ31" i="15"/>
  <c r="BT30" i="15"/>
  <c r="BQ30" i="15"/>
  <c r="BT29" i="15"/>
  <c r="BQ29" i="15"/>
  <c r="BT28" i="15"/>
  <c r="BQ28" i="15"/>
  <c r="BT27" i="15"/>
  <c r="BQ27" i="15"/>
  <c r="BT26" i="15"/>
  <c r="BQ26" i="15"/>
  <c r="BT25" i="15"/>
  <c r="BQ25" i="15"/>
  <c r="BT24" i="15"/>
  <c r="BQ24" i="15"/>
  <c r="BT23" i="15"/>
  <c r="BQ23" i="15"/>
  <c r="BT22" i="15"/>
  <c r="BQ22" i="15"/>
  <c r="BT18" i="15"/>
  <c r="BQ18" i="15"/>
  <c r="BT17" i="15"/>
  <c r="BQ17" i="15"/>
  <c r="BT16" i="15"/>
  <c r="BQ16" i="15"/>
  <c r="BT15" i="15"/>
  <c r="BQ15" i="15"/>
  <c r="BT8" i="15"/>
  <c r="BQ8" i="15"/>
  <c r="BT5" i="15"/>
  <c r="BQ5" i="15"/>
  <c r="BT4" i="15"/>
  <c r="BQ4" i="15"/>
  <c r="BT3" i="15"/>
  <c r="BQ3" i="15"/>
  <c r="BP15" i="14" l="1"/>
  <c r="BP5" i="14"/>
  <c r="BP4" i="14"/>
  <c r="BP3" i="14" l="1"/>
  <c r="BQ3" i="14" s="1"/>
  <c r="BT32" i="14"/>
  <c r="BQ32" i="14"/>
  <c r="BT31" i="14"/>
  <c r="BQ31" i="14"/>
  <c r="BT26" i="14"/>
  <c r="BQ26" i="14"/>
  <c r="BT25" i="14"/>
  <c r="BQ25" i="14"/>
  <c r="BT24" i="14"/>
  <c r="BQ24" i="14"/>
  <c r="BT23" i="14"/>
  <c r="BQ23" i="14"/>
  <c r="BT22" i="14"/>
  <c r="BQ22" i="14"/>
  <c r="BT21" i="14"/>
  <c r="BS21" i="14"/>
  <c r="BR21" i="14"/>
  <c r="BQ21" i="14"/>
  <c r="BP21" i="14"/>
  <c r="BO21" i="14"/>
  <c r="BT18" i="14"/>
  <c r="BQ18" i="14"/>
  <c r="BT17" i="14"/>
  <c r="BQ17" i="14"/>
  <c r="BT16" i="14"/>
  <c r="BQ16" i="14"/>
  <c r="BT15" i="14"/>
  <c r="BQ15" i="14"/>
  <c r="BT8" i="14"/>
  <c r="BQ8" i="14"/>
  <c r="BT5" i="14"/>
  <c r="BQ5" i="14"/>
  <c r="BT4" i="14"/>
  <c r="BQ4" i="14"/>
  <c r="BT3" i="14"/>
  <c r="BT32" i="13" l="1"/>
  <c r="BQ32" i="13"/>
  <c r="BT31" i="13"/>
  <c r="BQ31" i="13"/>
  <c r="BT30" i="13"/>
  <c r="BQ30" i="13"/>
  <c r="BT29" i="13"/>
  <c r="BQ29" i="13"/>
  <c r="BT28" i="13"/>
  <c r="BQ28" i="13"/>
  <c r="BT27" i="13"/>
  <c r="BQ27" i="13"/>
  <c r="BT26" i="13"/>
  <c r="BQ26" i="13"/>
  <c r="BT25" i="13"/>
  <c r="BQ25" i="13"/>
  <c r="BT24" i="13"/>
  <c r="BQ24" i="13"/>
  <c r="BT23" i="13"/>
  <c r="BQ23" i="13"/>
  <c r="BT22" i="13"/>
  <c r="BQ22" i="13"/>
  <c r="BT18" i="13"/>
  <c r="BQ18" i="13"/>
  <c r="BT17" i="13"/>
  <c r="BQ17" i="13"/>
  <c r="BT16" i="13"/>
  <c r="BQ16" i="13"/>
  <c r="BT15" i="13"/>
  <c r="BQ15" i="13"/>
  <c r="BT8" i="13"/>
  <c r="BQ8" i="13"/>
  <c r="BT5" i="13"/>
  <c r="BQ5" i="13"/>
  <c r="BT4" i="13"/>
  <c r="BQ4" i="13"/>
  <c r="BT3" i="13"/>
  <c r="BQ3" i="13"/>
  <c r="BW9" i="12" l="1"/>
  <c r="BW10" i="12"/>
  <c r="BW11" i="12"/>
  <c r="BW12" i="12"/>
  <c r="BW32" i="12"/>
  <c r="BT32" i="12"/>
  <c r="BW31" i="12"/>
  <c r="BT31" i="12"/>
  <c r="BW30" i="12"/>
  <c r="BT30" i="12"/>
  <c r="BW29" i="12"/>
  <c r="BT29" i="12"/>
  <c r="BW28" i="12"/>
  <c r="BT28" i="12"/>
  <c r="BW27" i="12"/>
  <c r="BT27" i="12"/>
  <c r="BW26" i="12"/>
  <c r="BT26" i="12"/>
  <c r="BW25" i="12"/>
  <c r="BT25" i="12"/>
  <c r="BW24" i="12"/>
  <c r="BT24" i="12"/>
  <c r="BW23" i="12"/>
  <c r="BT23" i="12"/>
  <c r="BW22" i="12"/>
  <c r="BT22" i="12"/>
  <c r="BW18" i="12"/>
  <c r="BT18" i="12"/>
  <c r="BW17" i="12"/>
  <c r="BT17" i="12"/>
  <c r="BW16" i="12"/>
  <c r="BT16" i="12"/>
  <c r="BW15" i="12"/>
  <c r="BT15" i="12"/>
  <c r="BT12" i="12"/>
  <c r="BT11" i="12"/>
  <c r="BT10" i="12"/>
  <c r="BT9" i="12"/>
  <c r="BW8" i="12"/>
  <c r="BT8" i="12"/>
  <c r="BW5" i="12"/>
  <c r="BT5" i="12"/>
  <c r="BW4" i="12"/>
  <c r="BT4" i="12"/>
  <c r="BW3" i="12"/>
  <c r="BT3" i="12"/>
  <c r="CB9" i="11" l="1"/>
  <c r="CB10" i="11"/>
  <c r="CB11" i="11"/>
  <c r="CB12" i="11"/>
  <c r="CB32" i="11" l="1"/>
  <c r="BY32" i="11"/>
  <c r="CB31" i="11"/>
  <c r="BY31" i="11"/>
  <c r="CB30" i="11"/>
  <c r="BY30" i="11"/>
  <c r="CB29" i="11"/>
  <c r="BY29" i="11"/>
  <c r="CB28" i="11"/>
  <c r="BY28" i="11"/>
  <c r="CB27" i="11"/>
  <c r="BY27" i="11"/>
  <c r="CB26" i="11"/>
  <c r="BY26" i="11"/>
  <c r="CB25" i="11"/>
  <c r="BY25" i="11"/>
  <c r="CB24" i="11"/>
  <c r="BY24" i="11"/>
  <c r="CB23" i="11"/>
  <c r="BY23" i="11"/>
  <c r="CB22" i="11"/>
  <c r="BY22" i="11"/>
  <c r="CB18" i="11"/>
  <c r="BY18" i="11"/>
  <c r="CB17" i="11"/>
  <c r="BY17" i="11"/>
  <c r="CB16" i="11"/>
  <c r="BY16" i="11"/>
  <c r="CB15" i="11"/>
  <c r="BY15" i="11"/>
  <c r="BY12" i="11"/>
  <c r="BY11" i="11"/>
  <c r="BY10" i="11"/>
  <c r="BY9" i="11"/>
  <c r="CB8" i="11"/>
  <c r="BY8" i="11"/>
  <c r="CB5" i="11"/>
  <c r="BY5" i="11"/>
  <c r="CB4" i="11"/>
  <c r="BY4" i="11"/>
  <c r="CB3" i="11"/>
  <c r="BY3" i="11"/>
  <c r="BT9" i="10" l="1"/>
  <c r="BT10" i="10"/>
  <c r="BT11" i="10"/>
  <c r="BT12" i="10"/>
  <c r="BT15" i="10"/>
  <c r="BT32" i="10" l="1"/>
  <c r="BQ32" i="10"/>
  <c r="BT31" i="10"/>
  <c r="BQ31" i="10"/>
  <c r="BT30" i="10"/>
  <c r="BQ30" i="10"/>
  <c r="BT29" i="10"/>
  <c r="BQ29" i="10"/>
  <c r="BT28" i="10"/>
  <c r="BQ28" i="10"/>
  <c r="BT27" i="10"/>
  <c r="BQ27" i="10"/>
  <c r="BT26" i="10"/>
  <c r="BQ26" i="10"/>
  <c r="BT25" i="10"/>
  <c r="BQ25" i="10"/>
  <c r="BT24" i="10"/>
  <c r="BQ24" i="10"/>
  <c r="BT23" i="10"/>
  <c r="BQ23" i="10"/>
  <c r="BT22" i="10"/>
  <c r="BQ22" i="10"/>
  <c r="BT18" i="10"/>
  <c r="BQ18" i="10"/>
  <c r="BT17" i="10"/>
  <c r="BQ17" i="10"/>
  <c r="BT16" i="10"/>
  <c r="BQ16" i="10"/>
  <c r="BQ15" i="10"/>
  <c r="BQ12" i="10"/>
  <c r="BQ11" i="10"/>
  <c r="BQ10" i="10"/>
  <c r="BQ9" i="10"/>
  <c r="BT8" i="10"/>
  <c r="BQ8" i="10"/>
  <c r="BT5" i="10"/>
  <c r="BQ5" i="10"/>
  <c r="BT4" i="10"/>
  <c r="BQ4" i="10"/>
  <c r="BT3" i="10"/>
  <c r="BQ3" i="10"/>
  <c r="BT9" i="9" l="1"/>
  <c r="BT10" i="9"/>
  <c r="BT11" i="9"/>
  <c r="BT12" i="9"/>
  <c r="BT32" i="9"/>
  <c r="BQ32" i="9"/>
  <c r="BT31" i="9"/>
  <c r="BQ31" i="9"/>
  <c r="BT30" i="9"/>
  <c r="BQ30" i="9"/>
  <c r="BT29" i="9"/>
  <c r="BQ29" i="9"/>
  <c r="BT28" i="9"/>
  <c r="BQ28" i="9"/>
  <c r="BT27" i="9"/>
  <c r="BQ27" i="9"/>
  <c r="BT26" i="9"/>
  <c r="BQ26" i="9"/>
  <c r="BT25" i="9"/>
  <c r="BQ25" i="9"/>
  <c r="BT24" i="9"/>
  <c r="BQ24" i="9"/>
  <c r="BT23" i="9"/>
  <c r="BQ23" i="9"/>
  <c r="BT22" i="9"/>
  <c r="BQ22" i="9"/>
  <c r="BT18" i="9"/>
  <c r="BQ18" i="9"/>
  <c r="BT17" i="9"/>
  <c r="BQ17" i="9"/>
  <c r="BT16" i="9"/>
  <c r="BQ16" i="9"/>
  <c r="BT15" i="9"/>
  <c r="BQ15" i="9"/>
  <c r="BQ12" i="9"/>
  <c r="BQ11" i="9"/>
  <c r="BQ10" i="9"/>
  <c r="BQ9" i="9"/>
  <c r="BT8" i="9"/>
  <c r="BQ8" i="9"/>
  <c r="BT5" i="9"/>
  <c r="BQ5" i="9"/>
  <c r="BT4" i="9"/>
  <c r="BQ4" i="9"/>
  <c r="BT3" i="9"/>
  <c r="BQ3" i="9"/>
  <c r="BQ5" i="8" l="1"/>
  <c r="BR30" i="8"/>
  <c r="BR28" i="8"/>
  <c r="BT14" i="8"/>
  <c r="BQ14" i="8"/>
  <c r="BT32" i="8"/>
  <c r="BQ32" i="8"/>
  <c r="BT31" i="8"/>
  <c r="BQ31" i="8"/>
  <c r="BQ30" i="8"/>
  <c r="BQ28" i="8"/>
  <c r="BT27" i="8"/>
  <c r="BQ27" i="8"/>
  <c r="BT25" i="8"/>
  <c r="BQ25" i="8"/>
  <c r="BT24" i="8"/>
  <c r="BQ24" i="8"/>
  <c r="BT23" i="8"/>
  <c r="BQ23" i="8"/>
  <c r="BT22" i="8"/>
  <c r="BQ22" i="8"/>
  <c r="BT18" i="8"/>
  <c r="BQ18" i="8"/>
  <c r="BT17" i="8"/>
  <c r="BQ17" i="8"/>
  <c r="BT16" i="8"/>
  <c r="BQ16" i="8"/>
  <c r="BT15" i="8"/>
  <c r="BQ15" i="8"/>
  <c r="BT11" i="8"/>
  <c r="BQ11" i="8"/>
  <c r="BT10" i="8"/>
  <c r="BQ10" i="8"/>
  <c r="BT9" i="8"/>
  <c r="BQ9" i="8"/>
  <c r="BT8" i="8"/>
  <c r="BQ8" i="8"/>
  <c r="BT5" i="8"/>
  <c r="BT4" i="8"/>
  <c r="BQ4" i="8"/>
  <c r="BT3" i="8"/>
  <c r="BQ3" i="8"/>
  <c r="BR29" i="8" l="1"/>
  <c r="BR26" i="8" s="1"/>
  <c r="BT28" i="8"/>
  <c r="BT30" i="8"/>
  <c r="BT5" i="7"/>
  <c r="BT3" i="7"/>
  <c r="BT32" i="7"/>
  <c r="BQ32" i="7"/>
  <c r="BT31" i="7"/>
  <c r="BQ31" i="7"/>
  <c r="BT30" i="7"/>
  <c r="BQ30" i="7"/>
  <c r="BT29" i="7"/>
  <c r="BQ29" i="7"/>
  <c r="BT28" i="7"/>
  <c r="BQ28" i="7"/>
  <c r="BT27" i="7"/>
  <c r="BQ27" i="7"/>
  <c r="BT26" i="7"/>
  <c r="BQ26" i="7"/>
  <c r="BT25" i="7"/>
  <c r="BQ25" i="7"/>
  <c r="BT24" i="7"/>
  <c r="BQ24" i="7"/>
  <c r="BT23" i="7"/>
  <c r="BQ23" i="7"/>
  <c r="BT22" i="7"/>
  <c r="BQ22" i="7"/>
  <c r="BT18" i="7"/>
  <c r="BQ18" i="7"/>
  <c r="BT17" i="7"/>
  <c r="BQ17" i="7"/>
  <c r="BT16" i="7"/>
  <c r="BQ16" i="7"/>
  <c r="BT15" i="7"/>
  <c r="BQ15" i="7"/>
  <c r="BT12" i="7"/>
  <c r="BQ12" i="7"/>
  <c r="BT11" i="7"/>
  <c r="BQ11" i="7"/>
  <c r="BT10" i="7"/>
  <c r="BQ10" i="7"/>
  <c r="BT9" i="7"/>
  <c r="BQ9" i="7"/>
  <c r="BT8" i="7"/>
  <c r="BQ8" i="7"/>
  <c r="BQ5" i="7"/>
  <c r="BT4" i="7"/>
  <c r="BQ4" i="7"/>
  <c r="BQ3" i="7"/>
  <c r="CA3" i="7"/>
  <c r="CB3" i="7"/>
  <c r="CA4" i="7"/>
  <c r="CB4" i="7"/>
  <c r="CA5" i="7"/>
  <c r="CB5" i="7"/>
  <c r="BX8" i="7"/>
  <c r="BZ8" i="7" s="1"/>
  <c r="CB8" i="7"/>
  <c r="BX9" i="7"/>
  <c r="BZ9" i="7" s="1"/>
  <c r="CB9" i="7"/>
  <c r="BX10" i="7"/>
  <c r="BZ10" i="7" s="1"/>
  <c r="CB10" i="7"/>
  <c r="BX11" i="7"/>
  <c r="BZ11" i="7" s="1"/>
  <c r="CB11" i="7"/>
  <c r="BZ12" i="7"/>
  <c r="CB12" i="7"/>
  <c r="BZ15" i="7"/>
  <c r="CB15" i="7"/>
  <c r="BZ16" i="7"/>
  <c r="CB16" i="7"/>
  <c r="BZ17" i="7"/>
  <c r="CB17" i="7"/>
  <c r="BX20" i="7"/>
  <c r="BY20" i="7"/>
  <c r="BZ20" i="7"/>
  <c r="CA20" i="7"/>
  <c r="CB20" i="7"/>
  <c r="BX21" i="7"/>
  <c r="BZ21" i="7" s="1"/>
  <c r="CB21" i="7"/>
  <c r="BX22" i="7"/>
  <c r="BZ22" i="7" s="1"/>
  <c r="CB22" i="7"/>
  <c r="BX23" i="7"/>
  <c r="BZ23" i="7" s="1"/>
  <c r="CB23" i="7"/>
  <c r="BX24" i="7"/>
  <c r="BZ24" i="7" s="1"/>
  <c r="CB24" i="7"/>
  <c r="BX25" i="7"/>
  <c r="BZ25" i="7" s="1"/>
  <c r="CA25" i="7"/>
  <c r="CB25" i="7"/>
  <c r="BX26" i="7"/>
  <c r="BZ26" i="7" s="1"/>
  <c r="CA26" i="7"/>
  <c r="CB26" i="7"/>
  <c r="BX27" i="7"/>
  <c r="BZ27" i="7" s="1"/>
  <c r="CA27" i="7"/>
  <c r="CB27" i="7"/>
  <c r="BX28" i="7"/>
  <c r="BZ28" i="7" s="1"/>
  <c r="CA28" i="7"/>
  <c r="CB28" i="7"/>
  <c r="BX29" i="7"/>
  <c r="BZ29" i="7" s="1"/>
  <c r="CA29" i="7"/>
  <c r="CB29" i="7"/>
  <c r="BX30" i="7"/>
  <c r="BZ30" i="7" s="1"/>
  <c r="CB30" i="7"/>
  <c r="BX31" i="7"/>
  <c r="BZ31" i="7" s="1"/>
  <c r="CB31" i="7"/>
  <c r="BQ29" i="8" l="1"/>
  <c r="BT29" i="8"/>
  <c r="BT7" i="6"/>
  <c r="BT8" i="6"/>
  <c r="BT9" i="6"/>
  <c r="BT10" i="6"/>
  <c r="BT11" i="6"/>
  <c r="BQ26" i="8" l="1"/>
  <c r="BT26" i="8"/>
  <c r="BQ10" i="6"/>
  <c r="BT17" i="6"/>
  <c r="BQ17" i="6"/>
  <c r="BT16" i="6"/>
  <c r="BQ16" i="6"/>
  <c r="BT15" i="6"/>
  <c r="BQ15" i="6"/>
  <c r="BT14" i="6"/>
  <c r="BQ14" i="6"/>
  <c r="BQ11" i="6"/>
  <c r="BQ9" i="6"/>
  <c r="BQ8" i="6"/>
  <c r="BQ7" i="6"/>
  <c r="BT5" i="6"/>
  <c r="BQ5" i="6"/>
  <c r="BT4" i="6"/>
  <c r="BQ4" i="6"/>
  <c r="BT3" i="6"/>
  <c r="BQ3" i="6"/>
  <c r="BR27" i="17" l="1"/>
  <c r="BR28" i="17"/>
  <c r="BR29" i="17"/>
  <c r="BR30" i="17"/>
  <c r="BU27" i="17"/>
  <c r="BU28" i="17"/>
  <c r="BU29" i="17"/>
  <c r="BU30" i="17"/>
  <c r="BR12" i="17" l="1"/>
  <c r="BU8" i="17"/>
  <c r="BR5" i="17"/>
  <c r="BU4" i="17"/>
  <c r="BZ3" i="17"/>
  <c r="CC3" i="17" s="1"/>
  <c r="CB3" i="17"/>
  <c r="BZ4" i="17"/>
  <c r="CB4" i="17"/>
  <c r="BZ5" i="17"/>
  <c r="CC5" i="17" s="1"/>
  <c r="CB5" i="17"/>
  <c r="BZ8" i="17"/>
  <c r="CB8" i="17"/>
  <c r="BZ9" i="17"/>
  <c r="CC9" i="17" s="1"/>
  <c r="CB9" i="17"/>
  <c r="BZ10" i="17"/>
  <c r="CB10" i="17"/>
  <c r="BZ11" i="17"/>
  <c r="CC11" i="17" s="1"/>
  <c r="CB11" i="17"/>
  <c r="BZ16" i="17"/>
  <c r="CC16" i="17" s="1"/>
  <c r="CB16" i="17"/>
  <c r="BZ17" i="17"/>
  <c r="CB17" i="17"/>
  <c r="BZ18" i="17"/>
  <c r="CC18" i="17" s="1"/>
  <c r="CB18" i="17"/>
  <c r="BY21" i="17"/>
  <c r="BZ21" i="17"/>
  <c r="CA21" i="17"/>
  <c r="CB21" i="17"/>
  <c r="CC21" i="17"/>
  <c r="CD21" i="17"/>
  <c r="CB22" i="17"/>
  <c r="CB23" i="17"/>
  <c r="CC23" i="17"/>
  <c r="BZ23" i="17" s="1"/>
  <c r="CB24" i="17"/>
  <c r="CC24" i="17"/>
  <c r="BZ24" i="17" s="1"/>
  <c r="CB25" i="17"/>
  <c r="CC25" i="17"/>
  <c r="BZ26" i="17"/>
  <c r="CC26" i="17"/>
  <c r="BZ27" i="17"/>
  <c r="CB27" i="17"/>
  <c r="CC27" i="17"/>
  <c r="BZ28" i="17"/>
  <c r="CB28" i="17"/>
  <c r="CC28" i="17"/>
  <c r="BZ29" i="17"/>
  <c r="CC29" i="17"/>
  <c r="BZ30" i="17"/>
  <c r="CB30" i="17"/>
  <c r="CC30" i="17"/>
  <c r="CB31" i="17"/>
  <c r="CC31" i="17"/>
  <c r="BZ31" i="17" s="1"/>
  <c r="CB32" i="17"/>
  <c r="CC32" i="17"/>
  <c r="BZ32" i="17" s="1"/>
  <c r="CD31" i="17" l="1"/>
  <c r="BR11" i="17"/>
  <c r="BU16" i="17"/>
  <c r="BR10" i="17"/>
  <c r="BU18" i="17"/>
  <c r="BU5" i="17"/>
  <c r="BR18" i="17"/>
  <c r="BR26" i="17"/>
  <c r="CD27" i="17"/>
  <c r="CD25" i="17"/>
  <c r="BU3" i="17"/>
  <c r="BR8" i="17"/>
  <c r="BU17" i="17"/>
  <c r="CD16" i="17"/>
  <c r="CD9" i="17"/>
  <c r="CD3" i="17"/>
  <c r="BR4" i="17"/>
  <c r="BR9" i="17"/>
  <c r="BR17" i="17"/>
  <c r="BU23" i="17"/>
  <c r="BU22" i="17"/>
  <c r="BU26" i="17"/>
  <c r="BU32" i="17"/>
  <c r="CD18" i="17"/>
  <c r="BR3" i="17"/>
  <c r="BR16" i="17"/>
  <c r="BU24" i="17"/>
  <c r="BU31" i="17"/>
  <c r="BR23" i="17"/>
  <c r="BR25" i="17"/>
  <c r="BR31" i="17"/>
  <c r="BR22" i="17"/>
  <c r="BR24" i="17"/>
  <c r="BR32" i="17"/>
  <c r="CD23" i="17"/>
  <c r="CD11" i="17"/>
  <c r="CD5" i="17"/>
  <c r="CD32" i="17"/>
  <c r="CD24" i="17"/>
  <c r="CD30" i="17"/>
  <c r="BZ25" i="17"/>
  <c r="CD28" i="17"/>
  <c r="CC17" i="17"/>
  <c r="CD17" i="17" s="1"/>
  <c r="CC10" i="17"/>
  <c r="CD10" i="17" s="1"/>
  <c r="CC8" i="17"/>
  <c r="CD8" i="17" s="1"/>
  <c r="CC4" i="17"/>
  <c r="CD4" i="17" s="1"/>
  <c r="CF8" i="16"/>
  <c r="BU25" i="17" l="1"/>
  <c r="CC11" i="16"/>
  <c r="CF32" i="16"/>
  <c r="CF31" i="16"/>
  <c r="CC31" i="16"/>
  <c r="CF30" i="16"/>
  <c r="CF29" i="16"/>
  <c r="CC29" i="16"/>
  <c r="CF28" i="16"/>
  <c r="CC27" i="16"/>
  <c r="CF27" i="16"/>
  <c r="CF26" i="16"/>
  <c r="CF25" i="16"/>
  <c r="CC25" i="16"/>
  <c r="CF24" i="16"/>
  <c r="CF23" i="16"/>
  <c r="CC23" i="16"/>
  <c r="CF22" i="16"/>
  <c r="CF17" i="16"/>
  <c r="CF16" i="16"/>
  <c r="CF15" i="16"/>
  <c r="CC10" i="16"/>
  <c r="CC5" i="16"/>
  <c r="CC4" i="16"/>
  <c r="CF3" i="16"/>
  <c r="CC15" i="16" l="1"/>
  <c r="CF18" i="16"/>
  <c r="CF4" i="16"/>
  <c r="CC17" i="16"/>
  <c r="CC8" i="16"/>
  <c r="CC3" i="16"/>
  <c r="CF5" i="16"/>
  <c r="CC9" i="16"/>
  <c r="CC12" i="16"/>
  <c r="CC16" i="16"/>
  <c r="CC18" i="16"/>
  <c r="CC22" i="16"/>
  <c r="CC24" i="16"/>
  <c r="CC26" i="16"/>
  <c r="CC28" i="16"/>
  <c r="CC30" i="16"/>
  <c r="CC32" i="16"/>
  <c r="CB8" i="15"/>
  <c r="BY11" i="15"/>
  <c r="CB32" i="15"/>
  <c r="BY32" i="15"/>
  <c r="CB31" i="15"/>
  <c r="BY31" i="15"/>
  <c r="CB30" i="15"/>
  <c r="BY30" i="15"/>
  <c r="CB29" i="15"/>
  <c r="BY29" i="15"/>
  <c r="CB28" i="15"/>
  <c r="BY28" i="15"/>
  <c r="CB27" i="15"/>
  <c r="BY27" i="15"/>
  <c r="CB26" i="15"/>
  <c r="BY26" i="15"/>
  <c r="CB25" i="15"/>
  <c r="BY25" i="15"/>
  <c r="CB24" i="15"/>
  <c r="BY24" i="15"/>
  <c r="CB23" i="15"/>
  <c r="BY23" i="15"/>
  <c r="CB22" i="15"/>
  <c r="BY22" i="15"/>
  <c r="CB18" i="15"/>
  <c r="BY18" i="15"/>
  <c r="CB17" i="15"/>
  <c r="BY17" i="15"/>
  <c r="CB16" i="15"/>
  <c r="BY16" i="15"/>
  <c r="CB15" i="15"/>
  <c r="BY15" i="15"/>
  <c r="BY12" i="15"/>
  <c r="BY10" i="15"/>
  <c r="BY9" i="15"/>
  <c r="BY8" i="15"/>
  <c r="CB5" i="15"/>
  <c r="BY5" i="15"/>
  <c r="CB4" i="15"/>
  <c r="BY4" i="15"/>
  <c r="CB3" i="15"/>
  <c r="BY3" i="15"/>
  <c r="CB8" i="14" l="1"/>
  <c r="BY12" i="14" l="1"/>
  <c r="BY9" i="14"/>
  <c r="BW21" i="14"/>
  <c r="BX21" i="14"/>
  <c r="BY21" i="14"/>
  <c r="BZ21" i="14"/>
  <c r="CA21" i="14"/>
  <c r="CB21" i="14"/>
  <c r="CB32" i="14"/>
  <c r="BY32" i="14"/>
  <c r="CB31" i="14"/>
  <c r="BY31" i="14"/>
  <c r="CB30" i="14"/>
  <c r="BY30" i="14"/>
  <c r="CB29" i="14"/>
  <c r="BY29" i="14"/>
  <c r="CB28" i="14"/>
  <c r="BY28" i="14"/>
  <c r="CB27" i="14"/>
  <c r="BY27" i="14"/>
  <c r="CB26" i="14"/>
  <c r="BY26" i="14"/>
  <c r="CB25" i="14"/>
  <c r="BY25" i="14"/>
  <c r="CB24" i="14"/>
  <c r="BY24" i="14"/>
  <c r="CB23" i="14"/>
  <c r="BY23" i="14"/>
  <c r="CB22" i="14"/>
  <c r="BY22" i="14"/>
  <c r="CB18" i="14"/>
  <c r="BY18" i="14"/>
  <c r="CB17" i="14"/>
  <c r="BY17" i="14"/>
  <c r="CB16" i="14"/>
  <c r="BY16" i="14"/>
  <c r="CB15" i="14"/>
  <c r="BY15" i="14"/>
  <c r="BY11" i="14"/>
  <c r="BY10" i="14"/>
  <c r="BY8" i="14"/>
  <c r="CB5" i="14"/>
  <c r="BY5" i="14"/>
  <c r="CB4" i="14"/>
  <c r="BY4" i="14"/>
  <c r="CB3" i="14"/>
  <c r="BY3" i="14"/>
  <c r="CC8" i="13" l="1"/>
  <c r="BZ12" i="13" l="1"/>
  <c r="BX21" i="13"/>
  <c r="BY21" i="13"/>
  <c r="BZ21" i="13"/>
  <c r="CA21" i="13"/>
  <c r="CB21" i="13"/>
  <c r="CC21" i="13"/>
  <c r="CC32" i="13"/>
  <c r="BZ32" i="13"/>
  <c r="CC31" i="13"/>
  <c r="BZ31" i="13"/>
  <c r="CC30" i="13"/>
  <c r="BZ30" i="13"/>
  <c r="CC29" i="13"/>
  <c r="BZ29" i="13"/>
  <c r="CC28" i="13"/>
  <c r="BZ28" i="13"/>
  <c r="CC27" i="13"/>
  <c r="BZ27" i="13"/>
  <c r="CC26" i="13"/>
  <c r="BZ26" i="13"/>
  <c r="CC25" i="13"/>
  <c r="BZ25" i="13"/>
  <c r="CC24" i="13"/>
  <c r="BZ24" i="13"/>
  <c r="CC23" i="13"/>
  <c r="BZ23" i="13"/>
  <c r="CC22" i="13"/>
  <c r="BZ22" i="13"/>
  <c r="CC18" i="13"/>
  <c r="BZ18" i="13"/>
  <c r="CC17" i="13"/>
  <c r="BZ17" i="13"/>
  <c r="CC16" i="13"/>
  <c r="BZ16" i="13"/>
  <c r="CC15" i="13"/>
  <c r="BZ15" i="13"/>
  <c r="BZ11" i="13"/>
  <c r="BZ10" i="13"/>
  <c r="BZ9" i="13"/>
  <c r="BZ8" i="13"/>
  <c r="CC5" i="13"/>
  <c r="BZ5" i="13"/>
  <c r="CC4" i="13"/>
  <c r="BZ4" i="13"/>
  <c r="CC3" i="13"/>
  <c r="BZ3" i="13"/>
  <c r="CD12" i="12" l="1"/>
  <c r="CG32" i="12"/>
  <c r="CD32" i="12"/>
  <c r="CG31" i="12"/>
  <c r="CD31" i="12"/>
  <c r="CG30" i="12"/>
  <c r="CD30" i="12"/>
  <c r="CG29" i="12"/>
  <c r="CD29" i="12"/>
  <c r="CG28" i="12"/>
  <c r="CD28" i="12"/>
  <c r="CG27" i="12"/>
  <c r="CD27" i="12"/>
  <c r="CG26" i="12"/>
  <c r="CD26" i="12"/>
  <c r="CG25" i="12"/>
  <c r="CD25" i="12"/>
  <c r="CG24" i="12"/>
  <c r="CD24" i="12"/>
  <c r="CG23" i="12"/>
  <c r="CD23" i="12"/>
  <c r="CG22" i="12"/>
  <c r="CD22" i="12"/>
  <c r="CG18" i="12"/>
  <c r="CD18" i="12"/>
  <c r="CG17" i="12"/>
  <c r="CD17" i="12"/>
  <c r="CG16" i="12"/>
  <c r="CD16" i="12"/>
  <c r="CG15" i="12"/>
  <c r="CD15" i="12"/>
  <c r="CD11" i="12"/>
  <c r="CD10" i="12"/>
  <c r="CD9" i="12"/>
  <c r="CG8" i="12"/>
  <c r="CD8" i="12"/>
  <c r="CG5" i="12"/>
  <c r="CD5" i="12"/>
  <c r="CG4" i="12"/>
  <c r="CD4" i="12"/>
  <c r="CG3" i="12"/>
  <c r="CD3" i="12"/>
  <c r="CJ32" i="11" l="1"/>
  <c r="CG32" i="11"/>
  <c r="CJ31" i="11"/>
  <c r="CG31" i="11"/>
  <c r="CJ30" i="11"/>
  <c r="CG30" i="11"/>
  <c r="CJ29" i="11"/>
  <c r="CG29" i="11"/>
  <c r="CJ28" i="11"/>
  <c r="CG28" i="11"/>
  <c r="CJ27" i="11"/>
  <c r="CG27" i="11"/>
  <c r="CJ26" i="11"/>
  <c r="CG26" i="11"/>
  <c r="CJ25" i="11"/>
  <c r="CG25" i="11"/>
  <c r="CJ24" i="11"/>
  <c r="CG24" i="11"/>
  <c r="CJ23" i="11"/>
  <c r="CG23" i="11"/>
  <c r="CJ22" i="11"/>
  <c r="CG22" i="11"/>
  <c r="CJ18" i="11"/>
  <c r="CG18" i="11"/>
  <c r="CJ17" i="11"/>
  <c r="CG17" i="11"/>
  <c r="CJ16" i="11"/>
  <c r="CG16" i="11"/>
  <c r="CJ15" i="11"/>
  <c r="CG15" i="11"/>
  <c r="CG12" i="11"/>
  <c r="CG11" i="11"/>
  <c r="CG10" i="11"/>
  <c r="CG9" i="11"/>
  <c r="CJ8" i="11"/>
  <c r="CG8" i="11"/>
  <c r="CJ5" i="11"/>
  <c r="CG5" i="11"/>
  <c r="CJ4" i="11"/>
  <c r="CG4" i="11"/>
  <c r="CJ3" i="11"/>
  <c r="CG3" i="11"/>
  <c r="CP3" i="11"/>
  <c r="CS3" i="11"/>
  <c r="CW3" i="11"/>
  <c r="CX3" i="11"/>
  <c r="CZ3" i="11"/>
  <c r="DA3" i="11"/>
  <c r="DF3" i="11"/>
  <c r="CP4" i="11"/>
  <c r="CS4" i="11"/>
  <c r="CY4" i="11"/>
  <c r="DB4" i="11"/>
  <c r="CP5" i="11"/>
  <c r="CS5" i="11"/>
  <c r="CY5" i="11"/>
  <c r="DB5" i="11"/>
  <c r="CP8" i="11"/>
  <c r="CS8" i="11"/>
  <c r="CW8" i="11"/>
  <c r="CX8" i="11"/>
  <c r="CZ8" i="11"/>
  <c r="DA8" i="11"/>
  <c r="DF8" i="11"/>
  <c r="CP9" i="11"/>
  <c r="CS9" i="11"/>
  <c r="CY9" i="11"/>
  <c r="DB9" i="11"/>
  <c r="CP10" i="11"/>
  <c r="CS10" i="11"/>
  <c r="CY10" i="11"/>
  <c r="DB10" i="11"/>
  <c r="CY3" i="11" l="1"/>
  <c r="DB3" i="11"/>
  <c r="CY8" i="11"/>
  <c r="DB8" i="11"/>
  <c r="CB8" i="10"/>
  <c r="BY11" i="10"/>
  <c r="CB32" i="10" l="1"/>
  <c r="BY32" i="10"/>
  <c r="CB31" i="10"/>
  <c r="BY31" i="10"/>
  <c r="CB30" i="10"/>
  <c r="BY30" i="10"/>
  <c r="CB29" i="10"/>
  <c r="BY29" i="10"/>
  <c r="CB28" i="10"/>
  <c r="BY28" i="10"/>
  <c r="CB27" i="10"/>
  <c r="BY27" i="10"/>
  <c r="CB26" i="10"/>
  <c r="BY26" i="10"/>
  <c r="CB25" i="10"/>
  <c r="BY25" i="10"/>
  <c r="CB24" i="10"/>
  <c r="BY24" i="10"/>
  <c r="CB23" i="10"/>
  <c r="BY23" i="10"/>
  <c r="CB22" i="10"/>
  <c r="BY22" i="10"/>
  <c r="CB18" i="10"/>
  <c r="BY18" i="10"/>
  <c r="CB17" i="10"/>
  <c r="BY17" i="10"/>
  <c r="CB16" i="10"/>
  <c r="BY16" i="10"/>
  <c r="CB15" i="10"/>
  <c r="BY15" i="10"/>
  <c r="BY12" i="10"/>
  <c r="BY10" i="10"/>
  <c r="BY9" i="10"/>
  <c r="BY8" i="10"/>
  <c r="CB5" i="10"/>
  <c r="BY5" i="10"/>
  <c r="CB4" i="10"/>
  <c r="BY4" i="10"/>
  <c r="CB3" i="10"/>
  <c r="BY3" i="10"/>
  <c r="CB8" i="9" l="1"/>
  <c r="BY12" i="9"/>
  <c r="BY29" i="9" l="1"/>
  <c r="CB32" i="9"/>
  <c r="BY32" i="9"/>
  <c r="CB31" i="9"/>
  <c r="BY31" i="9"/>
  <c r="CB30" i="9"/>
  <c r="BY30" i="9"/>
  <c r="CB29" i="9"/>
  <c r="CB28" i="9"/>
  <c r="BY28" i="9"/>
  <c r="CB27" i="9"/>
  <c r="BY27" i="9"/>
  <c r="CB26" i="9"/>
  <c r="BY26" i="9"/>
  <c r="CB25" i="9"/>
  <c r="BY25" i="9"/>
  <c r="CB24" i="9"/>
  <c r="BY24" i="9"/>
  <c r="CB23" i="9"/>
  <c r="BY23" i="9"/>
  <c r="CB22" i="9"/>
  <c r="BY22" i="9"/>
  <c r="CB18" i="9"/>
  <c r="BY18" i="9"/>
  <c r="CB17" i="9"/>
  <c r="BY17" i="9"/>
  <c r="CB16" i="9"/>
  <c r="BY16" i="9"/>
  <c r="CB15" i="9"/>
  <c r="BY15" i="9"/>
  <c r="BY11" i="9"/>
  <c r="BY10" i="9"/>
  <c r="BY9" i="9"/>
  <c r="BY8" i="9"/>
  <c r="CB5" i="9"/>
  <c r="BY5" i="9"/>
  <c r="CB4" i="9"/>
  <c r="BY4" i="9"/>
  <c r="CB3" i="9"/>
  <c r="BY3" i="9"/>
  <c r="BY27" i="8" l="1"/>
  <c r="CB30" i="8"/>
  <c r="BY30" i="8" s="1"/>
  <c r="CB28" i="8"/>
  <c r="BY28" i="8" s="1"/>
  <c r="CB29" i="8" l="1"/>
  <c r="CC29" i="8" s="1"/>
  <c r="CI3" i="8"/>
  <c r="CJ3" i="8"/>
  <c r="CC4" i="8"/>
  <c r="CI4" i="8"/>
  <c r="CC5" i="8"/>
  <c r="CI5" i="8"/>
  <c r="CC8" i="8"/>
  <c r="CI8" i="8"/>
  <c r="CC9" i="8"/>
  <c r="CI9" i="8"/>
  <c r="CC10" i="8"/>
  <c r="CI10" i="8"/>
  <c r="CC11" i="8"/>
  <c r="CI11" i="8"/>
  <c r="CI15" i="8"/>
  <c r="CJ15" i="8"/>
  <c r="CC16" i="8"/>
  <c r="CI16" i="8"/>
  <c r="CC17" i="8"/>
  <c r="CI17" i="8"/>
  <c r="CC18" i="8"/>
  <c r="CI18" i="8"/>
  <c r="CC22" i="8"/>
  <c r="CI22" i="8"/>
  <c r="CC23" i="8"/>
  <c r="CI23" i="8"/>
  <c r="CC24" i="8"/>
  <c r="CI24" i="8"/>
  <c r="CC25" i="8"/>
  <c r="CI25" i="8"/>
  <c r="CI26" i="8"/>
  <c r="CC27" i="8"/>
  <c r="CI27" i="8"/>
  <c r="CC28" i="8"/>
  <c r="CI28" i="8"/>
  <c r="CI29" i="8"/>
  <c r="CC30" i="8"/>
  <c r="CI30" i="8"/>
  <c r="CC31" i="8"/>
  <c r="CI31" i="8"/>
  <c r="CC32" i="8"/>
  <c r="CI32" i="8"/>
  <c r="BZ32" i="8"/>
  <c r="BZ31" i="8"/>
  <c r="BZ30" i="8"/>
  <c r="BZ28" i="8"/>
  <c r="BZ27" i="8"/>
  <c r="BZ25" i="8"/>
  <c r="BZ24" i="8"/>
  <c r="BZ23" i="8"/>
  <c r="BZ22" i="8"/>
  <c r="BZ18" i="8"/>
  <c r="BZ17" i="8"/>
  <c r="BZ16" i="8"/>
  <c r="CC15" i="8"/>
  <c r="BZ15" i="8"/>
  <c r="BZ11" i="8"/>
  <c r="BZ10" i="8"/>
  <c r="BZ9" i="8"/>
  <c r="BZ8" i="8"/>
  <c r="BZ5" i="8"/>
  <c r="BZ4" i="8"/>
  <c r="CC3" i="8"/>
  <c r="BZ3" i="8"/>
  <c r="CB26" i="8" l="1"/>
  <c r="BY29" i="8"/>
  <c r="BZ29" i="8" s="1"/>
  <c r="CC28" i="7"/>
  <c r="CC29" i="7"/>
  <c r="CC5" i="7"/>
  <c r="CC8" i="7"/>
  <c r="CC11" i="7"/>
  <c r="CC20" i="7"/>
  <c r="CC31" i="7"/>
  <c r="CC30" i="7"/>
  <c r="CC27" i="7"/>
  <c r="CC26" i="7"/>
  <c r="CC25" i="7"/>
  <c r="CC24" i="7"/>
  <c r="CC23" i="7"/>
  <c r="CC22" i="7"/>
  <c r="CC21" i="7"/>
  <c r="CC17" i="7"/>
  <c r="CC16" i="7"/>
  <c r="CC15" i="7"/>
  <c r="CC12" i="7"/>
  <c r="CC10" i="7"/>
  <c r="CC9" i="7"/>
  <c r="CC4" i="7"/>
  <c r="CC3" i="7"/>
  <c r="BY26" i="8" l="1"/>
  <c r="BZ26" i="8" s="1"/>
  <c r="CC26" i="8"/>
  <c r="CB4" i="6"/>
  <c r="CB5" i="6"/>
  <c r="CB7" i="6"/>
  <c r="CB8" i="6"/>
  <c r="CB9" i="6"/>
  <c r="CB11" i="6"/>
  <c r="CB14" i="6"/>
  <c r="CB15" i="6"/>
  <c r="CB16" i="6"/>
  <c r="CB17" i="6"/>
  <c r="CB3" i="6"/>
  <c r="BY7" i="6"/>
  <c r="BY8" i="6"/>
  <c r="BY9" i="6"/>
  <c r="BY11" i="6"/>
  <c r="BY14" i="6"/>
  <c r="BY15" i="6"/>
  <c r="BY16" i="6"/>
  <c r="BY17" i="6"/>
  <c r="CF3" i="6" l="1"/>
  <c r="CF4" i="6"/>
  <c r="CF5" i="6"/>
  <c r="CG7" i="6"/>
  <c r="CF8" i="6"/>
  <c r="CG8" i="6"/>
  <c r="CF9" i="6"/>
  <c r="CG9" i="6"/>
  <c r="CF11" i="6"/>
  <c r="CG11" i="6"/>
  <c r="CG14" i="6"/>
  <c r="CF15" i="6"/>
  <c r="CG15" i="6"/>
  <c r="CF16" i="6"/>
  <c r="CG16" i="6"/>
  <c r="CF17" i="6"/>
  <c r="CG17" i="6"/>
  <c r="CN31" i="16" l="1"/>
  <c r="CN32" i="16"/>
  <c r="CK32" i="16" s="1"/>
  <c r="BY32" i="17" s="1"/>
  <c r="CA32" i="17" s="1"/>
  <c r="CM31" i="16"/>
  <c r="CM32" i="16"/>
  <c r="CN26" i="16"/>
  <c r="CN27" i="16"/>
  <c r="CK27" i="16" s="1"/>
  <c r="BY27" i="17" s="1"/>
  <c r="CA27" i="17" s="1"/>
  <c r="CN28" i="16"/>
  <c r="CN29" i="16"/>
  <c r="CK29" i="16" s="1"/>
  <c r="BY29" i="17" s="1"/>
  <c r="CA29" i="17" s="1"/>
  <c r="CN30" i="16"/>
  <c r="CM26" i="16"/>
  <c r="CM27" i="16"/>
  <c r="CM28" i="16"/>
  <c r="CM29" i="16"/>
  <c r="CM30" i="16"/>
  <c r="CN23" i="16"/>
  <c r="CN24" i="16"/>
  <c r="CN25" i="16"/>
  <c r="CK25" i="16" s="1"/>
  <c r="BY25" i="17" s="1"/>
  <c r="CA25" i="17" s="1"/>
  <c r="CM22" i="16"/>
  <c r="CM23" i="16"/>
  <c r="CM24" i="16"/>
  <c r="CM25" i="16"/>
  <c r="CN15" i="16"/>
  <c r="CK15" i="16" s="1"/>
  <c r="BY15" i="17" s="1"/>
  <c r="CA15" i="17" s="1"/>
  <c r="CN16" i="16"/>
  <c r="CK16" i="16" s="1"/>
  <c r="BY16" i="17" s="1"/>
  <c r="CA16" i="17" s="1"/>
  <c r="CN17" i="16"/>
  <c r="CK17" i="16" s="1"/>
  <c r="BY17" i="17" s="1"/>
  <c r="CA17" i="17" s="1"/>
  <c r="CM15" i="16"/>
  <c r="CM16" i="16"/>
  <c r="CM17" i="16"/>
  <c r="CN8" i="16"/>
  <c r="CK8" i="16" s="1"/>
  <c r="BY8" i="17" s="1"/>
  <c r="CA8" i="17" s="1"/>
  <c r="CN9" i="16"/>
  <c r="CK9" i="16" s="1"/>
  <c r="BY9" i="17" s="1"/>
  <c r="CA9" i="17" s="1"/>
  <c r="CN10" i="16"/>
  <c r="CM8" i="16"/>
  <c r="CM9" i="16"/>
  <c r="CM10" i="16"/>
  <c r="CN4" i="16"/>
  <c r="CN5" i="16"/>
  <c r="CM3" i="16"/>
  <c r="CM4" i="16"/>
  <c r="CM5" i="16"/>
  <c r="CM21" i="16"/>
  <c r="CJ22" i="16"/>
  <c r="CJ23" i="16"/>
  <c r="CJ24" i="16"/>
  <c r="CJ25" i="16"/>
  <c r="CJ26" i="16"/>
  <c r="CJ27" i="16"/>
  <c r="CJ28" i="16"/>
  <c r="CJ29" i="16"/>
  <c r="CJ30" i="16"/>
  <c r="CJ31" i="16"/>
  <c r="CJ32" i="16"/>
  <c r="CJ3" i="16"/>
  <c r="CJ4" i="16"/>
  <c r="CJ5" i="16"/>
  <c r="CJ8" i="16"/>
  <c r="CJ9" i="16"/>
  <c r="CJ10" i="16"/>
  <c r="CJ12" i="16"/>
  <c r="CJ15" i="16"/>
  <c r="CJ16" i="16"/>
  <c r="CJ17" i="16"/>
  <c r="CJ18" i="16"/>
  <c r="CJ21" i="16"/>
  <c r="CK21" i="16"/>
  <c r="CL21" i="16"/>
  <c r="CN21" i="16"/>
  <c r="CO21" i="16"/>
  <c r="CO31" i="16" l="1"/>
  <c r="CO32" i="16"/>
  <c r="CO23" i="16"/>
  <c r="CO17" i="16"/>
  <c r="CO5" i="16"/>
  <c r="CO10" i="16"/>
  <c r="CO4" i="16"/>
  <c r="CO27" i="16"/>
  <c r="CO28" i="16"/>
  <c r="CO25" i="16"/>
  <c r="CO24" i="16"/>
  <c r="CO29" i="16"/>
  <c r="CO30" i="16"/>
  <c r="CO26" i="16"/>
  <c r="CK31" i="16"/>
  <c r="BY31" i="17" s="1"/>
  <c r="CA31" i="17" s="1"/>
  <c r="CK30" i="16"/>
  <c r="BY30" i="17" s="1"/>
  <c r="CA30" i="17" s="1"/>
  <c r="CK26" i="16"/>
  <c r="BY26" i="17" s="1"/>
  <c r="CA26" i="17" s="1"/>
  <c r="CK28" i="16"/>
  <c r="BY28" i="17" s="1"/>
  <c r="CA28" i="17" s="1"/>
  <c r="CK24" i="16"/>
  <c r="BY24" i="17" s="1"/>
  <c r="CA24" i="17" s="1"/>
  <c r="CK23" i="16"/>
  <c r="BY23" i="17" s="1"/>
  <c r="CA23" i="17" s="1"/>
  <c r="CO16" i="16"/>
  <c r="CO9" i="16"/>
  <c r="CK5" i="16"/>
  <c r="BY5" i="17" s="1"/>
  <c r="CA5" i="17" s="1"/>
  <c r="CO15" i="16"/>
  <c r="CO8" i="16"/>
  <c r="CK10" i="16"/>
  <c r="BY10" i="17" s="1"/>
  <c r="CA10" i="17" s="1"/>
  <c r="CK4" i="16"/>
  <c r="BY4" i="17" s="1"/>
  <c r="CA4" i="17" s="1"/>
  <c r="CL32" i="16"/>
  <c r="CL17" i="16"/>
  <c r="CL29" i="16"/>
  <c r="CL27" i="16"/>
  <c r="CL25" i="16"/>
  <c r="CL16" i="16"/>
  <c r="CL15" i="16"/>
  <c r="CL9" i="16"/>
  <c r="CL8" i="16"/>
  <c r="CL30" i="16" l="1"/>
  <c r="CL10" i="16"/>
  <c r="CL28" i="16"/>
  <c r="CL4" i="16"/>
  <c r="CL5" i="16"/>
  <c r="CL31" i="16"/>
  <c r="CL26" i="16"/>
  <c r="CL23" i="16"/>
  <c r="CL24" i="16"/>
  <c r="CJ32" i="15"/>
  <c r="CG32" i="15"/>
  <c r="CJ31" i="15"/>
  <c r="CG31" i="15"/>
  <c r="CJ30" i="15"/>
  <c r="CG30" i="15"/>
  <c r="CJ29" i="15"/>
  <c r="CG29" i="15"/>
  <c r="CJ28" i="15"/>
  <c r="CG28" i="15"/>
  <c r="CJ27" i="15"/>
  <c r="CG27" i="15"/>
  <c r="CJ26" i="15"/>
  <c r="CG26" i="15"/>
  <c r="CJ25" i="15"/>
  <c r="CG25" i="15"/>
  <c r="CJ24" i="15"/>
  <c r="CG24" i="15"/>
  <c r="CJ23" i="15"/>
  <c r="CG23" i="15"/>
  <c r="CJ22" i="15"/>
  <c r="CG22" i="15"/>
  <c r="CJ18" i="15"/>
  <c r="CG18" i="15"/>
  <c r="CJ17" i="15"/>
  <c r="CG17" i="15"/>
  <c r="CJ16" i="15"/>
  <c r="CG16" i="15"/>
  <c r="CJ15" i="15"/>
  <c r="CG15" i="15"/>
  <c r="CJ12" i="15"/>
  <c r="CG12" i="15"/>
  <c r="CJ10" i="15"/>
  <c r="CG10" i="15"/>
  <c r="CJ9" i="15"/>
  <c r="CG9" i="15"/>
  <c r="CJ8" i="15"/>
  <c r="CG8" i="15"/>
  <c r="CJ5" i="15"/>
  <c r="CG5" i="15"/>
  <c r="CJ4" i="15"/>
  <c r="CG4" i="15"/>
  <c r="CJ3" i="15"/>
  <c r="CG3" i="15"/>
  <c r="CK32" i="14" l="1"/>
  <c r="CH32" i="14"/>
  <c r="CK31" i="14"/>
  <c r="CH31" i="14"/>
  <c r="CK30" i="14"/>
  <c r="CH30" i="14"/>
  <c r="CK29" i="14"/>
  <c r="CK28" i="14"/>
  <c r="CH29" i="14"/>
  <c r="CK27" i="14"/>
  <c r="CH27" i="14"/>
  <c r="CK26" i="14"/>
  <c r="CK25" i="14"/>
  <c r="CH25" i="14"/>
  <c r="CK24" i="14"/>
  <c r="CH24" i="14"/>
  <c r="CK23" i="14"/>
  <c r="CH23" i="14"/>
  <c r="CK22" i="14"/>
  <c r="CH22" i="14"/>
  <c r="CK18" i="14"/>
  <c r="CH18" i="14"/>
  <c r="CK17" i="14"/>
  <c r="CH17" i="14"/>
  <c r="CK16" i="14"/>
  <c r="CH16" i="14"/>
  <c r="CK15" i="14"/>
  <c r="CH15" i="14"/>
  <c r="CK11" i="14"/>
  <c r="CH11" i="14"/>
  <c r="CK10" i="14"/>
  <c r="CH10" i="14"/>
  <c r="CK9" i="14"/>
  <c r="CH9" i="14"/>
  <c r="CK8" i="14"/>
  <c r="CH8" i="14"/>
  <c r="CK5" i="14"/>
  <c r="CH5" i="14"/>
  <c r="CK4" i="14"/>
  <c r="CH4" i="14"/>
  <c r="CK3" i="14"/>
  <c r="CH3" i="14"/>
  <c r="CH28" i="14" l="1"/>
  <c r="CH26" i="14"/>
  <c r="CJ29" i="13"/>
  <c r="CK26" i="13"/>
  <c r="CK22" i="13"/>
  <c r="CM22" i="13" s="1"/>
  <c r="CK15" i="13"/>
  <c r="CM15" i="13" s="1"/>
  <c r="CK8" i="13"/>
  <c r="CM8" i="13" s="1"/>
  <c r="CK3" i="13"/>
  <c r="CM3" i="13" s="1"/>
  <c r="CM32" i="13"/>
  <c r="CJ32" i="13"/>
  <c r="CM31" i="13"/>
  <c r="CJ31" i="13"/>
  <c r="CM30" i="13"/>
  <c r="CJ30" i="13"/>
  <c r="CM29" i="13"/>
  <c r="CM28" i="13"/>
  <c r="CJ28" i="13"/>
  <c r="CM27" i="13"/>
  <c r="CJ27" i="13"/>
  <c r="CM26" i="13"/>
  <c r="CM25" i="13"/>
  <c r="CJ25" i="13"/>
  <c r="CM24" i="13"/>
  <c r="CJ24" i="13"/>
  <c r="CM23" i="13"/>
  <c r="CJ23" i="13"/>
  <c r="CJ22" i="13"/>
  <c r="CM18" i="13"/>
  <c r="CJ18" i="13"/>
  <c r="CM17" i="13"/>
  <c r="CJ17" i="13"/>
  <c r="CM16" i="13"/>
  <c r="CJ16" i="13"/>
  <c r="CJ15" i="13"/>
  <c r="CM11" i="13"/>
  <c r="CJ11" i="13"/>
  <c r="CM10" i="13"/>
  <c r="CJ10" i="13"/>
  <c r="CM9" i="13"/>
  <c r="CJ9" i="13"/>
  <c r="CJ8" i="13"/>
  <c r="CM5" i="13"/>
  <c r="CJ5" i="13"/>
  <c r="CM4" i="13"/>
  <c r="CJ4" i="13"/>
  <c r="CJ3" i="13"/>
  <c r="CJ26" i="13" l="1"/>
  <c r="CM15" i="12"/>
  <c r="CO15" i="12" s="1"/>
  <c r="CM8" i="12"/>
  <c r="CO8" i="12" s="1"/>
  <c r="CM3" i="12"/>
  <c r="CO3" i="12" s="1"/>
  <c r="CO32" i="12"/>
  <c r="CL32" i="12"/>
  <c r="CO31" i="12"/>
  <c r="CL31" i="12"/>
  <c r="CO30" i="12"/>
  <c r="CL30" i="12"/>
  <c r="CO29" i="12"/>
  <c r="CL29" i="12"/>
  <c r="CO28" i="12"/>
  <c r="CL28" i="12"/>
  <c r="CO27" i="12"/>
  <c r="CL27" i="12"/>
  <c r="CO26" i="12"/>
  <c r="CL26" i="12"/>
  <c r="CO25" i="12"/>
  <c r="CL25" i="12"/>
  <c r="CO24" i="12"/>
  <c r="CL24" i="12"/>
  <c r="CO23" i="12"/>
  <c r="CL23" i="12"/>
  <c r="CO22" i="12"/>
  <c r="CL22" i="12"/>
  <c r="CO18" i="12"/>
  <c r="CL18" i="12"/>
  <c r="CO17" i="12"/>
  <c r="CL17" i="12"/>
  <c r="CO16" i="12"/>
  <c r="CL16" i="12"/>
  <c r="CL15" i="12"/>
  <c r="CO11" i="12"/>
  <c r="CL11" i="12"/>
  <c r="CO10" i="12"/>
  <c r="CL10" i="12"/>
  <c r="CO9" i="12"/>
  <c r="CL9" i="12"/>
  <c r="CL8" i="12"/>
  <c r="CO5" i="12"/>
  <c r="CL5" i="12"/>
  <c r="CO4" i="12"/>
  <c r="CL4" i="12"/>
  <c r="CL3" i="12"/>
  <c r="CS31" i="11" l="1"/>
  <c r="CP31" i="11"/>
  <c r="CS30" i="11"/>
  <c r="CP30" i="11"/>
  <c r="CS29" i="11"/>
  <c r="CP29" i="11"/>
  <c r="CS28" i="11"/>
  <c r="CP28" i="11"/>
  <c r="CS27" i="11"/>
  <c r="CP27" i="11"/>
  <c r="CS26" i="11"/>
  <c r="CP26" i="11"/>
  <c r="CS25" i="11"/>
  <c r="CP25" i="11"/>
  <c r="CS24" i="11"/>
  <c r="CP24" i="11"/>
  <c r="CS23" i="11"/>
  <c r="CP23" i="11"/>
  <c r="CS22" i="11"/>
  <c r="CP22" i="11"/>
  <c r="CS21" i="11"/>
  <c r="CP21" i="11"/>
  <c r="CS17" i="11"/>
  <c r="CP17" i="11"/>
  <c r="CS16" i="11"/>
  <c r="CP16" i="11"/>
  <c r="CS15" i="11"/>
  <c r="CP15" i="11"/>
  <c r="CS12" i="11"/>
  <c r="CP12" i="11"/>
  <c r="CS11" i="11"/>
  <c r="CP11" i="11"/>
  <c r="CK32" i="10"/>
  <c r="CH32" i="10"/>
  <c r="CK31" i="10"/>
  <c r="CH31" i="10"/>
  <c r="CK30" i="10"/>
  <c r="CH30" i="10"/>
  <c r="CK29" i="10"/>
  <c r="CH29" i="10"/>
  <c r="CK28" i="10"/>
  <c r="CH28" i="10"/>
  <c r="CK27" i="10"/>
  <c r="CH27" i="10"/>
  <c r="CK26" i="10"/>
  <c r="CH26" i="10"/>
  <c r="CK25" i="10"/>
  <c r="CH25" i="10"/>
  <c r="CK24" i="10"/>
  <c r="CH24" i="10"/>
  <c r="CK23" i="10"/>
  <c r="CH23" i="10"/>
  <c r="CK22" i="10"/>
  <c r="CH22" i="10"/>
  <c r="CK18" i="10"/>
  <c r="CH18" i="10"/>
  <c r="CK17" i="10"/>
  <c r="CH17" i="10"/>
  <c r="CK16" i="10"/>
  <c r="CH16" i="10"/>
  <c r="CK15" i="10"/>
  <c r="CH15" i="10"/>
  <c r="CK12" i="10"/>
  <c r="CH12" i="10"/>
  <c r="CK10" i="10"/>
  <c r="CH10" i="10"/>
  <c r="CK9" i="10"/>
  <c r="CH9" i="10"/>
  <c r="CK8" i="10"/>
  <c r="CH8" i="10"/>
  <c r="CK5" i="10"/>
  <c r="CH5" i="10"/>
  <c r="CK4" i="10"/>
  <c r="CH4" i="10"/>
  <c r="CK3" i="10"/>
  <c r="CH3" i="10"/>
  <c r="CI26" i="9"/>
  <c r="CK26" i="9" s="1"/>
  <c r="CI22" i="9"/>
  <c r="CK22" i="9" s="1"/>
  <c r="CH3" i="9"/>
  <c r="CK3" i="9"/>
  <c r="CH4" i="9"/>
  <c r="CK4" i="9"/>
  <c r="CH5" i="9"/>
  <c r="CK5" i="9"/>
  <c r="CH8" i="9"/>
  <c r="CK8" i="9"/>
  <c r="CH9" i="9"/>
  <c r="CK9" i="9"/>
  <c r="CH10" i="9"/>
  <c r="CK10" i="9"/>
  <c r="CH11" i="9"/>
  <c r="CK11" i="9"/>
  <c r="CH15" i="9"/>
  <c r="CK15" i="9"/>
  <c r="CH16" i="9"/>
  <c r="CK16" i="9"/>
  <c r="CH17" i="9"/>
  <c r="CK17" i="9"/>
  <c r="CH18" i="9"/>
  <c r="CK18" i="9"/>
  <c r="CH22" i="9"/>
  <c r="CH23" i="9"/>
  <c r="CK23" i="9"/>
  <c r="CH24" i="9"/>
  <c r="CK24" i="9"/>
  <c r="CH25" i="9"/>
  <c r="CK25" i="9"/>
  <c r="CH26" i="9"/>
  <c r="CH27" i="9"/>
  <c r="CK27" i="9"/>
  <c r="CH28" i="9"/>
  <c r="CK28" i="9"/>
  <c r="CH29" i="9"/>
  <c r="CK29" i="9"/>
  <c r="CH30" i="9"/>
  <c r="CK30" i="9"/>
  <c r="CH31" i="9"/>
  <c r="CK31" i="9"/>
  <c r="CH32" i="9"/>
  <c r="CK32" i="9"/>
  <c r="CL32" i="8" l="1"/>
  <c r="CL31" i="8"/>
  <c r="CL30" i="8"/>
  <c r="CL29" i="8"/>
  <c r="CL28" i="8"/>
  <c r="CL27" i="8"/>
  <c r="CL26" i="8"/>
  <c r="CL25" i="8"/>
  <c r="CL24" i="8"/>
  <c r="CL23" i="8"/>
  <c r="CL22" i="8"/>
  <c r="CL18" i="8"/>
  <c r="CL17" i="8"/>
  <c r="CL16" i="8"/>
  <c r="CL15" i="8"/>
  <c r="CL11" i="8"/>
  <c r="CL10" i="8"/>
  <c r="CL9" i="8"/>
  <c r="CL8" i="8"/>
  <c r="CL5" i="8"/>
  <c r="CL4" i="8"/>
  <c r="CL3" i="8"/>
  <c r="CJ8" i="7" l="1"/>
  <c r="CG24" i="7" l="1"/>
  <c r="CI24" i="7" s="1"/>
  <c r="CG23" i="7"/>
  <c r="CI23" i="7" s="1"/>
  <c r="CI3" i="7"/>
  <c r="CL3" i="7"/>
  <c r="CP3" i="7"/>
  <c r="CQ3" i="7"/>
  <c r="CI4" i="7"/>
  <c r="CL4" i="7"/>
  <c r="CI5" i="7"/>
  <c r="CL5" i="7"/>
  <c r="CI8" i="7"/>
  <c r="CL8" i="7"/>
  <c r="CP8" i="7"/>
  <c r="CQ8" i="7"/>
  <c r="CI9" i="7"/>
  <c r="CL9" i="7"/>
  <c r="CI10" i="7"/>
  <c r="CL10" i="7"/>
  <c r="CI11" i="7"/>
  <c r="CL11" i="7"/>
  <c r="CI12" i="7"/>
  <c r="CL12" i="7"/>
  <c r="CP12" i="7"/>
  <c r="CQ12" i="7"/>
  <c r="CI15" i="7"/>
  <c r="CL15" i="7"/>
  <c r="CI16" i="7"/>
  <c r="CL16" i="7"/>
  <c r="CI17" i="7"/>
  <c r="CL17" i="7"/>
  <c r="CL31" i="7"/>
  <c r="CI31" i="7"/>
  <c r="CL30" i="7"/>
  <c r="CI30" i="7"/>
  <c r="CL29" i="7"/>
  <c r="CI29" i="7"/>
  <c r="CL27" i="7"/>
  <c r="CI27" i="7"/>
  <c r="CL26" i="7"/>
  <c r="CI26" i="7"/>
  <c r="CL24" i="7"/>
  <c r="CL23" i="7"/>
  <c r="CL22" i="7"/>
  <c r="CI22" i="7"/>
  <c r="CS3" i="7"/>
  <c r="CT3" i="7"/>
  <c r="CR4" i="7"/>
  <c r="CR5" i="7"/>
  <c r="CS8" i="7"/>
  <c r="CT8" i="7"/>
  <c r="CR9" i="7"/>
  <c r="CR10" i="7"/>
  <c r="CR11" i="7"/>
  <c r="CS12" i="7"/>
  <c r="CT12" i="7"/>
  <c r="CR15" i="7"/>
  <c r="CR16" i="7"/>
  <c r="CR17" i="7"/>
  <c r="CR22" i="7"/>
  <c r="CP23" i="7"/>
  <c r="CR23" i="7" s="1"/>
  <c r="CS23" i="7"/>
  <c r="CT23" i="7"/>
  <c r="CP24" i="7"/>
  <c r="CR24" i="7" s="1"/>
  <c r="CS24" i="7"/>
  <c r="CT24" i="7"/>
  <c r="CS25" i="7"/>
  <c r="CR26" i="7"/>
  <c r="CP27" i="7"/>
  <c r="CT27" i="7"/>
  <c r="CP29" i="7"/>
  <c r="CR29" i="7" s="1"/>
  <c r="CT29" i="7"/>
  <c r="CR30" i="7"/>
  <c r="CR31" i="7"/>
  <c r="CR3" i="7" l="1"/>
  <c r="CR8" i="7"/>
  <c r="CP28" i="7"/>
  <c r="CP25" i="7" s="1"/>
  <c r="CR25" i="7" s="1"/>
  <c r="CR27" i="7"/>
  <c r="CT21" i="7"/>
  <c r="CS21" i="7"/>
  <c r="CI25" i="7"/>
  <c r="CI28" i="7"/>
  <c r="CI21" i="7"/>
  <c r="CL28" i="7"/>
  <c r="CL21" i="7"/>
  <c r="CT28" i="7"/>
  <c r="CT25" i="7" s="1"/>
  <c r="CR12" i="7"/>
  <c r="CP21" i="7"/>
  <c r="CR21" i="7" s="1"/>
  <c r="CI7" i="6"/>
  <c r="CI3" i="6"/>
  <c r="CJ3" i="6"/>
  <c r="CJ4" i="6"/>
  <c r="CJ5" i="6"/>
  <c r="CR28" i="7" l="1"/>
  <c r="CL25" i="7"/>
  <c r="CJ7" i="6"/>
  <c r="CJ14" i="6"/>
  <c r="CJ15" i="6"/>
  <c r="CJ16" i="6"/>
  <c r="CJ17" i="6"/>
  <c r="CI14" i="6"/>
  <c r="CJ8" i="6"/>
  <c r="CJ9" i="6"/>
  <c r="CJ11" i="6"/>
  <c r="CK17" i="6" l="1"/>
  <c r="CH17" i="6"/>
  <c r="CK16" i="6"/>
  <c r="CH16" i="6"/>
  <c r="CK15" i="6"/>
  <c r="CH15" i="6"/>
  <c r="CK14" i="6"/>
  <c r="CK11" i="6"/>
  <c r="CH11" i="6"/>
  <c r="CK9" i="6"/>
  <c r="CH9" i="6"/>
  <c r="CK8" i="6"/>
  <c r="CH8" i="6"/>
  <c r="CK7" i="6"/>
  <c r="CK5" i="6"/>
  <c r="CH5" i="6"/>
  <c r="CK4" i="6"/>
  <c r="CH4" i="6"/>
  <c r="CK3" i="6"/>
  <c r="CH3" i="6" l="1"/>
  <c r="CJ3" i="17"/>
  <c r="CK3" i="17"/>
  <c r="CM3" i="17" s="1"/>
  <c r="CJ4" i="17"/>
  <c r="CM4" i="17"/>
  <c r="CJ5" i="17"/>
  <c r="CM5" i="17"/>
  <c r="CH8" i="17"/>
  <c r="CI8" i="17"/>
  <c r="CK8" i="17"/>
  <c r="CL8" i="17"/>
  <c r="CJ9" i="17"/>
  <c r="CM9" i="17"/>
  <c r="CJ10" i="17"/>
  <c r="CM10" i="17"/>
  <c r="CJ11" i="17"/>
  <c r="CM11" i="17"/>
  <c r="CJ16" i="17"/>
  <c r="CM16" i="17"/>
  <c r="CJ17" i="17"/>
  <c r="CM17" i="17"/>
  <c r="CJ18" i="17"/>
  <c r="CM18" i="17"/>
  <c r="CJ22" i="17"/>
  <c r="CJ23" i="17"/>
  <c r="CM23" i="17"/>
  <c r="CJ24" i="17"/>
  <c r="CK24" i="17"/>
  <c r="CM24" i="17" s="1"/>
  <c r="CJ25" i="17"/>
  <c r="CK25" i="17"/>
  <c r="CJ27" i="17"/>
  <c r="CM27" i="17"/>
  <c r="CJ28" i="17"/>
  <c r="CM28" i="17"/>
  <c r="CH29" i="17"/>
  <c r="CH26" i="17" s="1"/>
  <c r="CI29" i="17"/>
  <c r="CB29" i="17" s="1"/>
  <c r="CD29" i="17" s="1"/>
  <c r="CL29" i="17"/>
  <c r="CF28" i="6" s="1"/>
  <c r="CH28" i="6" s="1"/>
  <c r="CJ30" i="17"/>
  <c r="CM30" i="17"/>
  <c r="CJ31" i="17"/>
  <c r="CM31" i="17"/>
  <c r="CJ32" i="17"/>
  <c r="CM32" i="17"/>
  <c r="CK22" i="17" l="1"/>
  <c r="CM22" i="17" s="1"/>
  <c r="CF7" i="6"/>
  <c r="CH7" i="6" s="1"/>
  <c r="CF14" i="6"/>
  <c r="CH14" i="6" s="1"/>
  <c r="CJ8" i="17"/>
  <c r="CL26" i="17"/>
  <c r="CF25" i="6" s="1"/>
  <c r="CH25" i="6" s="1"/>
  <c r="CJ29" i="17"/>
  <c r="CM8" i="17"/>
  <c r="CM29" i="17"/>
  <c r="CI26" i="17"/>
  <c r="CM25" i="17"/>
  <c r="CT32" i="14"/>
  <c r="CQ32" i="14"/>
  <c r="CT31" i="14"/>
  <c r="CQ31" i="14"/>
  <c r="CT30" i="14"/>
  <c r="CP30" i="14"/>
  <c r="CQ30" i="14" s="1"/>
  <c r="CT29" i="14"/>
  <c r="CT28" i="14"/>
  <c r="CP28" i="14"/>
  <c r="CT27" i="14"/>
  <c r="CQ27" i="14"/>
  <c r="CT26" i="14"/>
  <c r="CO26" i="14"/>
  <c r="CT25" i="14"/>
  <c r="CQ25" i="14"/>
  <c r="CT24" i="14"/>
  <c r="CQ24" i="14"/>
  <c r="CT23" i="14"/>
  <c r="CQ23" i="14"/>
  <c r="CR22" i="14"/>
  <c r="CT22" i="14" s="1"/>
  <c r="CO22" i="14"/>
  <c r="CQ22" i="14" s="1"/>
  <c r="CT18" i="14"/>
  <c r="CQ18" i="14"/>
  <c r="CT17" i="14"/>
  <c r="CQ17" i="14"/>
  <c r="CT16" i="14"/>
  <c r="CQ16" i="14"/>
  <c r="CR15" i="14"/>
  <c r="CT15" i="14" s="1"/>
  <c r="CO15" i="14"/>
  <c r="CQ15" i="14" s="1"/>
  <c r="CT11" i="14"/>
  <c r="CQ11" i="14"/>
  <c r="CT10" i="14"/>
  <c r="CQ10" i="14"/>
  <c r="CT9" i="14"/>
  <c r="CQ9" i="14"/>
  <c r="CR8" i="14"/>
  <c r="CT8" i="14" s="1"/>
  <c r="CO8" i="14"/>
  <c r="CQ8" i="14" s="1"/>
  <c r="CT5" i="14"/>
  <c r="CQ5" i="14"/>
  <c r="CT4" i="14"/>
  <c r="CQ4" i="14"/>
  <c r="CR3" i="14"/>
  <c r="CT3" i="14" s="1"/>
  <c r="CO3" i="14"/>
  <c r="CQ3" i="14" s="1"/>
  <c r="CS15" i="13"/>
  <c r="CS8" i="13"/>
  <c r="CS3" i="13"/>
  <c r="CV26" i="13"/>
  <c r="CW26" i="13" s="1"/>
  <c r="CV22" i="13"/>
  <c r="CW22" i="13" s="1"/>
  <c r="CS22" i="13"/>
  <c r="CS26" i="13"/>
  <c r="CR26" i="13"/>
  <c r="CR22" i="13"/>
  <c r="CR15" i="13"/>
  <c r="CR8" i="13"/>
  <c r="CR3" i="13"/>
  <c r="CW32" i="13"/>
  <c r="CT32" i="13"/>
  <c r="CW31" i="13"/>
  <c r="CT31" i="13"/>
  <c r="CW30" i="13"/>
  <c r="CT30" i="13"/>
  <c r="CW29" i="13"/>
  <c r="CT29" i="13"/>
  <c r="CW28" i="13"/>
  <c r="CT28" i="13"/>
  <c r="CW27" i="13"/>
  <c r="CT27" i="13"/>
  <c r="CW25" i="13"/>
  <c r="CT25" i="13"/>
  <c r="CW24" i="13"/>
  <c r="CT24" i="13"/>
  <c r="CW23" i="13"/>
  <c r="CT23" i="13"/>
  <c r="CW18" i="13"/>
  <c r="CT18" i="13"/>
  <c r="CW17" i="13"/>
  <c r="CT17" i="13"/>
  <c r="CW16" i="13"/>
  <c r="CT16" i="13"/>
  <c r="CW15" i="13"/>
  <c r="CW11" i="13"/>
  <c r="CT11" i="13"/>
  <c r="CW10" i="13"/>
  <c r="CT10" i="13"/>
  <c r="CW9" i="13"/>
  <c r="CT9" i="13"/>
  <c r="CW8" i="13"/>
  <c r="CW5" i="13"/>
  <c r="CT5" i="13"/>
  <c r="CW4" i="13"/>
  <c r="CT4" i="13"/>
  <c r="CW3" i="13"/>
  <c r="CU3" i="12"/>
  <c r="CU8" i="12"/>
  <c r="CU15" i="12"/>
  <c r="CU26" i="12"/>
  <c r="CU22" i="12"/>
  <c r="CT22" i="12"/>
  <c r="CW26" i="12"/>
  <c r="CY26" i="12" s="1"/>
  <c r="CW22" i="12"/>
  <c r="CY22" i="12" s="1"/>
  <c r="CT26" i="12"/>
  <c r="CT15" i="12"/>
  <c r="CT8" i="12"/>
  <c r="CT3" i="12"/>
  <c r="CY32" i="12"/>
  <c r="CV32" i="12"/>
  <c r="CY31" i="12"/>
  <c r="CV31" i="12"/>
  <c r="CY30" i="12"/>
  <c r="CV30" i="12"/>
  <c r="CY29" i="12"/>
  <c r="CV29" i="12"/>
  <c r="CY28" i="12"/>
  <c r="CV28" i="12"/>
  <c r="CY27" i="12"/>
  <c r="CV27" i="12"/>
  <c r="CY25" i="12"/>
  <c r="CV25" i="12"/>
  <c r="CY24" i="12"/>
  <c r="CV24" i="12"/>
  <c r="CY23" i="12"/>
  <c r="CV23" i="12"/>
  <c r="CY18" i="12"/>
  <c r="CV18" i="12"/>
  <c r="CY17" i="12"/>
  <c r="CV17" i="12"/>
  <c r="CY16" i="12"/>
  <c r="CV16" i="12"/>
  <c r="CY15" i="12"/>
  <c r="CY11" i="12"/>
  <c r="CV11" i="12"/>
  <c r="CY10" i="12"/>
  <c r="CV10" i="12"/>
  <c r="CY9" i="12"/>
  <c r="CV9" i="12"/>
  <c r="CY8" i="12"/>
  <c r="CY5" i="12"/>
  <c r="CV5" i="12"/>
  <c r="CY4" i="12"/>
  <c r="CV4" i="12"/>
  <c r="CY3" i="12"/>
  <c r="DB22" i="11"/>
  <c r="DB23" i="11"/>
  <c r="DB24" i="11"/>
  <c r="DB26" i="11"/>
  <c r="DB27" i="11"/>
  <c r="DB28" i="11"/>
  <c r="DB29" i="11"/>
  <c r="DB30" i="11"/>
  <c r="DB31" i="11"/>
  <c r="DB17" i="11"/>
  <c r="DB16" i="11"/>
  <c r="DB15" i="11"/>
  <c r="DA12" i="11"/>
  <c r="DB11" i="11"/>
  <c r="CX12" i="11"/>
  <c r="CZ12" i="11"/>
  <c r="CZ21" i="11"/>
  <c r="DB21" i="11" s="1"/>
  <c r="CZ25" i="11"/>
  <c r="DB25" i="11" s="1"/>
  <c r="CX21" i="11"/>
  <c r="CX25" i="11"/>
  <c r="CW25" i="11"/>
  <c r="CW21" i="11"/>
  <c r="CW12" i="11"/>
  <c r="CY31" i="11"/>
  <c r="CY30" i="11"/>
  <c r="CY29" i="11"/>
  <c r="CY28" i="11"/>
  <c r="CY27" i="11"/>
  <c r="CY26" i="11"/>
  <c r="CY24" i="11"/>
  <c r="CY23" i="11"/>
  <c r="CY22" i="11"/>
  <c r="CY17" i="11"/>
  <c r="CY16" i="11"/>
  <c r="CY15" i="11"/>
  <c r="CY11" i="11"/>
  <c r="CP26" i="10"/>
  <c r="CP22" i="10"/>
  <c r="CR22" i="10"/>
  <c r="CT22" i="10" s="1"/>
  <c r="CR15" i="10"/>
  <c r="CT15" i="10" s="1"/>
  <c r="CR8" i="10"/>
  <c r="CT8" i="10" s="1"/>
  <c r="CR3" i="10"/>
  <c r="CT3" i="10" s="1"/>
  <c r="CP15" i="10"/>
  <c r="CP8" i="10"/>
  <c r="CP3" i="10"/>
  <c r="CO15" i="10"/>
  <c r="CO8" i="10"/>
  <c r="CO3" i="10"/>
  <c r="CO26" i="10"/>
  <c r="CO22" i="10"/>
  <c r="CT32" i="10"/>
  <c r="CQ32" i="10"/>
  <c r="CT31" i="10"/>
  <c r="CQ31" i="10"/>
  <c r="CT30" i="10"/>
  <c r="CQ30" i="10"/>
  <c r="CT29" i="10"/>
  <c r="CQ29" i="10"/>
  <c r="CT28" i="10"/>
  <c r="CQ28" i="10"/>
  <c r="CT27" i="10"/>
  <c r="CQ27" i="10"/>
  <c r="CT26" i="10"/>
  <c r="CT25" i="10"/>
  <c r="CQ25" i="10"/>
  <c r="CT24" i="10"/>
  <c r="CQ24" i="10"/>
  <c r="CT23" i="10"/>
  <c r="CQ23" i="10"/>
  <c r="CT18" i="10"/>
  <c r="CQ18" i="10"/>
  <c r="CT17" i="10"/>
  <c r="CQ17" i="10"/>
  <c r="CT16" i="10"/>
  <c r="CQ16" i="10"/>
  <c r="CT12" i="10"/>
  <c r="CQ12" i="10"/>
  <c r="CT10" i="10"/>
  <c r="CQ10" i="10"/>
  <c r="CT9" i="10"/>
  <c r="CQ9" i="10"/>
  <c r="CT5" i="10"/>
  <c r="CQ5" i="10"/>
  <c r="CT4" i="10"/>
  <c r="CQ4" i="10"/>
  <c r="CR26" i="9"/>
  <c r="CR22" i="9"/>
  <c r="CO26" i="9"/>
  <c r="CP26" i="9" s="1"/>
  <c r="CN22" i="9"/>
  <c r="CR15" i="9"/>
  <c r="CR8" i="9"/>
  <c r="CR3" i="9"/>
  <c r="CQ15" i="9"/>
  <c r="CQ8" i="9"/>
  <c r="CQ3" i="9"/>
  <c r="CO15" i="9"/>
  <c r="CO8" i="9"/>
  <c r="CO3" i="9"/>
  <c r="CN15" i="9"/>
  <c r="CN8" i="9"/>
  <c r="CN3" i="9"/>
  <c r="CS32" i="9"/>
  <c r="CP32" i="9"/>
  <c r="CS31" i="9"/>
  <c r="CP31" i="9"/>
  <c r="CS30" i="9"/>
  <c r="CP30" i="9"/>
  <c r="CS29" i="9"/>
  <c r="CP29" i="9"/>
  <c r="CS28" i="9"/>
  <c r="CP28" i="9"/>
  <c r="CS27" i="9"/>
  <c r="CP27" i="9"/>
  <c r="CQ26" i="9"/>
  <c r="CS25" i="9"/>
  <c r="CP25" i="9"/>
  <c r="CS24" i="9"/>
  <c r="CP24" i="9"/>
  <c r="CS23" i="9"/>
  <c r="CP23" i="9"/>
  <c r="CQ22" i="9"/>
  <c r="CS22" i="9" s="1"/>
  <c r="CO22" i="9"/>
  <c r="CS18" i="9"/>
  <c r="CP18" i="9"/>
  <c r="CS17" i="9"/>
  <c r="CP17" i="9"/>
  <c r="CS16" i="9"/>
  <c r="CP16" i="9"/>
  <c r="CS11" i="9"/>
  <c r="CP11" i="9"/>
  <c r="CS10" i="9"/>
  <c r="CP10" i="9"/>
  <c r="CS9" i="9"/>
  <c r="CP9" i="9"/>
  <c r="CS5" i="9"/>
  <c r="CP5" i="9"/>
  <c r="CS4" i="9"/>
  <c r="CP4" i="9"/>
  <c r="CX3" i="9"/>
  <c r="CY3" i="9"/>
  <c r="DA3" i="9"/>
  <c r="DB3" i="9"/>
  <c r="CZ4" i="9"/>
  <c r="DC4" i="9"/>
  <c r="CZ5" i="9"/>
  <c r="DC5" i="9"/>
  <c r="CX8" i="9"/>
  <c r="CY8" i="9"/>
  <c r="DA8" i="9"/>
  <c r="DB8" i="9"/>
  <c r="CZ9" i="9"/>
  <c r="DC9" i="9"/>
  <c r="CZ10" i="9"/>
  <c r="DC10" i="9"/>
  <c r="CZ11" i="9"/>
  <c r="DC11" i="9"/>
  <c r="CX15" i="9"/>
  <c r="CY15" i="9"/>
  <c r="DA15" i="9"/>
  <c r="DB15" i="9"/>
  <c r="CZ16" i="9"/>
  <c r="DC16" i="9"/>
  <c r="CZ17" i="9"/>
  <c r="DC17" i="9"/>
  <c r="CZ18" i="9"/>
  <c r="DC18" i="9"/>
  <c r="CX22" i="9"/>
  <c r="CY22" i="9"/>
  <c r="DA22" i="9"/>
  <c r="DB22" i="9"/>
  <c r="CZ23" i="9"/>
  <c r="DC23" i="9"/>
  <c r="CZ24" i="9"/>
  <c r="DC24" i="9"/>
  <c r="CZ25" i="9"/>
  <c r="DC25" i="9"/>
  <c r="CX26" i="9"/>
  <c r="CY26" i="9"/>
  <c r="DA26" i="9"/>
  <c r="DB26" i="9"/>
  <c r="CZ27" i="9"/>
  <c r="DC27" i="9"/>
  <c r="CZ28" i="9"/>
  <c r="DC28" i="9"/>
  <c r="CZ29" i="9"/>
  <c r="DC29" i="9"/>
  <c r="CZ30" i="9"/>
  <c r="DC30" i="9"/>
  <c r="CZ31" i="9"/>
  <c r="DC31" i="9"/>
  <c r="CZ32" i="9"/>
  <c r="DC32" i="9"/>
  <c r="CU22" i="8"/>
  <c r="CR22" i="8"/>
  <c r="CS22" i="8" s="1"/>
  <c r="CT22" i="8"/>
  <c r="CT26" i="8"/>
  <c r="CV26" i="8" s="1"/>
  <c r="CR3" i="8"/>
  <c r="CT3" i="8"/>
  <c r="CV3" i="8" s="1"/>
  <c r="CT8" i="8"/>
  <c r="CV8" i="8" s="1"/>
  <c r="CR8" i="8"/>
  <c r="CT15" i="8"/>
  <c r="CV15" i="8" s="1"/>
  <c r="CR15" i="8"/>
  <c r="CQ15" i="8"/>
  <c r="CQ8" i="8"/>
  <c r="CQ3" i="8"/>
  <c r="CV32" i="8"/>
  <c r="CS32" i="8"/>
  <c r="CV31" i="8"/>
  <c r="CS31" i="8"/>
  <c r="CV30" i="8"/>
  <c r="CS30" i="8"/>
  <c r="CV28" i="8"/>
  <c r="CS28" i="8"/>
  <c r="CV27" i="8"/>
  <c r="CS27" i="8"/>
  <c r="CV25" i="8"/>
  <c r="CS25" i="8"/>
  <c r="CV24" i="8"/>
  <c r="CS24" i="8"/>
  <c r="CV23" i="8"/>
  <c r="CS23" i="8"/>
  <c r="CV18" i="8"/>
  <c r="CS18" i="8"/>
  <c r="CV17" i="8"/>
  <c r="CS17" i="8"/>
  <c r="CV16" i="8"/>
  <c r="CS16" i="8"/>
  <c r="CV11" i="8"/>
  <c r="CS11" i="8"/>
  <c r="CV10" i="8"/>
  <c r="CS10" i="8"/>
  <c r="CV9" i="8"/>
  <c r="CS9" i="8"/>
  <c r="CV5" i="8"/>
  <c r="CS5" i="8"/>
  <c r="CV4" i="8"/>
  <c r="CS4" i="8"/>
  <c r="CU23" i="7"/>
  <c r="CU3" i="7"/>
  <c r="CU31" i="7"/>
  <c r="CU30" i="7"/>
  <c r="CU26" i="7"/>
  <c r="CU22" i="7"/>
  <c r="CU17" i="7"/>
  <c r="CU16" i="7"/>
  <c r="CU15" i="7"/>
  <c r="CU11" i="7"/>
  <c r="CU10" i="7"/>
  <c r="CU9" i="7"/>
  <c r="CU5" i="7"/>
  <c r="CU4" i="7"/>
  <c r="CS14" i="6"/>
  <c r="CS7" i="6"/>
  <c r="CS3" i="6"/>
  <c r="CR25" i="6"/>
  <c r="CR21" i="6"/>
  <c r="CO25" i="6"/>
  <c r="CO21" i="6"/>
  <c r="CR14" i="6"/>
  <c r="CR7" i="6"/>
  <c r="CR3" i="6"/>
  <c r="CO14" i="6"/>
  <c r="CO7" i="6"/>
  <c r="CO3" i="6"/>
  <c r="CP14" i="6"/>
  <c r="CP7" i="6"/>
  <c r="CP3" i="6"/>
  <c r="CS29" i="6"/>
  <c r="CT29" i="6" s="1"/>
  <c r="CS27" i="6"/>
  <c r="CT27" i="6" s="1"/>
  <c r="CS24" i="6"/>
  <c r="CT24" i="6" s="1"/>
  <c r="CS23" i="6"/>
  <c r="CP29" i="6"/>
  <c r="CQ29" i="6" s="1"/>
  <c r="CP27" i="6"/>
  <c r="CP24" i="6"/>
  <c r="CQ24" i="6" s="1"/>
  <c r="CP23" i="6"/>
  <c r="CT31" i="6"/>
  <c r="CQ31" i="6"/>
  <c r="CT30" i="6"/>
  <c r="CQ30" i="6"/>
  <c r="CT26" i="6"/>
  <c r="CQ26" i="6"/>
  <c r="CT22" i="6"/>
  <c r="CQ22" i="6"/>
  <c r="CT17" i="6"/>
  <c r="CQ17" i="6"/>
  <c r="CT16" i="6"/>
  <c r="CQ16" i="6"/>
  <c r="CT15" i="6"/>
  <c r="CQ15" i="6"/>
  <c r="CT11" i="6"/>
  <c r="CQ11" i="6"/>
  <c r="CT9" i="6"/>
  <c r="CQ9" i="6"/>
  <c r="CT8" i="6"/>
  <c r="CQ8" i="6"/>
  <c r="CT5" i="6"/>
  <c r="CQ5" i="6"/>
  <c r="CT4" i="6"/>
  <c r="CQ4" i="6"/>
  <c r="CX3" i="6"/>
  <c r="CY3" i="6"/>
  <c r="DA3" i="6"/>
  <c r="DB3" i="6"/>
  <c r="CZ4" i="6"/>
  <c r="DC4" i="6"/>
  <c r="CZ5" i="6"/>
  <c r="DC5" i="6"/>
  <c r="CX7" i="6"/>
  <c r="CY7" i="6"/>
  <c r="DA7" i="6"/>
  <c r="DB7" i="6"/>
  <c r="CZ8" i="6"/>
  <c r="DC8" i="6"/>
  <c r="CZ9" i="6"/>
  <c r="DC9" i="6"/>
  <c r="CZ11" i="6"/>
  <c r="DC11" i="6"/>
  <c r="CX14" i="6"/>
  <c r="CY14" i="6"/>
  <c r="DA14" i="6"/>
  <c r="DB14" i="6"/>
  <c r="CZ15" i="6"/>
  <c r="DC15" i="6"/>
  <c r="CZ16" i="6"/>
  <c r="DC16" i="6"/>
  <c r="CZ17" i="6"/>
  <c r="DC17" i="6"/>
  <c r="CX21" i="6"/>
  <c r="CY21" i="6"/>
  <c r="DA21" i="6"/>
  <c r="DB21" i="6"/>
  <c r="CZ22" i="6"/>
  <c r="DC22" i="6"/>
  <c r="CZ23" i="6"/>
  <c r="DC23" i="6"/>
  <c r="CZ24" i="6"/>
  <c r="DC24" i="6"/>
  <c r="CX25" i="6"/>
  <c r="CY25" i="6"/>
  <c r="DA25" i="6"/>
  <c r="DB25" i="6"/>
  <c r="CZ26" i="6"/>
  <c r="DC26" i="6"/>
  <c r="CZ27" i="6"/>
  <c r="DC27" i="6"/>
  <c r="CZ28" i="6"/>
  <c r="DC28" i="6"/>
  <c r="CZ29" i="6"/>
  <c r="DC29" i="6"/>
  <c r="CZ30" i="6"/>
  <c r="DC30" i="6"/>
  <c r="CZ31" i="6"/>
  <c r="DC31" i="6"/>
  <c r="CV32" i="17"/>
  <c r="CS32" i="17"/>
  <c r="CV31" i="17"/>
  <c r="CS31" i="17"/>
  <c r="CV30" i="17"/>
  <c r="CS30" i="17"/>
  <c r="CV29" i="17"/>
  <c r="CS29" i="17"/>
  <c r="CV28" i="17"/>
  <c r="CS28" i="17"/>
  <c r="CV27" i="17"/>
  <c r="CS27" i="17"/>
  <c r="CV26" i="17"/>
  <c r="CS26" i="17"/>
  <c r="CV25" i="17"/>
  <c r="CS25" i="17"/>
  <c r="CV24" i="17"/>
  <c r="CS24" i="17"/>
  <c r="CV23" i="17"/>
  <c r="CS23" i="17"/>
  <c r="CV22" i="17"/>
  <c r="CS22" i="17"/>
  <c r="CV18" i="17"/>
  <c r="CS18" i="17"/>
  <c r="CV17" i="17"/>
  <c r="CS17" i="17"/>
  <c r="CV16" i="17"/>
  <c r="CS16" i="17"/>
  <c r="CV11" i="17"/>
  <c r="CS11" i="17"/>
  <c r="CV10" i="17"/>
  <c r="CS10" i="17"/>
  <c r="CV9" i="17"/>
  <c r="CS9" i="17"/>
  <c r="CV8" i="17"/>
  <c r="CS8" i="17"/>
  <c r="CV5" i="17"/>
  <c r="CS5" i="17"/>
  <c r="CV4" i="17"/>
  <c r="CS4" i="17"/>
  <c r="CV3" i="17"/>
  <c r="CS3" i="17"/>
  <c r="CV15" i="16"/>
  <c r="CX15" i="16" s="1"/>
  <c r="CV3" i="16"/>
  <c r="CX3" i="16" s="1"/>
  <c r="CV8" i="16"/>
  <c r="CX8" i="16" s="1"/>
  <c r="CV26" i="16"/>
  <c r="CX26" i="16" s="1"/>
  <c r="CV22" i="16"/>
  <c r="CX22" i="16" s="1"/>
  <c r="CT22" i="16"/>
  <c r="CU22" i="16" s="1"/>
  <c r="CS15" i="16"/>
  <c r="CT3" i="16"/>
  <c r="CT8" i="16"/>
  <c r="CT15" i="16"/>
  <c r="CS8" i="16"/>
  <c r="CS3" i="16"/>
  <c r="CX32" i="16"/>
  <c r="CU32" i="16"/>
  <c r="CX31" i="16"/>
  <c r="CU31" i="16"/>
  <c r="CX30" i="16"/>
  <c r="CU30" i="16"/>
  <c r="CX29" i="16"/>
  <c r="CU29" i="16"/>
  <c r="CX28" i="16"/>
  <c r="CU28" i="16"/>
  <c r="CX27" i="16"/>
  <c r="CU27" i="16"/>
  <c r="CT26" i="16"/>
  <c r="CU26" i="16" s="1"/>
  <c r="CX25" i="16"/>
  <c r="CU25" i="16"/>
  <c r="CX24" i="16"/>
  <c r="CU24" i="16"/>
  <c r="CX23" i="16"/>
  <c r="CU23" i="16"/>
  <c r="CX18" i="16"/>
  <c r="CU18" i="16"/>
  <c r="CX17" i="16"/>
  <c r="CU17" i="16"/>
  <c r="CX16" i="16"/>
  <c r="CU16" i="16"/>
  <c r="CX12" i="16"/>
  <c r="CU12" i="16"/>
  <c r="CX10" i="16"/>
  <c r="CU10" i="16"/>
  <c r="CX9" i="16"/>
  <c r="CU9" i="16"/>
  <c r="CX5" i="16"/>
  <c r="CU5" i="16"/>
  <c r="CX4" i="16"/>
  <c r="CU4" i="16"/>
  <c r="DB3" i="16"/>
  <c r="DC3" i="16"/>
  <c r="DF3" i="16"/>
  <c r="DG3" i="16" s="1"/>
  <c r="DD4" i="16"/>
  <c r="DG4" i="16"/>
  <c r="DD5" i="16"/>
  <c r="DG5" i="16"/>
  <c r="DC8" i="16"/>
  <c r="DD8" i="16" s="1"/>
  <c r="DF8" i="16"/>
  <c r="DG8" i="16" s="1"/>
  <c r="DD9" i="16"/>
  <c r="DG9" i="16"/>
  <c r="DD10" i="16"/>
  <c r="DG10" i="16"/>
  <c r="DD12" i="16"/>
  <c r="DG12" i="16"/>
  <c r="DB15" i="16"/>
  <c r="DC15" i="16"/>
  <c r="DF15" i="16"/>
  <c r="DG15" i="16" s="1"/>
  <c r="DD16" i="16"/>
  <c r="DG16" i="16"/>
  <c r="DD17" i="16"/>
  <c r="DG17" i="16"/>
  <c r="DD18" i="16"/>
  <c r="DG18" i="16"/>
  <c r="DB22" i="16"/>
  <c r="DC22" i="16"/>
  <c r="DF22" i="16"/>
  <c r="DG22" i="16" s="1"/>
  <c r="DD23" i="16"/>
  <c r="DG23" i="16"/>
  <c r="DD24" i="16"/>
  <c r="DG24" i="16"/>
  <c r="DD25" i="16"/>
  <c r="DG25" i="16"/>
  <c r="DB26" i="16"/>
  <c r="DC26" i="16"/>
  <c r="DF26" i="16"/>
  <c r="DG26" i="16" s="1"/>
  <c r="DD27" i="16"/>
  <c r="DG27" i="16"/>
  <c r="DD28" i="16"/>
  <c r="DG28" i="16"/>
  <c r="DD29" i="16"/>
  <c r="DG29" i="16"/>
  <c r="DD30" i="16"/>
  <c r="DG30" i="16"/>
  <c r="DD31" i="16"/>
  <c r="DG31" i="16"/>
  <c r="DD32" i="16"/>
  <c r="DG32" i="16"/>
  <c r="CO3" i="15"/>
  <c r="CQ3" i="15" s="1"/>
  <c r="CM3" i="15"/>
  <c r="CO8" i="15"/>
  <c r="CQ8" i="15" s="1"/>
  <c r="CM15" i="15"/>
  <c r="CM8" i="15"/>
  <c r="CM26" i="15"/>
  <c r="CN26" i="15" s="1"/>
  <c r="CM22" i="15"/>
  <c r="CL22" i="15"/>
  <c r="CL15" i="15"/>
  <c r="CL8" i="15"/>
  <c r="CL3" i="15"/>
  <c r="CQ32" i="15"/>
  <c r="CN32" i="15"/>
  <c r="CQ31" i="15"/>
  <c r="CN31" i="15"/>
  <c r="CQ30" i="15"/>
  <c r="CN30" i="15"/>
  <c r="CQ29" i="15"/>
  <c r="CN29" i="15"/>
  <c r="CQ28" i="15"/>
  <c r="CN28" i="15"/>
  <c r="CQ27" i="15"/>
  <c r="CN27" i="15"/>
  <c r="CQ26" i="15"/>
  <c r="CQ25" i="15"/>
  <c r="CN25" i="15"/>
  <c r="CQ24" i="15"/>
  <c r="CN24" i="15"/>
  <c r="CQ23" i="15"/>
  <c r="CN23" i="15"/>
  <c r="CQ22" i="15"/>
  <c r="CQ18" i="15"/>
  <c r="CN18" i="15"/>
  <c r="CQ17" i="15"/>
  <c r="CN17" i="15"/>
  <c r="CQ16" i="15"/>
  <c r="CN16" i="15"/>
  <c r="CQ15" i="15"/>
  <c r="CQ12" i="15"/>
  <c r="CN12" i="15"/>
  <c r="CQ10" i="15"/>
  <c r="CN10" i="15"/>
  <c r="CQ9" i="15"/>
  <c r="CN9" i="15"/>
  <c r="CQ5" i="15"/>
  <c r="CN5" i="15"/>
  <c r="CQ4" i="15"/>
  <c r="CN4" i="15"/>
  <c r="DA15" i="14"/>
  <c r="DA8" i="14"/>
  <c r="DA22" i="14"/>
  <c r="DC22" i="14" s="1"/>
  <c r="CY22" i="14"/>
  <c r="CY26" i="14"/>
  <c r="DB15" i="14"/>
  <c r="DB8" i="14"/>
  <c r="DB3" i="14"/>
  <c r="DC3" i="14" s="1"/>
  <c r="CY3" i="14"/>
  <c r="CY8" i="14"/>
  <c r="CY15" i="14"/>
  <c r="CX26" i="14"/>
  <c r="CX22" i="14"/>
  <c r="CX15" i="14"/>
  <c r="CX8" i="14"/>
  <c r="CX3" i="14"/>
  <c r="DC32" i="14"/>
  <c r="CZ32" i="14"/>
  <c r="DC31" i="14"/>
  <c r="CZ31" i="14"/>
  <c r="DC30" i="14"/>
  <c r="CZ30" i="14"/>
  <c r="DC29" i="14"/>
  <c r="CZ29" i="14"/>
  <c r="DC28" i="14"/>
  <c r="CZ28" i="14"/>
  <c r="DC27" i="14"/>
  <c r="CZ27" i="14"/>
  <c r="DC26" i="14"/>
  <c r="DC25" i="14"/>
  <c r="CZ25" i="14"/>
  <c r="DC24" i="14"/>
  <c r="CZ24" i="14"/>
  <c r="DC23" i="14"/>
  <c r="CZ23" i="14"/>
  <c r="DC18" i="14"/>
  <c r="CZ18" i="14"/>
  <c r="DC17" i="14"/>
  <c r="CZ17" i="14"/>
  <c r="DC16" i="14"/>
  <c r="CZ16" i="14"/>
  <c r="DC11" i="14"/>
  <c r="CZ11" i="14"/>
  <c r="DC10" i="14"/>
  <c r="CZ10" i="14"/>
  <c r="CZ9" i="14"/>
  <c r="DC5" i="14"/>
  <c r="CZ5" i="14"/>
  <c r="DC4" i="14"/>
  <c r="CZ4" i="14"/>
  <c r="DD3" i="13"/>
  <c r="DF3" i="13" s="1"/>
  <c r="DD8" i="13"/>
  <c r="DF8" i="13" s="1"/>
  <c r="DB3" i="13"/>
  <c r="DB8" i="13"/>
  <c r="DB15" i="13"/>
  <c r="DB26" i="13"/>
  <c r="DB22" i="13"/>
  <c r="DA22" i="13"/>
  <c r="DD22" i="13"/>
  <c r="DF22" i="13" s="1"/>
  <c r="DA26" i="13"/>
  <c r="DA15" i="13"/>
  <c r="DA8" i="13"/>
  <c r="DA3" i="13"/>
  <c r="DF32" i="13"/>
  <c r="DC32" i="13"/>
  <c r="DF31" i="13"/>
  <c r="DC31" i="13"/>
  <c r="DF30" i="13"/>
  <c r="DC30" i="13"/>
  <c r="DF29" i="13"/>
  <c r="DC29" i="13"/>
  <c r="DF28" i="13"/>
  <c r="DC28" i="13"/>
  <c r="DF27" i="13"/>
  <c r="DC27" i="13"/>
  <c r="DF26" i="13"/>
  <c r="DF25" i="13"/>
  <c r="DC25" i="13"/>
  <c r="DF24" i="13"/>
  <c r="DC24" i="13"/>
  <c r="DF23" i="13"/>
  <c r="DC23" i="13"/>
  <c r="DF18" i="13"/>
  <c r="DC18" i="13"/>
  <c r="DF17" i="13"/>
  <c r="DC17" i="13"/>
  <c r="DF16" i="13"/>
  <c r="DC16" i="13"/>
  <c r="DF15" i="13"/>
  <c r="DF11" i="13"/>
  <c r="DC11" i="13"/>
  <c r="DF10" i="13"/>
  <c r="DC10" i="13"/>
  <c r="DF9" i="13"/>
  <c r="DC9" i="13"/>
  <c r="DF5" i="13"/>
  <c r="DC5" i="13"/>
  <c r="DF4" i="13"/>
  <c r="DC4" i="13"/>
  <c r="DF15" i="12"/>
  <c r="DH15" i="12" s="1"/>
  <c r="DF8" i="12"/>
  <c r="DH8" i="12" s="1"/>
  <c r="DD3" i="12"/>
  <c r="DD8" i="12"/>
  <c r="DD15" i="12"/>
  <c r="DD26" i="12"/>
  <c r="DE26" i="12" s="1"/>
  <c r="DF22" i="12"/>
  <c r="DH22" i="12" s="1"/>
  <c r="DF26" i="12"/>
  <c r="DH26" i="12" s="1"/>
  <c r="DD22" i="12"/>
  <c r="DE22" i="12" s="1"/>
  <c r="DC15" i="12"/>
  <c r="DC8" i="12"/>
  <c r="DC3" i="12"/>
  <c r="DH32" i="12"/>
  <c r="DE32" i="12"/>
  <c r="DH31" i="12"/>
  <c r="DE31" i="12"/>
  <c r="DH30" i="12"/>
  <c r="DE30" i="12"/>
  <c r="DH29" i="12"/>
  <c r="DE29" i="12"/>
  <c r="DH28" i="12"/>
  <c r="DE28" i="12"/>
  <c r="DH27" i="12"/>
  <c r="DE27" i="12"/>
  <c r="DH25" i="12"/>
  <c r="DE25" i="12"/>
  <c r="DH24" i="12"/>
  <c r="DE24" i="12"/>
  <c r="DH23" i="12"/>
  <c r="DE23" i="12"/>
  <c r="DH18" i="12"/>
  <c r="DE18" i="12"/>
  <c r="DH17" i="12"/>
  <c r="DE17" i="12"/>
  <c r="DH16" i="12"/>
  <c r="DE16" i="12"/>
  <c r="DH11" i="12"/>
  <c r="DE11" i="12"/>
  <c r="DH10" i="12"/>
  <c r="DE10" i="12"/>
  <c r="DH9" i="12"/>
  <c r="DE9" i="12"/>
  <c r="DH5" i="12"/>
  <c r="DE5" i="12"/>
  <c r="DH4" i="12"/>
  <c r="DE4" i="12"/>
  <c r="DH3" i="12"/>
  <c r="DM3" i="12"/>
  <c r="DN3" i="12" s="1"/>
  <c r="DO3" i="12"/>
  <c r="DP3" i="12"/>
  <c r="DN4" i="12"/>
  <c r="DQ4" i="12"/>
  <c r="DN5" i="12"/>
  <c r="DQ5" i="12"/>
  <c r="DL8" i="12"/>
  <c r="DM8" i="12"/>
  <c r="DO8" i="12"/>
  <c r="DP8" i="12"/>
  <c r="DN9" i="12"/>
  <c r="DQ9" i="12"/>
  <c r="DN10" i="12"/>
  <c r="DQ10" i="12"/>
  <c r="DN11" i="12"/>
  <c r="DQ11" i="12"/>
  <c r="DM15" i="12"/>
  <c r="DN15" i="12" s="1"/>
  <c r="DO15" i="12"/>
  <c r="DP15" i="12"/>
  <c r="DN16" i="12"/>
  <c r="DQ16" i="12"/>
  <c r="DN17" i="12"/>
  <c r="DQ17" i="12"/>
  <c r="DN18" i="12"/>
  <c r="DQ18" i="12"/>
  <c r="DM22" i="12"/>
  <c r="DN22" i="12" s="1"/>
  <c r="DO22" i="12"/>
  <c r="DP22" i="12"/>
  <c r="DN23" i="12"/>
  <c r="DQ23" i="12"/>
  <c r="DN24" i="12"/>
  <c r="DQ24" i="12"/>
  <c r="DN25" i="12"/>
  <c r="DQ25" i="12"/>
  <c r="DM26" i="12"/>
  <c r="DN26" i="12" s="1"/>
  <c r="DO26" i="12"/>
  <c r="DP26" i="12"/>
  <c r="DN27" i="12"/>
  <c r="DQ27" i="12"/>
  <c r="DN28" i="12"/>
  <c r="DQ28" i="12"/>
  <c r="DN29" i="12"/>
  <c r="DQ29" i="12"/>
  <c r="DN30" i="12"/>
  <c r="DQ30" i="12"/>
  <c r="DN31" i="12"/>
  <c r="DQ31" i="12"/>
  <c r="DN32" i="12"/>
  <c r="DQ32" i="12"/>
  <c r="DI8" i="11"/>
  <c r="DI21" i="11"/>
  <c r="DJ12" i="11"/>
  <c r="DK12" i="11" s="1"/>
  <c r="DJ8" i="11"/>
  <c r="DJ3" i="11"/>
  <c r="DK3" i="11" s="1"/>
  <c r="DG12" i="11"/>
  <c r="DG8" i="11"/>
  <c r="DH8" i="11" s="1"/>
  <c r="DG3" i="11"/>
  <c r="DH3" i="11" s="1"/>
  <c r="DJ25" i="11"/>
  <c r="DK25" i="11" s="1"/>
  <c r="DJ21" i="11"/>
  <c r="DG25" i="11"/>
  <c r="DG21" i="11"/>
  <c r="DF25" i="11"/>
  <c r="DF21" i="11"/>
  <c r="DF12" i="11"/>
  <c r="DK31" i="11"/>
  <c r="DH31" i="11"/>
  <c r="DK30" i="11"/>
  <c r="DH30" i="11"/>
  <c r="DK29" i="11"/>
  <c r="DH29" i="11"/>
  <c r="DK28" i="11"/>
  <c r="DH28" i="11"/>
  <c r="DK27" i="11"/>
  <c r="DH27" i="11"/>
  <c r="DK26" i="11"/>
  <c r="DH26" i="11"/>
  <c r="DK24" i="11"/>
  <c r="DH24" i="11"/>
  <c r="DK23" i="11"/>
  <c r="DH23" i="11"/>
  <c r="DK22" i="11"/>
  <c r="DH22" i="11"/>
  <c r="DK17" i="11"/>
  <c r="DH17" i="11"/>
  <c r="DK16" i="11"/>
  <c r="DH16" i="11"/>
  <c r="DK15" i="11"/>
  <c r="DH15" i="11"/>
  <c r="DK11" i="11"/>
  <c r="DH11" i="11"/>
  <c r="DK10" i="11"/>
  <c r="DH10" i="11"/>
  <c r="DK9" i="11"/>
  <c r="DH9" i="11"/>
  <c r="DK5" i="11"/>
  <c r="DH5" i="11"/>
  <c r="DK4" i="11"/>
  <c r="DH4" i="11"/>
  <c r="CY26" i="10"/>
  <c r="CY22" i="10"/>
  <c r="CX26" i="10"/>
  <c r="CX22" i="10"/>
  <c r="CY15" i="10"/>
  <c r="DA8" i="10"/>
  <c r="DC8" i="10" s="1"/>
  <c r="CY8" i="10"/>
  <c r="CY3" i="10"/>
  <c r="DC15" i="10"/>
  <c r="CX15" i="10"/>
  <c r="CX8" i="10"/>
  <c r="CX3" i="10"/>
  <c r="DC32" i="10"/>
  <c r="CZ32" i="10"/>
  <c r="DC31" i="10"/>
  <c r="CZ31" i="10"/>
  <c r="DC30" i="10"/>
  <c r="CZ30" i="10"/>
  <c r="DC29" i="10"/>
  <c r="CZ29" i="10"/>
  <c r="DC28" i="10"/>
  <c r="CZ28" i="10"/>
  <c r="DC27" i="10"/>
  <c r="CZ27" i="10"/>
  <c r="DC26" i="10"/>
  <c r="DC25" i="10"/>
  <c r="CZ25" i="10"/>
  <c r="DC24" i="10"/>
  <c r="CZ24" i="10"/>
  <c r="DC23" i="10"/>
  <c r="CZ23" i="10"/>
  <c r="DC22" i="10"/>
  <c r="DC18" i="10"/>
  <c r="CZ18" i="10"/>
  <c r="DC17" i="10"/>
  <c r="CZ17" i="10"/>
  <c r="DC16" i="10"/>
  <c r="CZ16" i="10"/>
  <c r="DC12" i="10"/>
  <c r="CZ12" i="10"/>
  <c r="DC10" i="10"/>
  <c r="CZ10" i="10"/>
  <c r="DC9" i="10"/>
  <c r="CZ9" i="10"/>
  <c r="DC5" i="10"/>
  <c r="CZ5" i="10"/>
  <c r="DC4" i="10"/>
  <c r="CZ4" i="10"/>
  <c r="DC3" i="10"/>
  <c r="DE32" i="8"/>
  <c r="DB32" i="8"/>
  <c r="DE31" i="8"/>
  <c r="DB31" i="8"/>
  <c r="DE30" i="8"/>
  <c r="DB30" i="8"/>
  <c r="DE29" i="8"/>
  <c r="DB29" i="8"/>
  <c r="DE28" i="8"/>
  <c r="DB28" i="8"/>
  <c r="DE27" i="8"/>
  <c r="DB27" i="8"/>
  <c r="DD26" i="8"/>
  <c r="DC26" i="8"/>
  <c r="DA26" i="8"/>
  <c r="CZ26" i="8"/>
  <c r="DE25" i="8"/>
  <c r="DB25" i="8"/>
  <c r="DE24" i="8"/>
  <c r="DB24" i="8"/>
  <c r="DE23" i="8"/>
  <c r="DB23" i="8"/>
  <c r="DD22" i="8"/>
  <c r="DC22" i="8"/>
  <c r="DA22" i="8"/>
  <c r="CZ22" i="8"/>
  <c r="DE18" i="8"/>
  <c r="DB18" i="8"/>
  <c r="DE17" i="8"/>
  <c r="DB17" i="8"/>
  <c r="DE16" i="8"/>
  <c r="DB16" i="8"/>
  <c r="DD15" i="8"/>
  <c r="DE15" i="8" s="1"/>
  <c r="DA15" i="8"/>
  <c r="CZ15" i="8"/>
  <c r="DE11" i="8"/>
  <c r="DB11" i="8"/>
  <c r="DE10" i="8"/>
  <c r="DB10" i="8"/>
  <c r="DE9" i="8"/>
  <c r="DB9" i="8"/>
  <c r="DD8" i="8"/>
  <c r="DC8" i="8"/>
  <c r="DA8" i="8"/>
  <c r="CZ8" i="8"/>
  <c r="DE5" i="8"/>
  <c r="DB5" i="8"/>
  <c r="DE4" i="8"/>
  <c r="DB4" i="8"/>
  <c r="DD3" i="8"/>
  <c r="DE3" i="8" s="1"/>
  <c r="DA3" i="8"/>
  <c r="CZ3" i="8"/>
  <c r="DC12" i="7"/>
  <c r="DD12" i="7" s="1"/>
  <c r="DC8" i="7"/>
  <c r="DC3" i="7"/>
  <c r="DD3" i="7" s="1"/>
  <c r="DB8" i="7"/>
  <c r="CZ3" i="7"/>
  <c r="CZ8" i="7"/>
  <c r="CZ12" i="7"/>
  <c r="DC25" i="7"/>
  <c r="DC21" i="7"/>
  <c r="CY25" i="7"/>
  <c r="CZ25" i="7"/>
  <c r="DB21" i="7"/>
  <c r="CZ21" i="7"/>
  <c r="DB25" i="7"/>
  <c r="CY21" i="7"/>
  <c r="CY12" i="7"/>
  <c r="CY8" i="7"/>
  <c r="CY3" i="7"/>
  <c r="DD31" i="7"/>
  <c r="DA31" i="7"/>
  <c r="DD30" i="7"/>
  <c r="DA30" i="7"/>
  <c r="DD29" i="7"/>
  <c r="DA29" i="7"/>
  <c r="DD28" i="7"/>
  <c r="DA28" i="7"/>
  <c r="DD27" i="7"/>
  <c r="DA27" i="7"/>
  <c r="DD26" i="7"/>
  <c r="DA26" i="7"/>
  <c r="DD24" i="7"/>
  <c r="DA24" i="7"/>
  <c r="DD23" i="7"/>
  <c r="DA23" i="7"/>
  <c r="DD22" i="7"/>
  <c r="DA22" i="7"/>
  <c r="DD17" i="7"/>
  <c r="DA17" i="7"/>
  <c r="DD16" i="7"/>
  <c r="DA16" i="7"/>
  <c r="DD15" i="7"/>
  <c r="DA15" i="7"/>
  <c r="DD11" i="7"/>
  <c r="DA11" i="7"/>
  <c r="DD10" i="7"/>
  <c r="DA10" i="7"/>
  <c r="DD9" i="7"/>
  <c r="DA9" i="7"/>
  <c r="DD5" i="7"/>
  <c r="DA5" i="7"/>
  <c r="DD4" i="7"/>
  <c r="DA4" i="7"/>
  <c r="DD26" i="17"/>
  <c r="DD22" i="17"/>
  <c r="DD8" i="17"/>
  <c r="DD3" i="17"/>
  <c r="DA8" i="17"/>
  <c r="DA3" i="17"/>
  <c r="DC26" i="17"/>
  <c r="DC22" i="17"/>
  <c r="DC8" i="17"/>
  <c r="DC3" i="17"/>
  <c r="CZ26" i="17"/>
  <c r="CZ22" i="17"/>
  <c r="CZ8" i="17"/>
  <c r="CZ3" i="17"/>
  <c r="DE32" i="17"/>
  <c r="DB32" i="17"/>
  <c r="DE31" i="17"/>
  <c r="DB31" i="17"/>
  <c r="DE30" i="17"/>
  <c r="DB30" i="17"/>
  <c r="DE29" i="17"/>
  <c r="DB29" i="17"/>
  <c r="DE28" i="17"/>
  <c r="DB28" i="17"/>
  <c r="DE27" i="17"/>
  <c r="DB27" i="17"/>
  <c r="DA26" i="17"/>
  <c r="DE25" i="17"/>
  <c r="DB25" i="17"/>
  <c r="DE24" i="17"/>
  <c r="DB24" i="17"/>
  <c r="DE23" i="17"/>
  <c r="DB23" i="17"/>
  <c r="DA22" i="17"/>
  <c r="DE18" i="17"/>
  <c r="DB18" i="17"/>
  <c r="DE17" i="17"/>
  <c r="DB17" i="17"/>
  <c r="DE16" i="17"/>
  <c r="DB16" i="17"/>
  <c r="DE11" i="17"/>
  <c r="DB11" i="17"/>
  <c r="DE10" i="17"/>
  <c r="DB10" i="17"/>
  <c r="DE9" i="17"/>
  <c r="DB9" i="17"/>
  <c r="DE5" i="17"/>
  <c r="DB5" i="17"/>
  <c r="DE4" i="17"/>
  <c r="DB4" i="17"/>
  <c r="CU22" i="15"/>
  <c r="CU26" i="15"/>
  <c r="CY26" i="15"/>
  <c r="CY22" i="15"/>
  <c r="CV22" i="15"/>
  <c r="CV26" i="15"/>
  <c r="CY15" i="15"/>
  <c r="CY3" i="15"/>
  <c r="CV3" i="15"/>
  <c r="CV15" i="15"/>
  <c r="CX26" i="15"/>
  <c r="CX22" i="15"/>
  <c r="CZ22" i="15" s="1"/>
  <c r="CX15" i="15"/>
  <c r="CX8" i="15"/>
  <c r="CZ8" i="15" s="1"/>
  <c r="CX3" i="15"/>
  <c r="CU15" i="15"/>
  <c r="CU8" i="15"/>
  <c r="CW8" i="15" s="1"/>
  <c r="CU3" i="15"/>
  <c r="CZ32" i="15"/>
  <c r="CW32" i="15"/>
  <c r="CZ31" i="15"/>
  <c r="CW31" i="15"/>
  <c r="CZ30" i="15"/>
  <c r="CW30" i="15"/>
  <c r="CZ29" i="15"/>
  <c r="CW29" i="15"/>
  <c r="CZ28" i="15"/>
  <c r="CW28" i="15"/>
  <c r="CZ27" i="15"/>
  <c r="CW27" i="15"/>
  <c r="CZ25" i="15"/>
  <c r="CW25" i="15"/>
  <c r="CZ24" i="15"/>
  <c r="CW24" i="15"/>
  <c r="CZ23" i="15"/>
  <c r="CW23" i="15"/>
  <c r="CZ18" i="15"/>
  <c r="CW18" i="15"/>
  <c r="CZ17" i="15"/>
  <c r="CW17" i="15"/>
  <c r="CZ16" i="15"/>
  <c r="CW16" i="15"/>
  <c r="CZ12" i="15"/>
  <c r="CW12" i="15"/>
  <c r="CZ10" i="15"/>
  <c r="CW10" i="15"/>
  <c r="CZ9" i="15"/>
  <c r="CW9" i="15"/>
  <c r="CZ5" i="15"/>
  <c r="CW5" i="15"/>
  <c r="CZ4" i="15"/>
  <c r="CW4" i="15"/>
  <c r="DK15" i="14"/>
  <c r="DK8" i="14"/>
  <c r="DK3" i="14"/>
  <c r="DG8" i="14"/>
  <c r="DH3" i="14"/>
  <c r="DH8" i="14"/>
  <c r="DH15" i="14"/>
  <c r="DK26" i="14"/>
  <c r="DK22" i="14"/>
  <c r="DH22" i="14"/>
  <c r="DH26" i="14"/>
  <c r="DJ26" i="14"/>
  <c r="DJ22" i="14"/>
  <c r="DG26" i="14"/>
  <c r="DG22" i="14"/>
  <c r="DJ15" i="14"/>
  <c r="DJ8" i="14"/>
  <c r="DJ3" i="14"/>
  <c r="DG15" i="14"/>
  <c r="DG3" i="14"/>
  <c r="DL32" i="14"/>
  <c r="DI32" i="14"/>
  <c r="DL31" i="14"/>
  <c r="DI31" i="14"/>
  <c r="DL30" i="14"/>
  <c r="DI30" i="14"/>
  <c r="DL29" i="14"/>
  <c r="DI29" i="14"/>
  <c r="DL28" i="14"/>
  <c r="DI28" i="14"/>
  <c r="DL27" i="14"/>
  <c r="DI27" i="14"/>
  <c r="DL25" i="14"/>
  <c r="DI25" i="14"/>
  <c r="DL24" i="14"/>
  <c r="DI24" i="14"/>
  <c r="DL23" i="14"/>
  <c r="DI23" i="14"/>
  <c r="DL18" i="14"/>
  <c r="DI18" i="14"/>
  <c r="DL17" i="14"/>
  <c r="DI17" i="14"/>
  <c r="DL16" i="14"/>
  <c r="DI16" i="14"/>
  <c r="DL11" i="14"/>
  <c r="DI11" i="14"/>
  <c r="DL10" i="14"/>
  <c r="DI10" i="14"/>
  <c r="DL9" i="14"/>
  <c r="DI9" i="14"/>
  <c r="DL5" i="14"/>
  <c r="DI5" i="14"/>
  <c r="DL4" i="14"/>
  <c r="DI4" i="14"/>
  <c r="DK3" i="13"/>
  <c r="DJ3" i="13"/>
  <c r="DM3" i="13"/>
  <c r="DO3" i="13" s="1"/>
  <c r="DM8" i="13"/>
  <c r="DO8" i="13" s="1"/>
  <c r="DM15" i="13"/>
  <c r="DO15" i="13" s="1"/>
  <c r="DK8" i="13"/>
  <c r="DK15" i="13"/>
  <c r="DN26" i="13"/>
  <c r="DN22" i="13"/>
  <c r="DK22" i="13"/>
  <c r="DK26" i="13"/>
  <c r="DM26" i="13"/>
  <c r="DM22" i="13"/>
  <c r="DJ26" i="13"/>
  <c r="DJ22" i="13"/>
  <c r="DJ15" i="13"/>
  <c r="DJ8" i="13"/>
  <c r="DO32" i="13"/>
  <c r="DL32" i="13"/>
  <c r="DO31" i="13"/>
  <c r="DL31" i="13"/>
  <c r="DO30" i="13"/>
  <c r="DL30" i="13"/>
  <c r="DO29" i="13"/>
  <c r="DL29" i="13"/>
  <c r="DO28" i="13"/>
  <c r="DL28" i="13"/>
  <c r="DO27" i="13"/>
  <c r="DL27" i="13"/>
  <c r="DO25" i="13"/>
  <c r="DL25" i="13"/>
  <c r="DO24" i="13"/>
  <c r="DL24" i="13"/>
  <c r="DO23" i="13"/>
  <c r="DL23" i="13"/>
  <c r="DO18" i="13"/>
  <c r="DL18" i="13"/>
  <c r="DO17" i="13"/>
  <c r="DL17" i="13"/>
  <c r="DO16" i="13"/>
  <c r="DL16" i="13"/>
  <c r="DO11" i="13"/>
  <c r="DL11" i="13"/>
  <c r="DO10" i="13"/>
  <c r="DL10" i="13"/>
  <c r="DO9" i="13"/>
  <c r="DL9" i="13"/>
  <c r="DO5" i="13"/>
  <c r="DL5" i="13"/>
  <c r="DO4" i="13"/>
  <c r="DL4" i="13"/>
  <c r="DO21" i="11"/>
  <c r="DS25" i="11"/>
  <c r="DT25" i="11" s="1"/>
  <c r="DS21" i="11"/>
  <c r="DT21" i="11" s="1"/>
  <c r="DP21" i="11"/>
  <c r="DP25" i="11"/>
  <c r="DQ25" i="11" s="1"/>
  <c r="DT4" i="11"/>
  <c r="DT5" i="11"/>
  <c r="DT9" i="11"/>
  <c r="DT10" i="11"/>
  <c r="DT11" i="11"/>
  <c r="DT15" i="11"/>
  <c r="DT16" i="11"/>
  <c r="DT17" i="11"/>
  <c r="DS12" i="11"/>
  <c r="DT12" i="11" s="1"/>
  <c r="DS8" i="11"/>
  <c r="DT8" i="11" s="1"/>
  <c r="DS3" i="11"/>
  <c r="DT3" i="11" s="1"/>
  <c r="DP8" i="11"/>
  <c r="DP12" i="11"/>
  <c r="DP3" i="11"/>
  <c r="DO12" i="11"/>
  <c r="DO8" i="11"/>
  <c r="DO3" i="11"/>
  <c r="DT31" i="11"/>
  <c r="DQ31" i="11"/>
  <c r="DT30" i="11"/>
  <c r="DQ30" i="11"/>
  <c r="DT29" i="11"/>
  <c r="DQ29" i="11"/>
  <c r="DT28" i="11"/>
  <c r="DQ28" i="11"/>
  <c r="DT27" i="11"/>
  <c r="DQ27" i="11"/>
  <c r="DT26" i="11"/>
  <c r="DQ26" i="11"/>
  <c r="DT24" i="11"/>
  <c r="DQ24" i="11"/>
  <c r="DT23" i="11"/>
  <c r="DQ23" i="11"/>
  <c r="DT22" i="11"/>
  <c r="DQ22" i="11"/>
  <c r="DQ17" i="11"/>
  <c r="DQ16" i="11"/>
  <c r="DQ15" i="11"/>
  <c r="DQ11" i="11"/>
  <c r="DQ10" i="11"/>
  <c r="DQ9" i="11"/>
  <c r="DQ5" i="11"/>
  <c r="DQ4" i="11"/>
  <c r="DK15" i="10"/>
  <c r="DL15" i="10" s="1"/>
  <c r="DK8" i="10"/>
  <c r="DK3" i="10"/>
  <c r="DL3" i="10" s="1"/>
  <c r="DJ8" i="10"/>
  <c r="DH15" i="10"/>
  <c r="DG15" i="10"/>
  <c r="DH8" i="10"/>
  <c r="DG8" i="10"/>
  <c r="DH3" i="10"/>
  <c r="DG3" i="10"/>
  <c r="DK26" i="10"/>
  <c r="DL26" i="10" s="1"/>
  <c r="DK22" i="10"/>
  <c r="DL22" i="10" s="1"/>
  <c r="DH26" i="10"/>
  <c r="DG26" i="10"/>
  <c r="DH22" i="10"/>
  <c r="DG22" i="10"/>
  <c r="DL32" i="10"/>
  <c r="DI32" i="10"/>
  <c r="DL31" i="10"/>
  <c r="DI31" i="10"/>
  <c r="DL30" i="10"/>
  <c r="DI30" i="10"/>
  <c r="DL29" i="10"/>
  <c r="DI29" i="10"/>
  <c r="DL28" i="10"/>
  <c r="DI28" i="10"/>
  <c r="DL27" i="10"/>
  <c r="DI27" i="10"/>
  <c r="DL25" i="10"/>
  <c r="DI25" i="10"/>
  <c r="DL24" i="10"/>
  <c r="DI24" i="10"/>
  <c r="DL23" i="10"/>
  <c r="DI23" i="10"/>
  <c r="DL18" i="10"/>
  <c r="DI18" i="10"/>
  <c r="DL17" i="10"/>
  <c r="DI17" i="10"/>
  <c r="DL16" i="10"/>
  <c r="DI16" i="10"/>
  <c r="DL12" i="10"/>
  <c r="DI12" i="10"/>
  <c r="DL10" i="10"/>
  <c r="DI10" i="10"/>
  <c r="DL9" i="10"/>
  <c r="DI9" i="10"/>
  <c r="DL5" i="10"/>
  <c r="DI5" i="10"/>
  <c r="DL4" i="10"/>
  <c r="DI4" i="10"/>
  <c r="DM26" i="8"/>
  <c r="DM22" i="8"/>
  <c r="DJ26" i="8"/>
  <c r="DJ15" i="8"/>
  <c r="DJ8" i="8"/>
  <c r="DJ3" i="8"/>
  <c r="DJ22" i="8"/>
  <c r="DL26" i="8"/>
  <c r="DL22" i="8"/>
  <c r="DI26" i="8"/>
  <c r="DI22" i="8"/>
  <c r="DI15" i="8"/>
  <c r="DI8" i="8"/>
  <c r="DI3" i="8"/>
  <c r="DK3" i="8" s="1"/>
  <c r="DN32" i="8"/>
  <c r="DK32" i="8"/>
  <c r="DN31" i="8"/>
  <c r="DK31" i="8"/>
  <c r="DN30" i="8"/>
  <c r="DK30" i="8"/>
  <c r="DN29" i="8"/>
  <c r="DK29" i="8"/>
  <c r="DN28" i="8"/>
  <c r="DK28" i="8"/>
  <c r="DN27" i="8"/>
  <c r="DK27" i="8"/>
  <c r="DN25" i="8"/>
  <c r="DK25" i="8"/>
  <c r="DN24" i="8"/>
  <c r="DK24" i="8"/>
  <c r="DN23" i="8"/>
  <c r="DK23" i="8"/>
  <c r="DN18" i="8"/>
  <c r="DK18" i="8"/>
  <c r="DN17" i="8"/>
  <c r="DK17" i="8"/>
  <c r="DN16" i="8"/>
  <c r="DK16" i="8"/>
  <c r="DN15" i="8"/>
  <c r="DN11" i="8"/>
  <c r="DK11" i="8"/>
  <c r="DN10" i="8"/>
  <c r="DK10" i="8"/>
  <c r="DN9" i="8"/>
  <c r="DK9" i="8"/>
  <c r="DN8" i="8"/>
  <c r="DN5" i="8"/>
  <c r="DK5" i="8"/>
  <c r="DN4" i="8"/>
  <c r="DK4" i="8"/>
  <c r="DN3" i="8"/>
  <c r="DL12" i="7"/>
  <c r="DL8" i="7"/>
  <c r="DL3" i="7"/>
  <c r="DI12" i="7"/>
  <c r="DK8" i="7"/>
  <c r="DK3" i="7"/>
  <c r="DI3" i="7"/>
  <c r="DI8" i="7"/>
  <c r="DK12" i="7"/>
  <c r="DL25" i="7"/>
  <c r="DL21" i="7"/>
  <c r="DK21" i="7"/>
  <c r="DI21" i="7"/>
  <c r="DK25" i="7"/>
  <c r="DI25" i="7"/>
  <c r="DH29" i="7"/>
  <c r="DJ29" i="7" s="1"/>
  <c r="DH28" i="7"/>
  <c r="DJ28" i="7" s="1"/>
  <c r="DH24" i="7"/>
  <c r="DJ24" i="7" s="1"/>
  <c r="DH23" i="7"/>
  <c r="DJ23" i="7" s="1"/>
  <c r="DH22" i="7"/>
  <c r="DJ22" i="7" s="1"/>
  <c r="DH12" i="7"/>
  <c r="DH8" i="7"/>
  <c r="DH3" i="7"/>
  <c r="DM31" i="7"/>
  <c r="DJ31" i="7"/>
  <c r="DM30" i="7"/>
  <c r="DJ30" i="7"/>
  <c r="DM29" i="7"/>
  <c r="DM28" i="7"/>
  <c r="DM27" i="7"/>
  <c r="DJ27" i="7"/>
  <c r="DM26" i="7"/>
  <c r="DJ26" i="7"/>
  <c r="DM24" i="7"/>
  <c r="DM23" i="7"/>
  <c r="DM17" i="7"/>
  <c r="DJ17" i="7"/>
  <c r="DM16" i="7"/>
  <c r="DJ16" i="7"/>
  <c r="DM15" i="7"/>
  <c r="DJ15" i="7"/>
  <c r="DM11" i="7"/>
  <c r="DJ11" i="7"/>
  <c r="DM10" i="7"/>
  <c r="DJ10" i="7"/>
  <c r="DM9" i="7"/>
  <c r="DJ9" i="7"/>
  <c r="DM5" i="7"/>
  <c r="DJ5" i="7"/>
  <c r="DM4" i="7"/>
  <c r="DJ4" i="7"/>
  <c r="DK14" i="6"/>
  <c r="DK7" i="6"/>
  <c r="DK3" i="6"/>
  <c r="DH14" i="6"/>
  <c r="DH7" i="6"/>
  <c r="DH3" i="6"/>
  <c r="DK29" i="6"/>
  <c r="DK28" i="6"/>
  <c r="DK27" i="6"/>
  <c r="DK24" i="6"/>
  <c r="DK23" i="6"/>
  <c r="DK22" i="6"/>
  <c r="DJ24" i="6"/>
  <c r="DH29" i="6"/>
  <c r="DI29" i="6" s="1"/>
  <c r="DH28" i="6"/>
  <c r="DI28" i="6" s="1"/>
  <c r="DH27" i="6"/>
  <c r="DI27" i="6" s="1"/>
  <c r="DH24" i="6"/>
  <c r="DI24" i="6" s="1"/>
  <c r="DH23" i="6"/>
  <c r="DI23" i="6" s="1"/>
  <c r="DH22" i="6"/>
  <c r="DI22" i="6" s="1"/>
  <c r="DJ29" i="6"/>
  <c r="DJ28" i="6"/>
  <c r="DJ27" i="6"/>
  <c r="DJ26" i="6"/>
  <c r="DJ23" i="6"/>
  <c r="DJ22" i="6"/>
  <c r="DJ14" i="6"/>
  <c r="DJ7" i="6"/>
  <c r="DJ3" i="6"/>
  <c r="DG25" i="6"/>
  <c r="DG21" i="6"/>
  <c r="DG14" i="6"/>
  <c r="DG7" i="6"/>
  <c r="DG3" i="6"/>
  <c r="DL31" i="6"/>
  <c r="DI31" i="6"/>
  <c r="DL30" i="6"/>
  <c r="DI30" i="6"/>
  <c r="DI26" i="6"/>
  <c r="DL17" i="6"/>
  <c r="DI17" i="6"/>
  <c r="DL16" i="6"/>
  <c r="DI16" i="6"/>
  <c r="DL15" i="6"/>
  <c r="DI15" i="6"/>
  <c r="DL11" i="6"/>
  <c r="DI11" i="6"/>
  <c r="DL9" i="6"/>
  <c r="DI9" i="6"/>
  <c r="DL8" i="6"/>
  <c r="DI8" i="6"/>
  <c r="DI5" i="6"/>
  <c r="DL4" i="6"/>
  <c r="DI4" i="6"/>
  <c r="DM8" i="17"/>
  <c r="DN8" i="17" s="1"/>
  <c r="DM3" i="17"/>
  <c r="DN3" i="17" s="1"/>
  <c r="DJ3" i="17"/>
  <c r="DJ8" i="17"/>
  <c r="DM26" i="17"/>
  <c r="DN26" i="17" s="1"/>
  <c r="DM22" i="17"/>
  <c r="DN22" i="17" s="1"/>
  <c r="DJ22" i="17"/>
  <c r="DJ26" i="17"/>
  <c r="DI26" i="17"/>
  <c r="DI22" i="17"/>
  <c r="DI8" i="17"/>
  <c r="DI3" i="17"/>
  <c r="DN32" i="17"/>
  <c r="DK32" i="17"/>
  <c r="DN31" i="17"/>
  <c r="DK31" i="17"/>
  <c r="DN30" i="17"/>
  <c r="DK30" i="17"/>
  <c r="DN29" i="17"/>
  <c r="DK29" i="17"/>
  <c r="DN28" i="17"/>
  <c r="DK28" i="17"/>
  <c r="DN27" i="17"/>
  <c r="DK27" i="17"/>
  <c r="DN25" i="17"/>
  <c r="DK25" i="17"/>
  <c r="DN24" i="17"/>
  <c r="DK24" i="17"/>
  <c r="DN23" i="17"/>
  <c r="DK23" i="17"/>
  <c r="DN18" i="17"/>
  <c r="DK18" i="17"/>
  <c r="DN17" i="17"/>
  <c r="DK17" i="17"/>
  <c r="DN16" i="17"/>
  <c r="DK16" i="17"/>
  <c r="DN11" i="17"/>
  <c r="DK11" i="17"/>
  <c r="DN10" i="17"/>
  <c r="DK10" i="17"/>
  <c r="DN9" i="17"/>
  <c r="DK9" i="17"/>
  <c r="DN5" i="17"/>
  <c r="DK5" i="17"/>
  <c r="DN4" i="17"/>
  <c r="DK4" i="17"/>
  <c r="DL3" i="16"/>
  <c r="DM3" i="16" s="1"/>
  <c r="DL8" i="16"/>
  <c r="DM8" i="16" s="1"/>
  <c r="DL15" i="16"/>
  <c r="DM15" i="16" s="1"/>
  <c r="DL26" i="16"/>
  <c r="DM26" i="16" s="1"/>
  <c r="DL22" i="16"/>
  <c r="DM22" i="16" s="1"/>
  <c r="DP32" i="16"/>
  <c r="DM32" i="16"/>
  <c r="DP31" i="16"/>
  <c r="DM31" i="16"/>
  <c r="DP30" i="16"/>
  <c r="DM30" i="16"/>
  <c r="DP29" i="16"/>
  <c r="DM29" i="16"/>
  <c r="DP28" i="16"/>
  <c r="DM28" i="16"/>
  <c r="DP27" i="16"/>
  <c r="DM27" i="16"/>
  <c r="DP26" i="16"/>
  <c r="DP25" i="16"/>
  <c r="DM25" i="16"/>
  <c r="DP24" i="16"/>
  <c r="DM24" i="16"/>
  <c r="DP23" i="16"/>
  <c r="DM23" i="16"/>
  <c r="DP22" i="16"/>
  <c r="DP18" i="16"/>
  <c r="DM18" i="16"/>
  <c r="DP17" i="16"/>
  <c r="DM17" i="16"/>
  <c r="DP16" i="16"/>
  <c r="DM16" i="16"/>
  <c r="DP15" i="16"/>
  <c r="DP12" i="16"/>
  <c r="DM12" i="16"/>
  <c r="DP10" i="16"/>
  <c r="DM10" i="16"/>
  <c r="DP9" i="16"/>
  <c r="DM9" i="16"/>
  <c r="DP8" i="16"/>
  <c r="DP5" i="16"/>
  <c r="DM5" i="16"/>
  <c r="DP4" i="16"/>
  <c r="DM4" i="16"/>
  <c r="DP3" i="16"/>
  <c r="DE3" i="15"/>
  <c r="DE8" i="15"/>
  <c r="DE15" i="15"/>
  <c r="DG3" i="15"/>
  <c r="DI3" i="15" s="1"/>
  <c r="DE22" i="15"/>
  <c r="DE26" i="15"/>
  <c r="DD26" i="15"/>
  <c r="DD22" i="15"/>
  <c r="DD15" i="15"/>
  <c r="DD8" i="15"/>
  <c r="DD3" i="15"/>
  <c r="DI32" i="15"/>
  <c r="DF32" i="15"/>
  <c r="DI31" i="15"/>
  <c r="DF31" i="15"/>
  <c r="DI30" i="15"/>
  <c r="DF30" i="15"/>
  <c r="DI29" i="15"/>
  <c r="DF29" i="15"/>
  <c r="DI28" i="15"/>
  <c r="DF28" i="15"/>
  <c r="DI27" i="15"/>
  <c r="DF27" i="15"/>
  <c r="DI26" i="15"/>
  <c r="DI25" i="15"/>
  <c r="DF25" i="15"/>
  <c r="DI24" i="15"/>
  <c r="DF24" i="15"/>
  <c r="DI23" i="15"/>
  <c r="DF23" i="15"/>
  <c r="DI22" i="15"/>
  <c r="DI18" i="15"/>
  <c r="DF18" i="15"/>
  <c r="DI17" i="15"/>
  <c r="DF17" i="15"/>
  <c r="DI16" i="15"/>
  <c r="DF16" i="15"/>
  <c r="DI15" i="15"/>
  <c r="DI12" i="15"/>
  <c r="DF12" i="15"/>
  <c r="DI10" i="15"/>
  <c r="DF10" i="15"/>
  <c r="DI9" i="15"/>
  <c r="DF9" i="15"/>
  <c r="DI8" i="15"/>
  <c r="DI5" i="15"/>
  <c r="DF5" i="15"/>
  <c r="DI4" i="15"/>
  <c r="DF4" i="15"/>
  <c r="DT15" i="14"/>
  <c r="DU15" i="14" s="1"/>
  <c r="DT8" i="14"/>
  <c r="DU8" i="14" s="1"/>
  <c r="DT3" i="14"/>
  <c r="DU3" i="14" s="1"/>
  <c r="DQ3" i="14"/>
  <c r="DQ8" i="14"/>
  <c r="DQ15" i="14"/>
  <c r="DT26" i="14"/>
  <c r="DU26" i="14" s="1"/>
  <c r="DT22" i="14"/>
  <c r="DU22" i="14" s="1"/>
  <c r="DQ22" i="14"/>
  <c r="DQ26" i="14"/>
  <c r="DP26" i="14"/>
  <c r="DP22" i="14"/>
  <c r="DP15" i="14"/>
  <c r="DP8" i="14"/>
  <c r="DP3" i="14"/>
  <c r="DU32" i="14"/>
  <c r="DR32" i="14"/>
  <c r="DU31" i="14"/>
  <c r="DR31" i="14"/>
  <c r="DU30" i="14"/>
  <c r="DR30" i="14"/>
  <c r="DU29" i="14"/>
  <c r="DR29" i="14"/>
  <c r="DU28" i="14"/>
  <c r="DR28" i="14"/>
  <c r="DU27" i="14"/>
  <c r="DR27" i="14"/>
  <c r="DU25" i="14"/>
  <c r="DR25" i="14"/>
  <c r="DU24" i="14"/>
  <c r="DR24" i="14"/>
  <c r="DU23" i="14"/>
  <c r="DR23" i="14"/>
  <c r="DU18" i="14"/>
  <c r="DR18" i="14"/>
  <c r="DU17" i="14"/>
  <c r="DR17" i="14"/>
  <c r="DU16" i="14"/>
  <c r="DR16" i="14"/>
  <c r="DU11" i="14"/>
  <c r="DR11" i="14"/>
  <c r="DU10" i="14"/>
  <c r="DR10" i="14"/>
  <c r="DU9" i="14"/>
  <c r="DR9" i="14"/>
  <c r="DU5" i="14"/>
  <c r="DR5" i="14"/>
  <c r="DU4" i="14"/>
  <c r="DR4" i="14"/>
  <c r="DW26" i="13"/>
  <c r="DX26" i="13" s="1"/>
  <c r="DW22" i="13"/>
  <c r="DX22" i="13" s="1"/>
  <c r="DT22" i="13"/>
  <c r="DT26" i="13"/>
  <c r="DW15" i="13"/>
  <c r="DX15" i="13" s="1"/>
  <c r="DW8" i="13"/>
  <c r="DX8" i="13" s="1"/>
  <c r="DW3" i="13"/>
  <c r="DX3" i="13" s="1"/>
  <c r="DT3" i="13"/>
  <c r="DT8" i="13"/>
  <c r="DT15" i="13"/>
  <c r="DS26" i="13"/>
  <c r="DS22" i="13"/>
  <c r="DS15" i="13"/>
  <c r="DS8" i="13"/>
  <c r="DS3" i="13"/>
  <c r="DX32" i="13"/>
  <c r="DU32" i="13"/>
  <c r="DX31" i="13"/>
  <c r="DU31" i="13"/>
  <c r="DX30" i="13"/>
  <c r="DU30" i="13"/>
  <c r="DX29" i="13"/>
  <c r="DU29" i="13"/>
  <c r="DX28" i="13"/>
  <c r="DU28" i="13"/>
  <c r="DX27" i="13"/>
  <c r="DU27" i="13"/>
  <c r="DX25" i="13"/>
  <c r="DU25" i="13"/>
  <c r="DX24" i="13"/>
  <c r="DU24" i="13"/>
  <c r="DX23" i="13"/>
  <c r="DU23" i="13"/>
  <c r="DX18" i="13"/>
  <c r="DU18" i="13"/>
  <c r="DX17" i="13"/>
  <c r="DU17" i="13"/>
  <c r="DX16" i="13"/>
  <c r="DU16" i="13"/>
  <c r="DX11" i="13"/>
  <c r="DU11" i="13"/>
  <c r="DX10" i="13"/>
  <c r="DU10" i="13"/>
  <c r="DX9" i="13"/>
  <c r="DU9" i="13"/>
  <c r="DX5" i="13"/>
  <c r="DU5" i="13"/>
  <c r="DX4" i="13"/>
  <c r="DU4" i="13"/>
  <c r="DY21" i="11"/>
  <c r="DY12" i="11"/>
  <c r="DY8" i="11"/>
  <c r="DY3" i="11"/>
  <c r="DY25" i="11"/>
  <c r="DX25" i="11"/>
  <c r="DX21" i="11"/>
  <c r="DX12" i="11"/>
  <c r="DX8" i="11"/>
  <c r="DX3" i="11"/>
  <c r="EC31" i="11"/>
  <c r="DZ31" i="11"/>
  <c r="EC30" i="11"/>
  <c r="DZ30" i="11"/>
  <c r="EC29" i="11"/>
  <c r="DZ29" i="11"/>
  <c r="EC28" i="11"/>
  <c r="DZ28" i="11"/>
  <c r="EC27" i="11"/>
  <c r="DZ27" i="11"/>
  <c r="EC26" i="11"/>
  <c r="DZ26" i="11"/>
  <c r="EC25" i="11"/>
  <c r="EC24" i="11"/>
  <c r="DZ24" i="11"/>
  <c r="EC23" i="11"/>
  <c r="DZ23" i="11"/>
  <c r="EC22" i="11"/>
  <c r="DZ22" i="11"/>
  <c r="EC21" i="11"/>
  <c r="EC17" i="11"/>
  <c r="DZ17" i="11"/>
  <c r="EC16" i="11"/>
  <c r="DZ16" i="11"/>
  <c r="EC15" i="11"/>
  <c r="DZ15" i="11"/>
  <c r="EC12" i="11"/>
  <c r="EC11" i="11"/>
  <c r="DZ11" i="11"/>
  <c r="EC10" i="11"/>
  <c r="DZ10" i="11"/>
  <c r="EC9" i="11"/>
  <c r="DZ9" i="11"/>
  <c r="EC8" i="11"/>
  <c r="EC5" i="11"/>
  <c r="DZ5" i="11"/>
  <c r="EC4" i="11"/>
  <c r="DZ4" i="11"/>
  <c r="EC3" i="11"/>
  <c r="DQ22" i="10"/>
  <c r="DQ26" i="10"/>
  <c r="DQ8" i="10"/>
  <c r="DQ15" i="10"/>
  <c r="DQ3" i="10"/>
  <c r="DP26" i="10"/>
  <c r="DP22" i="10"/>
  <c r="DP15" i="10"/>
  <c r="DP8" i="10"/>
  <c r="DP3" i="10"/>
  <c r="DU32" i="10"/>
  <c r="DR32" i="10"/>
  <c r="DU31" i="10"/>
  <c r="DR31" i="10"/>
  <c r="DU30" i="10"/>
  <c r="DR30" i="10"/>
  <c r="DU29" i="10"/>
  <c r="DR29" i="10"/>
  <c r="DU28" i="10"/>
  <c r="DR28" i="10"/>
  <c r="DU27" i="10"/>
  <c r="DR27" i="10"/>
  <c r="DU26" i="10"/>
  <c r="DU25" i="10"/>
  <c r="DR25" i="10"/>
  <c r="DU24" i="10"/>
  <c r="DR24" i="10"/>
  <c r="DU23" i="10"/>
  <c r="DR23" i="10"/>
  <c r="DU22" i="10"/>
  <c r="DU18" i="10"/>
  <c r="DR18" i="10"/>
  <c r="DU17" i="10"/>
  <c r="DR17" i="10"/>
  <c r="DU16" i="10"/>
  <c r="DR16" i="10"/>
  <c r="DU15" i="10"/>
  <c r="DU12" i="10"/>
  <c r="DR12" i="10"/>
  <c r="DU10" i="10"/>
  <c r="DR10" i="10"/>
  <c r="DU9" i="10"/>
  <c r="DR9" i="10"/>
  <c r="DU8" i="10"/>
  <c r="DU5" i="10"/>
  <c r="DR5" i="10"/>
  <c r="DU4" i="10"/>
  <c r="DR4" i="10"/>
  <c r="DU3" i="10"/>
  <c r="DK26" i="9"/>
  <c r="DL26" i="9" s="1"/>
  <c r="DK22" i="9"/>
  <c r="DL22" i="9" s="1"/>
  <c r="DH22" i="9"/>
  <c r="DH26" i="9"/>
  <c r="DG26" i="9"/>
  <c r="DG22" i="9"/>
  <c r="DH3" i="9"/>
  <c r="DH8" i="9"/>
  <c r="DH15" i="9"/>
  <c r="DG15" i="9"/>
  <c r="DG8" i="9"/>
  <c r="DG3" i="9"/>
  <c r="DL32" i="9"/>
  <c r="DI32" i="9"/>
  <c r="DL31" i="9"/>
  <c r="DI31" i="9"/>
  <c r="DL30" i="9"/>
  <c r="DL29" i="9"/>
  <c r="DI29" i="9"/>
  <c r="DL28" i="9"/>
  <c r="DI28" i="9"/>
  <c r="DL27" i="9"/>
  <c r="DI27" i="9"/>
  <c r="DL25" i="9"/>
  <c r="DI25" i="9"/>
  <c r="DL24" i="9"/>
  <c r="DI24" i="9"/>
  <c r="DL23" i="9"/>
  <c r="DI23" i="9"/>
  <c r="DL18" i="9"/>
  <c r="DI18" i="9"/>
  <c r="DL17" i="9"/>
  <c r="DI17" i="9"/>
  <c r="DL16" i="9"/>
  <c r="DI16" i="9"/>
  <c r="DL15" i="9"/>
  <c r="DL11" i="9"/>
  <c r="DI11" i="9"/>
  <c r="DL10" i="9"/>
  <c r="DI10" i="9"/>
  <c r="DL9" i="9"/>
  <c r="DI9" i="9"/>
  <c r="DL8" i="9"/>
  <c r="DL5" i="9"/>
  <c r="DI5" i="9"/>
  <c r="DL4" i="9"/>
  <c r="DI4" i="9"/>
  <c r="DL3" i="9"/>
  <c r="DU22" i="8"/>
  <c r="DV26" i="8"/>
  <c r="DW26" i="8" s="1"/>
  <c r="DV22" i="8"/>
  <c r="DV15" i="8"/>
  <c r="DV8" i="8"/>
  <c r="DV3" i="8"/>
  <c r="DS3" i="8"/>
  <c r="DU15" i="8"/>
  <c r="DU8" i="8"/>
  <c r="DU3" i="8"/>
  <c r="DR30" i="8"/>
  <c r="DT30" i="8" s="1"/>
  <c r="DR29" i="8"/>
  <c r="DT29" i="8" s="1"/>
  <c r="DR28" i="8"/>
  <c r="DT28" i="8" s="1"/>
  <c r="DR27" i="8"/>
  <c r="DR25" i="8"/>
  <c r="DT25" i="8" s="1"/>
  <c r="DR24" i="8"/>
  <c r="DT24" i="8" s="1"/>
  <c r="DR23" i="8"/>
  <c r="DT23" i="8" s="1"/>
  <c r="DR15" i="8"/>
  <c r="DR8" i="8"/>
  <c r="DR3" i="8"/>
  <c r="DW32" i="8"/>
  <c r="DT32" i="8"/>
  <c r="DW31" i="8"/>
  <c r="DT31" i="8"/>
  <c r="DW30" i="8"/>
  <c r="DW29" i="8"/>
  <c r="DW28" i="8"/>
  <c r="DS26" i="8"/>
  <c r="DW27" i="8"/>
  <c r="DW25" i="8"/>
  <c r="DW24" i="8"/>
  <c r="DS22" i="8"/>
  <c r="DW23" i="8"/>
  <c r="DW18" i="8"/>
  <c r="DT18" i="8"/>
  <c r="DW17" i="8"/>
  <c r="DT17" i="8"/>
  <c r="DW16" i="8"/>
  <c r="DT16" i="8"/>
  <c r="DS15" i="8"/>
  <c r="DW11" i="8"/>
  <c r="DT11" i="8"/>
  <c r="DW10" i="8"/>
  <c r="DT10" i="8"/>
  <c r="DW9" i="8"/>
  <c r="DT9" i="8"/>
  <c r="DS8" i="8"/>
  <c r="DW5" i="8"/>
  <c r="DT5" i="8"/>
  <c r="DW4" i="8"/>
  <c r="DT4" i="8"/>
  <c r="DR8" i="7"/>
  <c r="DS8" i="7" s="1"/>
  <c r="DR12" i="7"/>
  <c r="DS12" i="7" s="1"/>
  <c r="DR3" i="7"/>
  <c r="DS3" i="7" s="1"/>
  <c r="DR29" i="7"/>
  <c r="DS29" i="7" s="1"/>
  <c r="DR28" i="7"/>
  <c r="DS28" i="7" s="1"/>
  <c r="DR27" i="7"/>
  <c r="DS27" i="7" s="1"/>
  <c r="DR26" i="7"/>
  <c r="DS26" i="7" s="1"/>
  <c r="DR24" i="7"/>
  <c r="DS24" i="7" s="1"/>
  <c r="DR23" i="7"/>
  <c r="DS23" i="7" s="1"/>
  <c r="DR22" i="7"/>
  <c r="DS22" i="7" s="1"/>
  <c r="DV31" i="7"/>
  <c r="DS31" i="7"/>
  <c r="DV30" i="7"/>
  <c r="DS30" i="7"/>
  <c r="DV29" i="7"/>
  <c r="DV28" i="7"/>
  <c r="DV27" i="7"/>
  <c r="DV26" i="7"/>
  <c r="DV25" i="7"/>
  <c r="DV24" i="7"/>
  <c r="DV23" i="7"/>
  <c r="DV22" i="7"/>
  <c r="DV21" i="7"/>
  <c r="DV17" i="7"/>
  <c r="DS17" i="7"/>
  <c r="DV16" i="7"/>
  <c r="DS16" i="7"/>
  <c r="DV15" i="7"/>
  <c r="DS15" i="7"/>
  <c r="DV12" i="7"/>
  <c r="DV11" i="7"/>
  <c r="DS11" i="7"/>
  <c r="DV10" i="7"/>
  <c r="DS10" i="7"/>
  <c r="DV9" i="7"/>
  <c r="DS9" i="7"/>
  <c r="DV8" i="7"/>
  <c r="DV5" i="7"/>
  <c r="DS5" i="7"/>
  <c r="DV4" i="7"/>
  <c r="DS4" i="7"/>
  <c r="DV3" i="7"/>
  <c r="DQ14" i="6"/>
  <c r="DR14" i="6" s="1"/>
  <c r="DQ7" i="6"/>
  <c r="DR7" i="6" s="1"/>
  <c r="DQ5" i="6"/>
  <c r="DR5" i="6" s="1"/>
  <c r="DQ4" i="6"/>
  <c r="DR4" i="6" s="1"/>
  <c r="DQ29" i="6"/>
  <c r="DR29" i="6" s="1"/>
  <c r="DQ28" i="6"/>
  <c r="DR28" i="6" s="1"/>
  <c r="DQ27" i="6"/>
  <c r="DR27" i="6" s="1"/>
  <c r="DQ26" i="6"/>
  <c r="DR26" i="6" s="1"/>
  <c r="DQ24" i="6"/>
  <c r="DR24" i="6" s="1"/>
  <c r="DQ23" i="6"/>
  <c r="DR23" i="6" s="1"/>
  <c r="DQ22" i="6"/>
  <c r="DR22" i="6" s="1"/>
  <c r="DS25" i="6"/>
  <c r="DU25" i="6" s="1"/>
  <c r="DS21" i="6"/>
  <c r="DU21" i="6" s="1"/>
  <c r="DS14" i="6"/>
  <c r="DU14" i="6" s="1"/>
  <c r="DS7" i="6"/>
  <c r="DU7" i="6" s="1"/>
  <c r="DS3" i="6"/>
  <c r="DU3" i="6" s="1"/>
  <c r="DU31" i="6"/>
  <c r="DR31" i="6"/>
  <c r="DU30" i="6"/>
  <c r="DR30" i="6"/>
  <c r="DU29" i="6"/>
  <c r="DU28" i="6"/>
  <c r="DU27" i="6"/>
  <c r="DU26" i="6"/>
  <c r="DU24" i="6"/>
  <c r="DU23" i="6"/>
  <c r="DU22" i="6"/>
  <c r="DU17" i="6"/>
  <c r="DR17" i="6"/>
  <c r="DU16" i="6"/>
  <c r="DR16" i="6"/>
  <c r="DU15" i="6"/>
  <c r="DR15" i="6"/>
  <c r="DU11" i="6"/>
  <c r="DR11" i="6"/>
  <c r="DU9" i="6"/>
  <c r="DR9" i="6"/>
  <c r="DU8" i="6"/>
  <c r="DR8" i="6"/>
  <c r="DU5" i="6"/>
  <c r="DU4" i="6"/>
  <c r="DR22" i="17"/>
  <c r="DV26" i="17"/>
  <c r="DW26" i="17" s="1"/>
  <c r="DV22" i="17"/>
  <c r="DW22" i="17" s="1"/>
  <c r="DS26" i="17"/>
  <c r="DT26" i="17" s="1"/>
  <c r="DS22" i="17"/>
  <c r="DS8" i="17"/>
  <c r="DS3" i="17"/>
  <c r="DR8" i="17"/>
  <c r="DR5" i="17"/>
  <c r="DT5" i="17" s="1"/>
  <c r="DR4" i="17"/>
  <c r="DW32" i="17"/>
  <c r="DT32" i="17"/>
  <c r="DW31" i="17"/>
  <c r="DT31" i="17"/>
  <c r="DW30" i="17"/>
  <c r="DT30" i="17"/>
  <c r="DW29" i="17"/>
  <c r="DT29" i="17"/>
  <c r="DW28" i="17"/>
  <c r="DT28" i="17"/>
  <c r="DW27" i="17"/>
  <c r="DT27" i="17"/>
  <c r="DW25" i="17"/>
  <c r="DT25" i="17"/>
  <c r="DW24" i="17"/>
  <c r="DT24" i="17"/>
  <c r="DW23" i="17"/>
  <c r="DT23" i="17"/>
  <c r="DW18" i="17"/>
  <c r="DT18" i="17"/>
  <c r="DW17" i="17"/>
  <c r="DT17" i="17"/>
  <c r="DW16" i="17"/>
  <c r="DT16" i="17"/>
  <c r="DW11" i="17"/>
  <c r="DT11" i="17"/>
  <c r="DW10" i="17"/>
  <c r="DT10" i="17"/>
  <c r="DW9" i="17"/>
  <c r="DT9" i="17"/>
  <c r="DW8" i="17"/>
  <c r="DW5" i="17"/>
  <c r="DW4" i="17"/>
  <c r="DW3" i="17"/>
  <c r="DL37" i="16"/>
  <c r="DL38" i="16" s="1"/>
  <c r="DT3" i="16"/>
  <c r="DW26" i="16"/>
  <c r="DX30" i="16"/>
  <c r="DY30" i="16" s="1"/>
  <c r="DX28" i="16"/>
  <c r="DY28" i="16" s="1"/>
  <c r="DX25" i="16"/>
  <c r="DY25" i="16" s="1"/>
  <c r="DX24" i="16"/>
  <c r="DY24" i="16" s="1"/>
  <c r="DX23" i="16"/>
  <c r="DY23" i="16" s="1"/>
  <c r="DX15" i="16"/>
  <c r="DY15" i="16" s="1"/>
  <c r="DX8" i="16"/>
  <c r="DY8" i="16" s="1"/>
  <c r="DX5" i="16"/>
  <c r="DY5" i="16" s="1"/>
  <c r="DX4" i="16"/>
  <c r="DU5" i="16"/>
  <c r="DV5" i="16" s="1"/>
  <c r="DU4" i="16"/>
  <c r="DV4" i="16" s="1"/>
  <c r="DU15" i="16"/>
  <c r="DV15" i="16" s="1"/>
  <c r="DU8" i="16"/>
  <c r="DT8" i="16"/>
  <c r="DU30" i="16"/>
  <c r="DV30" i="16" s="1"/>
  <c r="DU28" i="16"/>
  <c r="DV28" i="16" s="1"/>
  <c r="DU25" i="16"/>
  <c r="DV25" i="16" s="1"/>
  <c r="DU24" i="16"/>
  <c r="DV24" i="16" s="1"/>
  <c r="DU23" i="16"/>
  <c r="DT26" i="16"/>
  <c r="DT22" i="16"/>
  <c r="DY32" i="16"/>
  <c r="DV32" i="16"/>
  <c r="DY31" i="16"/>
  <c r="DV31" i="16"/>
  <c r="DY29" i="16"/>
  <c r="DV29" i="16"/>
  <c r="DY27" i="16"/>
  <c r="DV27" i="16"/>
  <c r="DY18" i="16"/>
  <c r="DV18" i="16"/>
  <c r="DY17" i="16"/>
  <c r="DV17" i="16"/>
  <c r="DY16" i="16"/>
  <c r="DV16" i="16"/>
  <c r="DY12" i="16"/>
  <c r="DV12" i="16"/>
  <c r="DY10" i="16"/>
  <c r="DV10" i="16"/>
  <c r="DY9" i="16"/>
  <c r="DV9" i="16"/>
  <c r="DN22" i="15"/>
  <c r="DN26" i="15"/>
  <c r="DM26" i="15"/>
  <c r="DM22" i="15"/>
  <c r="DR32" i="15"/>
  <c r="DO32" i="15"/>
  <c r="DR31" i="15"/>
  <c r="DO31" i="15"/>
  <c r="DR30" i="15"/>
  <c r="DO30" i="15"/>
  <c r="DR29" i="15"/>
  <c r="DO29" i="15"/>
  <c r="DR28" i="15"/>
  <c r="DO28" i="15"/>
  <c r="DR27" i="15"/>
  <c r="DO27" i="15"/>
  <c r="DR26" i="15"/>
  <c r="DR25" i="15"/>
  <c r="DO25" i="15"/>
  <c r="DR24" i="15"/>
  <c r="DO24" i="15"/>
  <c r="DR23" i="15"/>
  <c r="DO23" i="15"/>
  <c r="DR22" i="15"/>
  <c r="DR18" i="15"/>
  <c r="DO18" i="15"/>
  <c r="DR17" i="15"/>
  <c r="DO17" i="15"/>
  <c r="DR16" i="15"/>
  <c r="DO16" i="15"/>
  <c r="DR15" i="15"/>
  <c r="DO15" i="15"/>
  <c r="DR12" i="15"/>
  <c r="DO12" i="15"/>
  <c r="DR10" i="15"/>
  <c r="DO10" i="15"/>
  <c r="DR9" i="15"/>
  <c r="DO9" i="15"/>
  <c r="DR8" i="15"/>
  <c r="DO8" i="15"/>
  <c r="DR5" i="15"/>
  <c r="DO5" i="15"/>
  <c r="DR4" i="15"/>
  <c r="DO4" i="15"/>
  <c r="DR3" i="15"/>
  <c r="DO3" i="15"/>
  <c r="DZ3" i="14"/>
  <c r="DZ8" i="14"/>
  <c r="DZ15" i="14"/>
  <c r="EC26" i="14"/>
  <c r="ED26" i="14" s="1"/>
  <c r="EC22" i="14"/>
  <c r="ED22" i="14" s="1"/>
  <c r="DZ22" i="14"/>
  <c r="DZ26" i="14"/>
  <c r="DY26" i="14"/>
  <c r="DY22" i="14"/>
  <c r="DY15" i="14"/>
  <c r="DY8" i="14"/>
  <c r="DY3" i="14"/>
  <c r="ED32" i="14"/>
  <c r="EA32" i="14"/>
  <c r="ED31" i="14"/>
  <c r="EA31" i="14"/>
  <c r="ED30" i="14"/>
  <c r="EA30" i="14"/>
  <c r="ED29" i="14"/>
  <c r="EA29" i="14"/>
  <c r="ED28" i="14"/>
  <c r="EA28" i="14"/>
  <c r="ED27" i="14"/>
  <c r="EA27" i="14"/>
  <c r="ED25" i="14"/>
  <c r="EA25" i="14"/>
  <c r="ED24" i="14"/>
  <c r="EA24" i="14"/>
  <c r="ED23" i="14"/>
  <c r="EA23" i="14"/>
  <c r="ED18" i="14"/>
  <c r="EA18" i="14"/>
  <c r="ED17" i="14"/>
  <c r="EA17" i="14"/>
  <c r="ED16" i="14"/>
  <c r="EA16" i="14"/>
  <c r="ED15" i="14"/>
  <c r="ED11" i="14"/>
  <c r="EA11" i="14"/>
  <c r="ED10" i="14"/>
  <c r="EA10" i="14"/>
  <c r="ED9" i="14"/>
  <c r="EA9" i="14"/>
  <c r="ED8" i="14"/>
  <c r="ED5" i="14"/>
  <c r="EA5" i="14"/>
  <c r="ED4" i="14"/>
  <c r="EA4" i="14"/>
  <c r="ED3" i="14"/>
  <c r="EC15" i="13"/>
  <c r="ED4" i="13"/>
  <c r="ED5" i="13"/>
  <c r="EB8" i="13"/>
  <c r="ED9" i="13"/>
  <c r="ED10" i="13"/>
  <c r="ED11" i="13"/>
  <c r="ED16" i="13"/>
  <c r="ED17" i="13"/>
  <c r="ED18" i="13"/>
  <c r="EC3" i="13"/>
  <c r="EC8" i="13"/>
  <c r="EC22" i="13"/>
  <c r="EC26" i="13"/>
  <c r="EE26" i="13"/>
  <c r="EG26" i="13" s="1"/>
  <c r="EE22" i="13"/>
  <c r="EG22" i="13" s="1"/>
  <c r="EB30" i="13"/>
  <c r="ED30" i="13" s="1"/>
  <c r="EB29" i="13"/>
  <c r="ED29" i="13" s="1"/>
  <c r="EB28" i="13"/>
  <c r="ED28" i="13" s="1"/>
  <c r="EB25" i="13"/>
  <c r="ED25" i="13" s="1"/>
  <c r="EB24" i="13"/>
  <c r="ED24" i="13" s="1"/>
  <c r="EB23" i="13"/>
  <c r="ED23" i="13" s="1"/>
  <c r="EG32" i="13"/>
  <c r="ED32" i="13"/>
  <c r="EG31" i="13"/>
  <c r="ED31" i="13"/>
  <c r="EG30" i="13"/>
  <c r="EG29" i="13"/>
  <c r="EG28" i="13"/>
  <c r="EG27" i="13"/>
  <c r="ED27" i="13"/>
  <c r="EG25" i="13"/>
  <c r="EG24" i="13"/>
  <c r="EG23" i="13"/>
  <c r="EG18" i="13"/>
  <c r="EG17" i="13"/>
  <c r="EG16" i="13"/>
  <c r="EG15" i="13"/>
  <c r="EB15" i="13"/>
  <c r="EG11" i="13"/>
  <c r="EG10" i="13"/>
  <c r="EG9" i="13"/>
  <c r="EG8" i="13"/>
  <c r="EG5" i="13"/>
  <c r="EG4" i="13"/>
  <c r="EG3" i="13"/>
  <c r="EB3" i="13"/>
  <c r="DY15" i="12"/>
  <c r="DZ15" i="12" s="1"/>
  <c r="DY8" i="12"/>
  <c r="DZ8" i="12" s="1"/>
  <c r="DY3" i="12"/>
  <c r="DZ3" i="12" s="1"/>
  <c r="DV15" i="12"/>
  <c r="DV3" i="12"/>
  <c r="DV8" i="12"/>
  <c r="DY30" i="12"/>
  <c r="DZ30" i="12" s="1"/>
  <c r="DY29" i="12"/>
  <c r="DZ29" i="12" s="1"/>
  <c r="DY28" i="12"/>
  <c r="DZ28" i="12" s="1"/>
  <c r="DY25" i="12"/>
  <c r="DY24" i="12"/>
  <c r="DZ24" i="12" s="1"/>
  <c r="DY23" i="12"/>
  <c r="DZ23" i="12" s="1"/>
  <c r="DV25" i="12"/>
  <c r="DW25" i="12" s="1"/>
  <c r="DV24" i="12"/>
  <c r="DW24" i="12" s="1"/>
  <c r="DV23" i="12"/>
  <c r="DW23" i="12" s="1"/>
  <c r="DV30" i="12"/>
  <c r="DW30" i="12" s="1"/>
  <c r="DV29" i="12"/>
  <c r="DW29" i="12" s="1"/>
  <c r="DV28" i="12"/>
  <c r="DW28" i="12" s="1"/>
  <c r="DU26" i="12"/>
  <c r="DU22" i="12"/>
  <c r="DU15" i="12"/>
  <c r="DU8" i="12"/>
  <c r="DU3" i="12"/>
  <c r="DZ32" i="12"/>
  <c r="DW32" i="12"/>
  <c r="DZ31" i="12"/>
  <c r="DW31" i="12"/>
  <c r="DZ27" i="12"/>
  <c r="DW27" i="12"/>
  <c r="DZ18" i="12"/>
  <c r="DW18" i="12"/>
  <c r="DZ17" i="12"/>
  <c r="DW17" i="12"/>
  <c r="DZ16" i="12"/>
  <c r="DW16" i="12"/>
  <c r="DZ11" i="12"/>
  <c r="DW11" i="12"/>
  <c r="DZ10" i="12"/>
  <c r="DW10" i="12"/>
  <c r="DZ9" i="12"/>
  <c r="DW9" i="12"/>
  <c r="DZ5" i="12"/>
  <c r="DW5" i="12"/>
  <c r="DZ4" i="12"/>
  <c r="DW4" i="12"/>
  <c r="EJ21" i="11"/>
  <c r="EL21" i="11" s="1"/>
  <c r="EH25" i="11"/>
  <c r="EH21" i="11"/>
  <c r="EG12" i="11"/>
  <c r="EH12" i="11"/>
  <c r="EH8" i="11"/>
  <c r="EH3" i="11"/>
  <c r="EJ12" i="11"/>
  <c r="EL12" i="11" s="1"/>
  <c r="EJ8" i="11"/>
  <c r="EL8" i="11" s="1"/>
  <c r="EJ3" i="11"/>
  <c r="EL3" i="11" s="1"/>
  <c r="EG29" i="11"/>
  <c r="EI29" i="11" s="1"/>
  <c r="EG28" i="11"/>
  <c r="EI28" i="11" s="1"/>
  <c r="EG27" i="11"/>
  <c r="EI27" i="11" s="1"/>
  <c r="EG26" i="11"/>
  <c r="EI26" i="11" s="1"/>
  <c r="EG21" i="11"/>
  <c r="EG8" i="11"/>
  <c r="EG3" i="11"/>
  <c r="EL31" i="11"/>
  <c r="EI31" i="11"/>
  <c r="EL30" i="11"/>
  <c r="EI30" i="11"/>
  <c r="EL29" i="11"/>
  <c r="EL28" i="11"/>
  <c r="EL27" i="11"/>
  <c r="EL26" i="11"/>
  <c r="EL25" i="11"/>
  <c r="EL24" i="11"/>
  <c r="EI24" i="11"/>
  <c r="EL23" i="11"/>
  <c r="EI23" i="11"/>
  <c r="EL22" i="11"/>
  <c r="EI22" i="11"/>
  <c r="EL17" i="11"/>
  <c r="EI17" i="11"/>
  <c r="EL16" i="11"/>
  <c r="EI16" i="11"/>
  <c r="EL15" i="11"/>
  <c r="EI15" i="11"/>
  <c r="EL11" i="11"/>
  <c r="EI11" i="11"/>
  <c r="EL10" i="11"/>
  <c r="EI10" i="11"/>
  <c r="EL9" i="11"/>
  <c r="EI9" i="11"/>
  <c r="EL5" i="11"/>
  <c r="EI5" i="11"/>
  <c r="EL4" i="11"/>
  <c r="EI4" i="11"/>
  <c r="EC30" i="10"/>
  <c r="ED30" i="10" s="1"/>
  <c r="EC29" i="10"/>
  <c r="ED29" i="10" s="1"/>
  <c r="EC28" i="10"/>
  <c r="ED28" i="10" s="1"/>
  <c r="EC27" i="10"/>
  <c r="ED27" i="10" s="1"/>
  <c r="EC22" i="10"/>
  <c r="ED22" i="10" s="1"/>
  <c r="DZ30" i="10"/>
  <c r="EA30" i="10" s="1"/>
  <c r="DZ29" i="10"/>
  <c r="EA29" i="10" s="1"/>
  <c r="DZ28" i="10"/>
  <c r="EA28" i="10" s="1"/>
  <c r="DZ27" i="10"/>
  <c r="EA27" i="10" s="1"/>
  <c r="DZ22" i="10"/>
  <c r="EA22" i="10" s="1"/>
  <c r="DY15" i="10"/>
  <c r="DY8" i="10"/>
  <c r="DY3" i="10"/>
  <c r="ED32" i="10"/>
  <c r="EA32" i="10"/>
  <c r="ED31" i="10"/>
  <c r="EA31" i="10"/>
  <c r="ED25" i="10"/>
  <c r="EA25" i="10"/>
  <c r="ED24" i="10"/>
  <c r="EA24" i="10"/>
  <c r="ED23" i="10"/>
  <c r="EA23" i="10"/>
  <c r="ED18" i="10"/>
  <c r="EA18" i="10"/>
  <c r="ED17" i="10"/>
  <c r="EA17" i="10"/>
  <c r="ED16" i="10"/>
  <c r="EA16" i="10"/>
  <c r="ED15" i="10"/>
  <c r="DZ15" i="10"/>
  <c r="ED12" i="10"/>
  <c r="EA12" i="10"/>
  <c r="ED10" i="10"/>
  <c r="EA10" i="10"/>
  <c r="ED9" i="10"/>
  <c r="EA9" i="10"/>
  <c r="ED8" i="10"/>
  <c r="DZ8" i="10"/>
  <c r="ED5" i="10"/>
  <c r="EA5" i="10"/>
  <c r="ED4" i="10"/>
  <c r="EA4" i="10"/>
  <c r="ED3" i="10"/>
  <c r="DZ3" i="10"/>
  <c r="DQ26" i="9"/>
  <c r="DQ22" i="9"/>
  <c r="DS8" i="9"/>
  <c r="DU8" i="9" s="1"/>
  <c r="DQ3" i="9"/>
  <c r="DQ8" i="9"/>
  <c r="DQ15" i="9"/>
  <c r="DP26" i="9"/>
  <c r="DP22" i="9"/>
  <c r="DP15" i="9"/>
  <c r="DP8" i="9"/>
  <c r="DP3" i="9"/>
  <c r="DU32" i="9"/>
  <c r="DR32" i="9"/>
  <c r="DU31" i="9"/>
  <c r="DR31" i="9"/>
  <c r="DU30" i="9"/>
  <c r="DR30" i="9"/>
  <c r="DU29" i="9"/>
  <c r="DR29" i="9"/>
  <c r="DU28" i="9"/>
  <c r="DR28" i="9"/>
  <c r="DU27" i="9"/>
  <c r="DR27" i="9"/>
  <c r="DU26" i="9"/>
  <c r="DU25" i="9"/>
  <c r="DR25" i="9"/>
  <c r="DU24" i="9"/>
  <c r="DR24" i="9"/>
  <c r="DU23" i="9"/>
  <c r="DR23" i="9"/>
  <c r="DU22" i="9"/>
  <c r="DU18" i="9"/>
  <c r="DR18" i="9"/>
  <c r="DU17" i="9"/>
  <c r="DR17" i="9"/>
  <c r="DU16" i="9"/>
  <c r="DR16" i="9"/>
  <c r="DU15" i="9"/>
  <c r="DU11" i="9"/>
  <c r="DR11" i="9"/>
  <c r="DU10" i="9"/>
  <c r="DR10" i="9"/>
  <c r="DU9" i="9"/>
  <c r="DR9" i="9"/>
  <c r="DU5" i="9"/>
  <c r="DR5" i="9"/>
  <c r="DU4" i="9"/>
  <c r="DR4" i="9"/>
  <c r="DU3" i="9"/>
  <c r="EB22" i="8"/>
  <c r="EC22" i="8" s="1"/>
  <c r="EB26" i="8"/>
  <c r="EC26" i="8" s="1"/>
  <c r="EE15" i="8"/>
  <c r="EF15" i="8" s="1"/>
  <c r="EE8" i="8"/>
  <c r="EF8" i="8" s="1"/>
  <c r="EE3" i="8"/>
  <c r="EF3" i="8" s="1"/>
  <c r="EB8" i="8"/>
  <c r="EB3" i="8"/>
  <c r="EB15" i="8"/>
  <c r="EA15" i="8"/>
  <c r="EA8" i="8"/>
  <c r="EA3" i="8"/>
  <c r="EF32" i="8"/>
  <c r="EC32" i="8"/>
  <c r="EF31" i="8"/>
  <c r="EC31" i="8"/>
  <c r="EF30" i="8"/>
  <c r="EC30" i="8"/>
  <c r="EF29" i="8"/>
  <c r="EC29" i="8"/>
  <c r="EF28" i="8"/>
  <c r="EC28" i="8"/>
  <c r="EF27" i="8"/>
  <c r="EC27" i="8"/>
  <c r="EF26" i="8"/>
  <c r="EF25" i="8"/>
  <c r="EC25" i="8"/>
  <c r="EF24" i="8"/>
  <c r="EC24" i="8"/>
  <c r="EF23" i="8"/>
  <c r="EC23" i="8"/>
  <c r="EF22" i="8"/>
  <c r="EF18" i="8"/>
  <c r="EC18" i="8"/>
  <c r="EF17" i="8"/>
  <c r="EC17" i="8"/>
  <c r="EF16" i="8"/>
  <c r="EC16" i="8"/>
  <c r="EF11" i="8"/>
  <c r="EC11" i="8"/>
  <c r="EF10" i="8"/>
  <c r="EC10" i="8"/>
  <c r="EF9" i="8"/>
  <c r="EC9" i="8"/>
  <c r="EF5" i="8"/>
  <c r="EC5" i="8"/>
  <c r="EF4" i="8"/>
  <c r="EC4" i="8"/>
  <c r="EA21" i="7"/>
  <c r="EA25" i="7"/>
  <c r="EA3" i="7"/>
  <c r="EA8" i="7"/>
  <c r="EA12" i="7"/>
  <c r="DZ25" i="7"/>
  <c r="DZ21" i="7"/>
  <c r="DZ12" i="7"/>
  <c r="DZ8" i="7"/>
  <c r="DZ3" i="7"/>
  <c r="EE31" i="7"/>
  <c r="EB31" i="7"/>
  <c r="EE30" i="7"/>
  <c r="EB30" i="7"/>
  <c r="EE29" i="7"/>
  <c r="EB29" i="7"/>
  <c r="EE28" i="7"/>
  <c r="EB28" i="7"/>
  <c r="EE27" i="7"/>
  <c r="EB27" i="7"/>
  <c r="EE26" i="7"/>
  <c r="EB26" i="7"/>
  <c r="EE25" i="7"/>
  <c r="EE24" i="7"/>
  <c r="EB24" i="7"/>
  <c r="EE23" i="7"/>
  <c r="EB23" i="7"/>
  <c r="EE22" i="7"/>
  <c r="EB22" i="7"/>
  <c r="EE21" i="7"/>
  <c r="EE17" i="7"/>
  <c r="EB17" i="7"/>
  <c r="EE16" i="7"/>
  <c r="EB16" i="7"/>
  <c r="EE15" i="7"/>
  <c r="EB15" i="7"/>
  <c r="EE12" i="7"/>
  <c r="EE11" i="7"/>
  <c r="EB11" i="7"/>
  <c r="EE10" i="7"/>
  <c r="EB10" i="7"/>
  <c r="EE9" i="7"/>
  <c r="EB9" i="7"/>
  <c r="EE8" i="7"/>
  <c r="EE5" i="7"/>
  <c r="EB5" i="7"/>
  <c r="EE4" i="7"/>
  <c r="EB4" i="7"/>
  <c r="EE3" i="7"/>
  <c r="EB7" i="6"/>
  <c r="EC25" i="6"/>
  <c r="ED25" i="6" s="1"/>
  <c r="EC21" i="6"/>
  <c r="ED21" i="6" s="1"/>
  <c r="DZ25" i="6"/>
  <c r="EA25" i="6" s="1"/>
  <c r="DZ21" i="6"/>
  <c r="EA21" i="6" s="1"/>
  <c r="EC14" i="6"/>
  <c r="ED14" i="6" s="1"/>
  <c r="EC7" i="6"/>
  <c r="EC3" i="6"/>
  <c r="ED3" i="6" s="1"/>
  <c r="DZ3" i="6"/>
  <c r="EA3" i="6" s="1"/>
  <c r="DZ7" i="6"/>
  <c r="EA7" i="6" s="1"/>
  <c r="DZ14" i="6"/>
  <c r="EA14" i="6" s="1"/>
  <c r="ED31" i="6"/>
  <c r="EA31" i="6"/>
  <c r="ED30" i="6"/>
  <c r="EA30" i="6"/>
  <c r="ED29" i="6"/>
  <c r="EA29" i="6"/>
  <c r="ED28" i="6"/>
  <c r="EA28" i="6"/>
  <c r="ED27" i="6"/>
  <c r="EA27" i="6"/>
  <c r="ED26" i="6"/>
  <c r="EA26" i="6"/>
  <c r="ED24" i="6"/>
  <c r="EA24" i="6"/>
  <c r="ED23" i="6"/>
  <c r="EA23" i="6"/>
  <c r="ED22" i="6"/>
  <c r="EA22" i="6"/>
  <c r="ED17" i="6"/>
  <c r="EA17" i="6"/>
  <c r="ED16" i="6"/>
  <c r="EA16" i="6"/>
  <c r="ED15" i="6"/>
  <c r="EA15" i="6"/>
  <c r="ED11" i="6"/>
  <c r="EA11" i="6"/>
  <c r="ED9" i="6"/>
  <c r="EA9" i="6"/>
  <c r="ED8" i="6"/>
  <c r="EA8" i="6"/>
  <c r="ED5" i="6"/>
  <c r="EA5" i="6"/>
  <c r="ED4" i="6"/>
  <c r="EA4" i="6"/>
  <c r="EE8" i="17"/>
  <c r="EF8" i="17" s="1"/>
  <c r="EE3" i="17"/>
  <c r="EF3" i="17" s="1"/>
  <c r="EB8" i="17"/>
  <c r="EB3" i="17"/>
  <c r="EC23" i="17"/>
  <c r="EC24" i="17"/>
  <c r="EC25" i="17"/>
  <c r="EB26" i="17"/>
  <c r="EA26" i="17"/>
  <c r="EC27" i="17"/>
  <c r="EC28" i="17"/>
  <c r="EC29" i="17"/>
  <c r="EC30" i="17"/>
  <c r="EC31" i="17"/>
  <c r="EC32" i="17"/>
  <c r="EB22" i="17"/>
  <c r="EA22" i="17"/>
  <c r="EA8" i="17"/>
  <c r="EA3" i="17"/>
  <c r="EF32" i="17"/>
  <c r="EF31" i="17"/>
  <c r="EF30" i="17"/>
  <c r="EF29" i="17"/>
  <c r="EF28" i="17"/>
  <c r="EF27" i="17"/>
  <c r="EF26" i="17"/>
  <c r="EF25" i="17"/>
  <c r="EF24" i="17"/>
  <c r="EF23" i="17"/>
  <c r="EF22" i="17"/>
  <c r="EF18" i="17"/>
  <c r="EC18" i="17"/>
  <c r="EF17" i="17"/>
  <c r="EC17" i="17"/>
  <c r="EF16" i="17"/>
  <c r="EC16" i="17"/>
  <c r="EF11" i="17"/>
  <c r="EC11" i="17"/>
  <c r="EF10" i="17"/>
  <c r="EC10" i="17"/>
  <c r="EF9" i="17"/>
  <c r="EC9" i="17"/>
  <c r="EF5" i="17"/>
  <c r="EC5" i="17"/>
  <c r="EF4" i="17"/>
  <c r="EC4" i="17"/>
  <c r="ED3" i="16"/>
  <c r="EE3" i="16" s="1"/>
  <c r="ED8" i="16"/>
  <c r="EE8" i="16" s="1"/>
  <c r="ED15" i="16"/>
  <c r="EE15" i="16" s="1"/>
  <c r="EF22" i="16"/>
  <c r="EH22" i="16" s="1"/>
  <c r="ED26" i="16"/>
  <c r="EE26" i="16" s="1"/>
  <c r="ED22" i="16"/>
  <c r="EE22" i="16" s="1"/>
  <c r="EH23" i="16"/>
  <c r="EH24" i="16"/>
  <c r="EH25" i="16"/>
  <c r="EH26" i="16"/>
  <c r="EH27" i="16"/>
  <c r="EH28" i="16"/>
  <c r="EH29" i="16"/>
  <c r="EH30" i="16"/>
  <c r="EH31" i="16"/>
  <c r="EH32" i="16"/>
  <c r="EF15" i="16"/>
  <c r="EH15" i="16" s="1"/>
  <c r="EF8" i="16"/>
  <c r="EH8" i="16" s="1"/>
  <c r="EF3" i="16"/>
  <c r="EH3" i="16" s="1"/>
  <c r="EE32" i="16"/>
  <c r="EE31" i="16"/>
  <c r="EE30" i="16"/>
  <c r="EE29" i="16"/>
  <c r="EE28" i="16"/>
  <c r="EE27" i="16"/>
  <c r="EE25" i="16"/>
  <c r="EE24" i="16"/>
  <c r="EE23" i="16"/>
  <c r="EH18" i="16"/>
  <c r="EE18" i="16"/>
  <c r="EH17" i="16"/>
  <c r="EE17" i="16"/>
  <c r="EH16" i="16"/>
  <c r="EE16" i="16"/>
  <c r="EH12" i="16"/>
  <c r="EE12" i="16"/>
  <c r="EH10" i="16"/>
  <c r="EE10" i="16"/>
  <c r="EH9" i="16"/>
  <c r="EE9" i="16"/>
  <c r="EH5" i="16"/>
  <c r="EE5" i="16"/>
  <c r="EH4" i="16"/>
  <c r="EE4" i="16"/>
  <c r="DY8" i="15"/>
  <c r="EA8" i="15" s="1"/>
  <c r="DW15" i="15"/>
  <c r="DW8" i="15"/>
  <c r="DW3" i="15"/>
  <c r="DZ26" i="15"/>
  <c r="EA26" i="15" s="1"/>
  <c r="DZ22" i="15"/>
  <c r="EA22" i="15" s="1"/>
  <c r="DW26" i="15"/>
  <c r="DW22" i="15"/>
  <c r="DV26" i="15"/>
  <c r="DV22" i="15"/>
  <c r="DV15" i="15"/>
  <c r="DV8" i="15"/>
  <c r="DV3" i="15"/>
  <c r="EA32" i="15"/>
  <c r="DX32" i="15"/>
  <c r="EA31" i="15"/>
  <c r="DX31" i="15"/>
  <c r="EA30" i="15"/>
  <c r="DX30" i="15"/>
  <c r="EA29" i="15"/>
  <c r="DX29" i="15"/>
  <c r="EA28" i="15"/>
  <c r="DX28" i="15"/>
  <c r="EA27" i="15"/>
  <c r="DX27" i="15"/>
  <c r="EA25" i="15"/>
  <c r="DX25" i="15"/>
  <c r="EA24" i="15"/>
  <c r="DX24" i="15"/>
  <c r="EA23" i="15"/>
  <c r="DX23" i="15"/>
  <c r="EA18" i="15"/>
  <c r="DX18" i="15"/>
  <c r="EA17" i="15"/>
  <c r="DX17" i="15"/>
  <c r="EA16" i="15"/>
  <c r="DX16" i="15"/>
  <c r="EA15" i="15"/>
  <c r="EA12" i="15"/>
  <c r="DX12" i="15"/>
  <c r="EA10" i="15"/>
  <c r="DX10" i="15"/>
  <c r="EA9" i="15"/>
  <c r="DX9" i="15"/>
  <c r="EA5" i="15"/>
  <c r="DX5" i="15"/>
  <c r="EA4" i="15"/>
  <c r="DX4" i="15"/>
  <c r="EA3" i="15"/>
  <c r="EK8" i="14"/>
  <c r="EM8" i="14" s="1"/>
  <c r="EI15" i="14"/>
  <c r="EI8" i="14"/>
  <c r="EI3" i="14"/>
  <c r="EL26" i="14"/>
  <c r="EM26" i="14" s="1"/>
  <c r="EL22" i="14"/>
  <c r="EM22" i="14" s="1"/>
  <c r="EI22" i="14"/>
  <c r="EI26" i="14"/>
  <c r="EH26" i="14"/>
  <c r="EH22" i="14"/>
  <c r="EH15" i="14"/>
  <c r="EH8" i="14"/>
  <c r="EH3" i="14"/>
  <c r="EM32" i="14"/>
  <c r="EJ32" i="14"/>
  <c r="EM31" i="14"/>
  <c r="EJ31" i="14"/>
  <c r="EM30" i="14"/>
  <c r="EJ30" i="14"/>
  <c r="EM29" i="14"/>
  <c r="EJ29" i="14"/>
  <c r="EM28" i="14"/>
  <c r="EJ28" i="14"/>
  <c r="EM27" i="14"/>
  <c r="EJ27" i="14"/>
  <c r="EM25" i="14"/>
  <c r="EJ25" i="14"/>
  <c r="EM24" i="14"/>
  <c r="EJ24" i="14"/>
  <c r="EM23" i="14"/>
  <c r="EJ23" i="14"/>
  <c r="EM18" i="14"/>
  <c r="EJ18" i="14"/>
  <c r="EM17" i="14"/>
  <c r="EJ17" i="14"/>
  <c r="EM16" i="14"/>
  <c r="EJ16" i="14"/>
  <c r="EM15" i="14"/>
  <c r="EM11" i="14"/>
  <c r="EJ11" i="14"/>
  <c r="EM10" i="14"/>
  <c r="EJ10" i="14"/>
  <c r="EM9" i="14"/>
  <c r="EJ9" i="14"/>
  <c r="EM5" i="14"/>
  <c r="EJ5" i="14"/>
  <c r="EM4" i="14"/>
  <c r="EJ4" i="14"/>
  <c r="EM3" i="14"/>
  <c r="EP31" i="13"/>
  <c r="EO15" i="13"/>
  <c r="EN3" i="13"/>
  <c r="EN8" i="13"/>
  <c r="EN15" i="13"/>
  <c r="EO8" i="13"/>
  <c r="EO3" i="13"/>
  <c r="EL3" i="13"/>
  <c r="EL8" i="13"/>
  <c r="EL15" i="13"/>
  <c r="EN22" i="13"/>
  <c r="EP22" i="13" s="1"/>
  <c r="EN26" i="13"/>
  <c r="EP26" i="13" s="1"/>
  <c r="EL22" i="13"/>
  <c r="EL26" i="13"/>
  <c r="EK26" i="13"/>
  <c r="EK22" i="13"/>
  <c r="EK15" i="13"/>
  <c r="EK8" i="13"/>
  <c r="EK3" i="13"/>
  <c r="EP32" i="13"/>
  <c r="EM32" i="13"/>
  <c r="EM31" i="13"/>
  <c r="EP30" i="13"/>
  <c r="EM30" i="13"/>
  <c r="EP29" i="13"/>
  <c r="EM29" i="13"/>
  <c r="EP28" i="13"/>
  <c r="EM28" i="13"/>
  <c r="EP27" i="13"/>
  <c r="EM27" i="13"/>
  <c r="EP25" i="13"/>
  <c r="EM25" i="13"/>
  <c r="EP24" i="13"/>
  <c r="EM24" i="13"/>
  <c r="EP23" i="13"/>
  <c r="EM23" i="13"/>
  <c r="EP18" i="13"/>
  <c r="EM18" i="13"/>
  <c r="EP17" i="13"/>
  <c r="EM17" i="13"/>
  <c r="EP16" i="13"/>
  <c r="EM16" i="13"/>
  <c r="EP11" i="13"/>
  <c r="EM11" i="13"/>
  <c r="EP10" i="13"/>
  <c r="EM10" i="13"/>
  <c r="EP9" i="13"/>
  <c r="EM9" i="13"/>
  <c r="EP5" i="13"/>
  <c r="EM5" i="13"/>
  <c r="EP4" i="13"/>
  <c r="EM4" i="13"/>
  <c r="EG26" i="12"/>
  <c r="EG22" i="12"/>
  <c r="EH26" i="12"/>
  <c r="EH22" i="12"/>
  <c r="EE26" i="12"/>
  <c r="EE22" i="12"/>
  <c r="EF23" i="12"/>
  <c r="EH15" i="12"/>
  <c r="EI15" i="12" s="1"/>
  <c r="EH8" i="12"/>
  <c r="EH3" i="12"/>
  <c r="EE15" i="12"/>
  <c r="EF15" i="12" s="1"/>
  <c r="EE8" i="12"/>
  <c r="EF8" i="12" s="1"/>
  <c r="EE3" i="12"/>
  <c r="EF3" i="12" s="1"/>
  <c r="ED26" i="12"/>
  <c r="ED22" i="12"/>
  <c r="EG8" i="12"/>
  <c r="EG3" i="12"/>
  <c r="EI32" i="12"/>
  <c r="EF32" i="12"/>
  <c r="EI31" i="12"/>
  <c r="EF31" i="12"/>
  <c r="EI30" i="12"/>
  <c r="EF30" i="12"/>
  <c r="EI29" i="12"/>
  <c r="EF29" i="12"/>
  <c r="EI28" i="12"/>
  <c r="EF28" i="12"/>
  <c r="EI27" i="12"/>
  <c r="EF27" i="12"/>
  <c r="EI25" i="12"/>
  <c r="EF25" i="12"/>
  <c r="EI24" i="12"/>
  <c r="EF24" i="12"/>
  <c r="EI23" i="12"/>
  <c r="EI18" i="12"/>
  <c r="EF18" i="12"/>
  <c r="EI17" i="12"/>
  <c r="EF17" i="12"/>
  <c r="EI16" i="12"/>
  <c r="EF16" i="12"/>
  <c r="EI11" i="12"/>
  <c r="EF11" i="12"/>
  <c r="EI10" i="12"/>
  <c r="EF10" i="12"/>
  <c r="EI9" i="12"/>
  <c r="EF9" i="12"/>
  <c r="EI5" i="12"/>
  <c r="EF5" i="12"/>
  <c r="EI4" i="12"/>
  <c r="EF4" i="12"/>
  <c r="ES12" i="11"/>
  <c r="ET12" i="11"/>
  <c r="ET8" i="11"/>
  <c r="ET3" i="11"/>
  <c r="EQ3" i="11"/>
  <c r="EQ8" i="11"/>
  <c r="EQ12" i="11"/>
  <c r="EQ25" i="11"/>
  <c r="EQ21" i="11"/>
  <c r="EP29" i="11"/>
  <c r="ER29" i="11" s="1"/>
  <c r="EP28" i="11"/>
  <c r="ER28" i="11" s="1"/>
  <c r="EP27" i="11"/>
  <c r="ER27" i="11" s="1"/>
  <c r="EP24" i="11"/>
  <c r="ER24" i="11" s="1"/>
  <c r="EP23" i="11"/>
  <c r="ER23" i="11" s="1"/>
  <c r="EP22" i="11"/>
  <c r="ER22" i="11" s="1"/>
  <c r="EP12" i="11"/>
  <c r="EP8" i="11"/>
  <c r="EP3" i="11"/>
  <c r="EU31" i="11"/>
  <c r="ER31" i="11"/>
  <c r="EU30" i="11"/>
  <c r="ER30" i="11"/>
  <c r="EU29" i="11"/>
  <c r="EU28" i="11"/>
  <c r="EU27" i="11"/>
  <c r="EU26" i="11"/>
  <c r="ER26" i="11"/>
  <c r="EU25" i="11"/>
  <c r="EU24" i="11"/>
  <c r="EU23" i="11"/>
  <c r="EU22" i="11"/>
  <c r="EU21" i="11"/>
  <c r="EU17" i="11"/>
  <c r="ER17" i="11"/>
  <c r="EU16" i="11"/>
  <c r="ER16" i="11"/>
  <c r="EU15" i="11"/>
  <c r="ER15" i="11"/>
  <c r="EU11" i="11"/>
  <c r="ER11" i="11"/>
  <c r="EU10" i="11"/>
  <c r="ER10" i="11"/>
  <c r="EU9" i="11"/>
  <c r="ER9" i="11"/>
  <c r="ES8" i="11"/>
  <c r="EU5" i="11"/>
  <c r="ER5" i="11"/>
  <c r="EU4" i="11"/>
  <c r="ER4" i="11"/>
  <c r="ES3" i="11"/>
  <c r="EK15" i="10"/>
  <c r="EM15" i="10" s="1"/>
  <c r="EK3" i="10"/>
  <c r="EM3" i="10" s="1"/>
  <c r="EK8" i="10"/>
  <c r="EM8" i="10" s="1"/>
  <c r="EK22" i="10"/>
  <c r="EM22" i="10" s="1"/>
  <c r="EK26" i="10"/>
  <c r="EM26" i="10" s="1"/>
  <c r="EI15" i="10"/>
  <c r="EI8" i="10"/>
  <c r="EI3" i="10"/>
  <c r="EI29" i="10"/>
  <c r="EJ29" i="10" s="1"/>
  <c r="EI30" i="10"/>
  <c r="EJ30" i="10" s="1"/>
  <c r="EI28" i="10"/>
  <c r="EI25" i="10"/>
  <c r="EJ25" i="10" s="1"/>
  <c r="EI24" i="10"/>
  <c r="EJ24" i="10" s="1"/>
  <c r="EI23" i="10"/>
  <c r="EJ23" i="10" s="1"/>
  <c r="EH26" i="10"/>
  <c r="EH22" i="10"/>
  <c r="EH15" i="10"/>
  <c r="EH8" i="10"/>
  <c r="EH3" i="10"/>
  <c r="EM32" i="10"/>
  <c r="EJ32" i="10"/>
  <c r="EM31" i="10"/>
  <c r="EJ31" i="10"/>
  <c r="EM30" i="10"/>
  <c r="EM29" i="10"/>
  <c r="EM28" i="10"/>
  <c r="EM27" i="10"/>
  <c r="EJ27" i="10"/>
  <c r="EM25" i="10"/>
  <c r="EM24" i="10"/>
  <c r="EM23" i="10"/>
  <c r="EM18" i="10"/>
  <c r="EJ18" i="10"/>
  <c r="EM17" i="10"/>
  <c r="EJ17" i="10"/>
  <c r="EM16" i="10"/>
  <c r="EJ16" i="10"/>
  <c r="EM12" i="10"/>
  <c r="EJ12" i="10"/>
  <c r="EM10" i="10"/>
  <c r="EJ10" i="10"/>
  <c r="EM9" i="10"/>
  <c r="EJ9" i="10"/>
  <c r="EM5" i="10"/>
  <c r="EJ5" i="10"/>
  <c r="EM4" i="10"/>
  <c r="EJ4" i="10"/>
  <c r="EB8" i="9"/>
  <c r="ED8" i="9" s="1"/>
  <c r="EB15" i="9"/>
  <c r="ED15" i="9" s="1"/>
  <c r="EB3" i="9"/>
  <c r="ED3" i="9" s="1"/>
  <c r="DZ3" i="9"/>
  <c r="DZ8" i="9"/>
  <c r="DZ15" i="9"/>
  <c r="DZ22" i="9"/>
  <c r="DZ26" i="9"/>
  <c r="DY26" i="9"/>
  <c r="DY22" i="9"/>
  <c r="DY15" i="9"/>
  <c r="DY8" i="9"/>
  <c r="DY3" i="9"/>
  <c r="ED32" i="9"/>
  <c r="EA32" i="9"/>
  <c r="ED31" i="9"/>
  <c r="EA31" i="9"/>
  <c r="ED30" i="9"/>
  <c r="EA30" i="9"/>
  <c r="ED29" i="9"/>
  <c r="EA29" i="9"/>
  <c r="ED28" i="9"/>
  <c r="EA28" i="9"/>
  <c r="ED27" i="9"/>
  <c r="EA27" i="9"/>
  <c r="ED26" i="9"/>
  <c r="ED25" i="9"/>
  <c r="EA25" i="9"/>
  <c r="ED24" i="9"/>
  <c r="EA24" i="9"/>
  <c r="ED23" i="9"/>
  <c r="EA23" i="9"/>
  <c r="ED22" i="9"/>
  <c r="ED18" i="9"/>
  <c r="EA18" i="9"/>
  <c r="ED17" i="9"/>
  <c r="EA17" i="9"/>
  <c r="ED16" i="9"/>
  <c r="EA16" i="9"/>
  <c r="ED11" i="9"/>
  <c r="EA11" i="9"/>
  <c r="ED10" i="9"/>
  <c r="EA10" i="9"/>
  <c r="ED9" i="9"/>
  <c r="EA9" i="9"/>
  <c r="ED5" i="9"/>
  <c r="EA5" i="9"/>
  <c r="ED4" i="9"/>
  <c r="EA4" i="9"/>
  <c r="EM3" i="8"/>
  <c r="EO3" i="8" s="1"/>
  <c r="EM8" i="8"/>
  <c r="EO8" i="8" s="1"/>
  <c r="EM15" i="8"/>
  <c r="EO15" i="8" s="1"/>
  <c r="EK3" i="8"/>
  <c r="EK8" i="8"/>
  <c r="EK15" i="8"/>
  <c r="EN26" i="8"/>
  <c r="EN22" i="8"/>
  <c r="EM22" i="8"/>
  <c r="EM26" i="8"/>
  <c r="EK26" i="8"/>
  <c r="EK22" i="8"/>
  <c r="EJ26" i="8"/>
  <c r="EJ22" i="8"/>
  <c r="EJ15" i="8"/>
  <c r="EJ8" i="8"/>
  <c r="EJ3" i="8"/>
  <c r="EO32" i="8"/>
  <c r="EL32" i="8"/>
  <c r="EO31" i="8"/>
  <c r="EL31" i="8"/>
  <c r="EO30" i="8"/>
  <c r="EL30" i="8"/>
  <c r="EO29" i="8"/>
  <c r="EL29" i="8"/>
  <c r="EO28" i="8"/>
  <c r="EL28" i="8"/>
  <c r="EO27" i="8"/>
  <c r="EL27" i="8"/>
  <c r="EO25" i="8"/>
  <c r="EL25" i="8"/>
  <c r="EO24" i="8"/>
  <c r="EL24" i="8"/>
  <c r="EO23" i="8"/>
  <c r="EL23" i="8"/>
  <c r="EO18" i="8"/>
  <c r="EL18" i="8"/>
  <c r="EO17" i="8"/>
  <c r="EL17" i="8"/>
  <c r="EO16" i="8"/>
  <c r="EL16" i="8"/>
  <c r="EO10" i="8"/>
  <c r="EL10" i="8"/>
  <c r="EO11" i="8"/>
  <c r="EL11" i="8"/>
  <c r="EO9" i="8"/>
  <c r="EL9" i="8"/>
  <c r="EO5" i="8"/>
  <c r="EL5" i="8"/>
  <c r="EO4" i="8"/>
  <c r="EL4" i="8"/>
  <c r="EJ12" i="7"/>
  <c r="EL25" i="7"/>
  <c r="EN25" i="7" s="1"/>
  <c r="EL21" i="7"/>
  <c r="EN21" i="7" s="1"/>
  <c r="EJ21" i="7"/>
  <c r="EJ25" i="7"/>
  <c r="EN4" i="7"/>
  <c r="EN5" i="7"/>
  <c r="EN9" i="7"/>
  <c r="EN10" i="7"/>
  <c r="EN11" i="7"/>
  <c r="EN12" i="7"/>
  <c r="EN15" i="7"/>
  <c r="EN16" i="7"/>
  <c r="EN17" i="7"/>
  <c r="EK4" i="7"/>
  <c r="EK5" i="7"/>
  <c r="EK9" i="7"/>
  <c r="EK10" i="7"/>
  <c r="EK11" i="7"/>
  <c r="EK15" i="7"/>
  <c r="EK16" i="7"/>
  <c r="EK17" i="7"/>
  <c r="EI25" i="7"/>
  <c r="EI21" i="7"/>
  <c r="EI3" i="7"/>
  <c r="EN31" i="7"/>
  <c r="EK31" i="7"/>
  <c r="EN30" i="7"/>
  <c r="EK30" i="7"/>
  <c r="EN29" i="7"/>
  <c r="EK29" i="7"/>
  <c r="EN28" i="7"/>
  <c r="EK28" i="7"/>
  <c r="EN27" i="7"/>
  <c r="EK27" i="7"/>
  <c r="EN26" i="7"/>
  <c r="EK26" i="7"/>
  <c r="EN24" i="7"/>
  <c r="EK24" i="7"/>
  <c r="EN23" i="7"/>
  <c r="EK23" i="7"/>
  <c r="EK22" i="7"/>
  <c r="EI12" i="7"/>
  <c r="EL8" i="7"/>
  <c r="EN8" i="7" s="1"/>
  <c r="EJ8" i="7"/>
  <c r="EI8" i="7"/>
  <c r="EL3" i="7"/>
  <c r="EN3" i="7" s="1"/>
  <c r="EJ3" i="7"/>
  <c r="EM22" i="6"/>
  <c r="EM23" i="6"/>
  <c r="EM24" i="6"/>
  <c r="EM26" i="6"/>
  <c r="EM27" i="6"/>
  <c r="EM28" i="6"/>
  <c r="EM29" i="6"/>
  <c r="EM30" i="6"/>
  <c r="EM31" i="6"/>
  <c r="EJ22" i="6"/>
  <c r="EJ23" i="6"/>
  <c r="EJ24" i="6"/>
  <c r="EJ26" i="6"/>
  <c r="EJ27" i="6"/>
  <c r="EJ28" i="6"/>
  <c r="EJ29" i="6"/>
  <c r="EJ30" i="6"/>
  <c r="EJ31" i="6"/>
  <c r="EM4" i="6"/>
  <c r="EM5" i="6"/>
  <c r="EM8" i="6"/>
  <c r="EM9" i="6"/>
  <c r="EM11" i="6"/>
  <c r="EM15" i="6"/>
  <c r="EM16" i="6"/>
  <c r="EM17" i="6"/>
  <c r="EJ4" i="6"/>
  <c r="EJ5" i="6"/>
  <c r="EJ8" i="6"/>
  <c r="EJ9" i="6"/>
  <c r="EJ11" i="6"/>
  <c r="EJ15" i="6"/>
  <c r="EJ16" i="6"/>
  <c r="EJ17" i="6"/>
  <c r="EI14" i="6"/>
  <c r="EH14" i="6"/>
  <c r="EI7" i="6"/>
  <c r="EH7" i="6"/>
  <c r="EI3" i="6"/>
  <c r="EH3" i="6"/>
  <c r="EI21" i="6"/>
  <c r="EH21" i="6"/>
  <c r="EI25" i="6"/>
  <c r="EH25" i="6"/>
  <c r="EK25" i="6"/>
  <c r="EM25" i="6" s="1"/>
  <c r="EK21" i="6"/>
  <c r="EM21" i="6" s="1"/>
  <c r="EK14" i="6"/>
  <c r="EM14" i="6" s="1"/>
  <c r="EK7" i="6"/>
  <c r="EM7" i="6" s="1"/>
  <c r="EK3" i="6"/>
  <c r="EM3" i="6" s="1"/>
  <c r="EN22" i="17"/>
  <c r="EM22" i="17"/>
  <c r="EN26" i="17"/>
  <c r="EM26" i="17"/>
  <c r="EM8" i="17"/>
  <c r="EO8" i="17" s="1"/>
  <c r="EM3" i="17"/>
  <c r="EO3" i="17" s="1"/>
  <c r="EK8" i="17"/>
  <c r="EK3" i="17"/>
  <c r="EJ26" i="17"/>
  <c r="EL26" i="17" s="1"/>
  <c r="EJ22" i="17"/>
  <c r="EL22" i="17" s="1"/>
  <c r="EJ8" i="17"/>
  <c r="EJ3" i="17"/>
  <c r="EO32" i="17"/>
  <c r="EL32" i="17"/>
  <c r="EO31" i="17"/>
  <c r="EL31" i="17"/>
  <c r="EO30" i="17"/>
  <c r="EL30" i="17"/>
  <c r="EO29" i="17"/>
  <c r="EL29" i="17"/>
  <c r="EO28" i="17"/>
  <c r="EL28" i="17"/>
  <c r="EO27" i="17"/>
  <c r="EL27" i="17"/>
  <c r="EO25" i="17"/>
  <c r="EL25" i="17"/>
  <c r="EO24" i="17"/>
  <c r="EL24" i="17"/>
  <c r="EO23" i="17"/>
  <c r="EL23" i="17"/>
  <c r="EO18" i="17"/>
  <c r="EL18" i="17"/>
  <c r="EO17" i="17"/>
  <c r="EL17" i="17"/>
  <c r="EO16" i="17"/>
  <c r="EL16" i="17"/>
  <c r="EO11" i="17"/>
  <c r="EL11" i="17"/>
  <c r="EO10" i="17"/>
  <c r="EL10" i="17"/>
  <c r="EO9" i="17"/>
  <c r="EL9" i="17"/>
  <c r="EO5" i="17"/>
  <c r="EL5" i="17"/>
  <c r="EO4" i="17"/>
  <c r="EL4" i="17"/>
  <c r="EO3" i="16"/>
  <c r="EP15" i="16"/>
  <c r="EQ15" i="16" s="1"/>
  <c r="EP8" i="16"/>
  <c r="EP3" i="16"/>
  <c r="EO8" i="16"/>
  <c r="EM15" i="16"/>
  <c r="EM8" i="16"/>
  <c r="EM3" i="16"/>
  <c r="EM26" i="16"/>
  <c r="EM22" i="16"/>
  <c r="EL15" i="16"/>
  <c r="EL8" i="16"/>
  <c r="EL3" i="16"/>
  <c r="EL26" i="16"/>
  <c r="EL22" i="16"/>
  <c r="EQ32" i="16"/>
  <c r="EN32" i="16"/>
  <c r="EQ31" i="16"/>
  <c r="EN31" i="16"/>
  <c r="EQ30" i="16"/>
  <c r="EN30" i="16"/>
  <c r="EQ29" i="16"/>
  <c r="EN29" i="16"/>
  <c r="EQ28" i="16"/>
  <c r="EN28" i="16"/>
  <c r="EQ27" i="16"/>
  <c r="EN27" i="16"/>
  <c r="EQ26" i="16"/>
  <c r="EQ25" i="16"/>
  <c r="EN25" i="16"/>
  <c r="EQ24" i="16"/>
  <c r="EN24" i="16"/>
  <c r="EQ23" i="16"/>
  <c r="EN23" i="16"/>
  <c r="EQ22" i="16"/>
  <c r="EQ18" i="16"/>
  <c r="EN18" i="16"/>
  <c r="EQ17" i="16"/>
  <c r="EN17" i="16"/>
  <c r="EQ16" i="16"/>
  <c r="EN16" i="16"/>
  <c r="EQ12" i="16"/>
  <c r="EN12" i="16"/>
  <c r="EQ10" i="16"/>
  <c r="EN10" i="16"/>
  <c r="EQ9" i="16"/>
  <c r="EN9" i="16"/>
  <c r="EQ5" i="16"/>
  <c r="EN5" i="16"/>
  <c r="EQ4" i="16"/>
  <c r="EN4" i="16"/>
  <c r="EI26" i="15"/>
  <c r="EJ26" i="15" s="1"/>
  <c r="EI22" i="15"/>
  <c r="EJ22" i="15" s="1"/>
  <c r="EF22" i="15"/>
  <c r="EG22" i="15" s="1"/>
  <c r="EF26" i="15"/>
  <c r="EG26" i="15" s="1"/>
  <c r="EI15" i="15"/>
  <c r="EI8" i="15"/>
  <c r="EJ8" i="15" s="1"/>
  <c r="EI3" i="15"/>
  <c r="EJ3" i="15" s="1"/>
  <c r="EH15" i="15"/>
  <c r="EF3" i="15"/>
  <c r="EF8" i="15"/>
  <c r="EF15" i="15"/>
  <c r="EE15" i="15"/>
  <c r="EE8" i="15"/>
  <c r="EE3" i="15"/>
  <c r="EJ32" i="15"/>
  <c r="EG32" i="15"/>
  <c r="EJ31" i="15"/>
  <c r="EG31" i="15"/>
  <c r="EJ30" i="15"/>
  <c r="EG30" i="15"/>
  <c r="EJ29" i="15"/>
  <c r="EG29" i="15"/>
  <c r="EJ28" i="15"/>
  <c r="EG28" i="15"/>
  <c r="EJ27" i="15"/>
  <c r="EG27" i="15"/>
  <c r="EJ25" i="15"/>
  <c r="EG25" i="15"/>
  <c r="EJ24" i="15"/>
  <c r="EG24" i="15"/>
  <c r="EJ23" i="15"/>
  <c r="EG23" i="15"/>
  <c r="EJ18" i="15"/>
  <c r="EG18" i="15"/>
  <c r="EJ17" i="15"/>
  <c r="EG17" i="15"/>
  <c r="EJ16" i="15"/>
  <c r="EG16" i="15"/>
  <c r="EJ12" i="15"/>
  <c r="EG12" i="15"/>
  <c r="EJ10" i="15"/>
  <c r="EG10" i="15"/>
  <c r="EJ9" i="15"/>
  <c r="EG9" i="15"/>
  <c r="EJ5" i="15"/>
  <c r="EG5" i="15"/>
  <c r="EJ4" i="15"/>
  <c r="EG4" i="15"/>
  <c r="ER22" i="14"/>
  <c r="ES22" i="14" s="1"/>
  <c r="ER26" i="14"/>
  <c r="ES26" i="14" s="1"/>
  <c r="ER15" i="14"/>
  <c r="ES15" i="14" s="1"/>
  <c r="ER8" i="14"/>
  <c r="ES8" i="14" s="1"/>
  <c r="ER3" i="14"/>
  <c r="ES3" i="14" s="1"/>
  <c r="EV32" i="14"/>
  <c r="ES32" i="14"/>
  <c r="EV31" i="14"/>
  <c r="ES31" i="14"/>
  <c r="EV30" i="14"/>
  <c r="ES30" i="14"/>
  <c r="EV29" i="14"/>
  <c r="ES29" i="14"/>
  <c r="EV28" i="14"/>
  <c r="ES28" i="14"/>
  <c r="EV27" i="14"/>
  <c r="ES27" i="14"/>
  <c r="EV26" i="14"/>
  <c r="EV25" i="14"/>
  <c r="ES25" i="14"/>
  <c r="EV24" i="14"/>
  <c r="ES24" i="14"/>
  <c r="EV23" i="14"/>
  <c r="ES23" i="14"/>
  <c r="EV22" i="14"/>
  <c r="EV18" i="14"/>
  <c r="ES18" i="14"/>
  <c r="EV17" i="14"/>
  <c r="ES17" i="14"/>
  <c r="EV16" i="14"/>
  <c r="ES16" i="14"/>
  <c r="EV15" i="14"/>
  <c r="EV11" i="14"/>
  <c r="ES11" i="14"/>
  <c r="EV10" i="14"/>
  <c r="ES10" i="14"/>
  <c r="EV9" i="14"/>
  <c r="ES9" i="14"/>
  <c r="EV8" i="14"/>
  <c r="EV5" i="14"/>
  <c r="ES5" i="14"/>
  <c r="EV4" i="14"/>
  <c r="ES4" i="14"/>
  <c r="EV3" i="14"/>
  <c r="EW8" i="13"/>
  <c r="EY8" i="13" s="1"/>
  <c r="EU3" i="13"/>
  <c r="EU8" i="13"/>
  <c r="EU15" i="13"/>
  <c r="EU22" i="13"/>
  <c r="EU26" i="13"/>
  <c r="ET26" i="13"/>
  <c r="ET22" i="13"/>
  <c r="ET15" i="13"/>
  <c r="ET8" i="13"/>
  <c r="ET3" i="13"/>
  <c r="EY32" i="13"/>
  <c r="EV32" i="13"/>
  <c r="EY31" i="13"/>
  <c r="EV31" i="13"/>
  <c r="EY30" i="13"/>
  <c r="EV30" i="13"/>
  <c r="EY29" i="13"/>
  <c r="EV29" i="13"/>
  <c r="EY28" i="13"/>
  <c r="EV28" i="13"/>
  <c r="EY27" i="13"/>
  <c r="EV27" i="13"/>
  <c r="EY26" i="13"/>
  <c r="EY25" i="13"/>
  <c r="EV25" i="13"/>
  <c r="EY24" i="13"/>
  <c r="EV24" i="13"/>
  <c r="EY23" i="13"/>
  <c r="EV23" i="13"/>
  <c r="EY22" i="13"/>
  <c r="EY18" i="13"/>
  <c r="EV18" i="13"/>
  <c r="EY17" i="13"/>
  <c r="EV17" i="13"/>
  <c r="EY16" i="13"/>
  <c r="EV16" i="13"/>
  <c r="EY15" i="13"/>
  <c r="EY11" i="13"/>
  <c r="EV11" i="13"/>
  <c r="EY10" i="13"/>
  <c r="EV10" i="13"/>
  <c r="EY9" i="13"/>
  <c r="EV9" i="13"/>
  <c r="EY5" i="13"/>
  <c r="EV5" i="13"/>
  <c r="EY4" i="13"/>
  <c r="EV4" i="13"/>
  <c r="EY3" i="13"/>
  <c r="EP15" i="12"/>
  <c r="EQ15" i="12"/>
  <c r="EQ8" i="12"/>
  <c r="EQ3" i="12"/>
  <c r="EP8" i="12"/>
  <c r="EP3" i="12"/>
  <c r="EN15" i="12"/>
  <c r="EN8" i="12"/>
  <c r="EN3" i="12"/>
  <c r="EM15" i="12"/>
  <c r="EM8" i="12"/>
  <c r="EM3" i="12"/>
  <c r="EQ26" i="12"/>
  <c r="EQ22" i="12"/>
  <c r="EP26" i="12"/>
  <c r="EP22" i="12"/>
  <c r="EN26" i="12"/>
  <c r="EN22" i="12"/>
  <c r="EM26" i="12"/>
  <c r="EM22" i="12"/>
  <c r="EO23" i="12"/>
  <c r="EO24" i="12"/>
  <c r="EO25" i="12"/>
  <c r="EO27" i="12"/>
  <c r="EO28" i="12"/>
  <c r="EO29" i="12"/>
  <c r="EO30" i="12"/>
  <c r="EO31" i="12"/>
  <c r="EO32" i="12"/>
  <c r="ER32" i="12"/>
  <c r="ER23" i="12"/>
  <c r="ER24" i="12"/>
  <c r="ER25" i="12"/>
  <c r="ER27" i="12"/>
  <c r="ER28" i="12"/>
  <c r="ER29" i="12"/>
  <c r="ER30" i="12"/>
  <c r="ER31" i="12"/>
  <c r="ER4" i="12"/>
  <c r="ER5" i="12"/>
  <c r="ER9" i="12"/>
  <c r="ER10" i="12"/>
  <c r="ER11" i="12"/>
  <c r="ER16" i="12"/>
  <c r="ER17" i="12"/>
  <c r="ER18" i="12"/>
  <c r="EO4" i="12"/>
  <c r="EO5" i="12"/>
  <c r="EO9" i="12"/>
  <c r="EO10" i="12"/>
  <c r="EO11" i="12"/>
  <c r="EO16" i="12"/>
  <c r="EO17" i="12"/>
  <c r="EO18" i="12"/>
  <c r="FB8" i="11"/>
  <c r="FC12" i="11"/>
  <c r="FD12" i="11" s="1"/>
  <c r="FC8" i="11"/>
  <c r="FC3" i="11"/>
  <c r="FD3" i="11" s="1"/>
  <c r="EZ3" i="11"/>
  <c r="EZ8" i="11"/>
  <c r="FA8" i="11" s="1"/>
  <c r="EZ12" i="11"/>
  <c r="FC25" i="11"/>
  <c r="FD25" i="11" s="1"/>
  <c r="FC21" i="11"/>
  <c r="FD21" i="11" s="1"/>
  <c r="EZ21" i="11"/>
  <c r="EZ25" i="11"/>
  <c r="FA25" i="11" s="1"/>
  <c r="EY29" i="11"/>
  <c r="FA29" i="11" s="1"/>
  <c r="EY28" i="11"/>
  <c r="FA28" i="11" s="1"/>
  <c r="EY27" i="11"/>
  <c r="FA27" i="11" s="1"/>
  <c r="EY26" i="11"/>
  <c r="FA26" i="11" s="1"/>
  <c r="EY21" i="11"/>
  <c r="EY12" i="11"/>
  <c r="EY10" i="11"/>
  <c r="FA10" i="11" s="1"/>
  <c r="EY9" i="11"/>
  <c r="FA9" i="11" s="1"/>
  <c r="EY5" i="11"/>
  <c r="FA5" i="11" s="1"/>
  <c r="EY4" i="11"/>
  <c r="FA4" i="11" s="1"/>
  <c r="FD31" i="11"/>
  <c r="FA31" i="11"/>
  <c r="FD30" i="11"/>
  <c r="FA30" i="11"/>
  <c r="FD29" i="11"/>
  <c r="FD28" i="11"/>
  <c r="FD27" i="11"/>
  <c r="FD26" i="11"/>
  <c r="FD24" i="11"/>
  <c r="FA24" i="11"/>
  <c r="FD23" i="11"/>
  <c r="FA23" i="11"/>
  <c r="FD22" i="11"/>
  <c r="FA22" i="11"/>
  <c r="FD17" i="11"/>
  <c r="FA17" i="11"/>
  <c r="FD16" i="11"/>
  <c r="FA16" i="11"/>
  <c r="FD15" i="11"/>
  <c r="FA15" i="11"/>
  <c r="FD11" i="11"/>
  <c r="FA11" i="11"/>
  <c r="FD10" i="11"/>
  <c r="FD9" i="11"/>
  <c r="FD5" i="11"/>
  <c r="FD4" i="11"/>
  <c r="ET8" i="10"/>
  <c r="EV8" i="10" s="1"/>
  <c r="ET3" i="10"/>
  <c r="EV3" i="10" s="1"/>
  <c r="ER30" i="10"/>
  <c r="ES30" i="10" s="1"/>
  <c r="ER29" i="10"/>
  <c r="ES29" i="10" s="1"/>
  <c r="ER28" i="10"/>
  <c r="ES28" i="10" s="1"/>
  <c r="ER27" i="10"/>
  <c r="ES27" i="10" s="1"/>
  <c r="ER25" i="10"/>
  <c r="ES25" i="10" s="1"/>
  <c r="ER24" i="10"/>
  <c r="ES24" i="10" s="1"/>
  <c r="ER23" i="10"/>
  <c r="ES23" i="10" s="1"/>
  <c r="ER10" i="10"/>
  <c r="ES10" i="10" s="1"/>
  <c r="ER9" i="10"/>
  <c r="ES9" i="10" s="1"/>
  <c r="ER5" i="10"/>
  <c r="ES5" i="10" s="1"/>
  <c r="ER4" i="10"/>
  <c r="ES4" i="10" s="1"/>
  <c r="ER15" i="10"/>
  <c r="EQ26" i="10"/>
  <c r="ES26" i="10" s="1"/>
  <c r="EQ22" i="10"/>
  <c r="EQ15" i="10"/>
  <c r="EQ8" i="10"/>
  <c r="ES8" i="10" s="1"/>
  <c r="EQ3" i="10"/>
  <c r="EV32" i="10"/>
  <c r="ES32" i="10"/>
  <c r="EV31" i="10"/>
  <c r="ES31" i="10"/>
  <c r="EV30" i="10"/>
  <c r="EV29" i="10"/>
  <c r="EV28" i="10"/>
  <c r="EV27" i="10"/>
  <c r="EV26" i="10"/>
  <c r="EV25" i="10"/>
  <c r="EV24" i="10"/>
  <c r="EV23" i="10"/>
  <c r="EV22" i="10"/>
  <c r="EV18" i="10"/>
  <c r="ES18" i="10"/>
  <c r="EV17" i="10"/>
  <c r="ES17" i="10"/>
  <c r="EV16" i="10"/>
  <c r="ES16" i="10"/>
  <c r="EV15" i="10"/>
  <c r="EV12" i="10"/>
  <c r="ES12" i="10"/>
  <c r="EV10" i="10"/>
  <c r="EV9" i="10"/>
  <c r="EV5" i="10"/>
  <c r="EV4" i="10"/>
  <c r="EK22" i="9"/>
  <c r="EK26" i="9"/>
  <c r="EL26" i="9"/>
  <c r="EL22" i="9"/>
  <c r="EI22" i="9"/>
  <c r="EI26" i="9"/>
  <c r="EK3" i="9"/>
  <c r="EK8" i="9"/>
  <c r="EK15" i="9"/>
  <c r="EL15" i="9"/>
  <c r="EL8" i="9"/>
  <c r="EL3" i="9"/>
  <c r="EI3" i="9"/>
  <c r="EI8" i="9"/>
  <c r="EI15" i="9"/>
  <c r="EH26" i="9"/>
  <c r="EH22" i="9"/>
  <c r="EH15" i="9"/>
  <c r="EH8" i="9"/>
  <c r="EH3" i="9"/>
  <c r="EM32" i="9"/>
  <c r="EJ32" i="9"/>
  <c r="EM31" i="9"/>
  <c r="EJ31" i="9"/>
  <c r="EM30" i="9"/>
  <c r="EJ30" i="9"/>
  <c r="EM29" i="9"/>
  <c r="EJ29" i="9"/>
  <c r="EM28" i="9"/>
  <c r="EJ28" i="9"/>
  <c r="EM27" i="9"/>
  <c r="EJ27" i="9"/>
  <c r="EM25" i="9"/>
  <c r="EJ25" i="9"/>
  <c r="EM24" i="9"/>
  <c r="EJ24" i="9"/>
  <c r="EM23" i="9"/>
  <c r="EJ23" i="9"/>
  <c r="EM18" i="9"/>
  <c r="EJ18" i="9"/>
  <c r="EM17" i="9"/>
  <c r="EJ17" i="9"/>
  <c r="EM16" i="9"/>
  <c r="EJ16" i="9"/>
  <c r="EM11" i="9"/>
  <c r="EJ11" i="9"/>
  <c r="EM10" i="9"/>
  <c r="EJ10" i="9"/>
  <c r="EM9" i="9"/>
  <c r="EJ9" i="9"/>
  <c r="EM5" i="9"/>
  <c r="EJ5" i="9"/>
  <c r="EM4" i="9"/>
  <c r="EJ4" i="9"/>
  <c r="EV22" i="8"/>
  <c r="EV26" i="8"/>
  <c r="EW26" i="8"/>
  <c r="EW22" i="8"/>
  <c r="ET22" i="8"/>
  <c r="ET26" i="8"/>
  <c r="EV3" i="8"/>
  <c r="EV8" i="8"/>
  <c r="EV15" i="8"/>
  <c r="EW15" i="8"/>
  <c r="EW8" i="8"/>
  <c r="EW3" i="8"/>
  <c r="ET3" i="8"/>
  <c r="ET8" i="8"/>
  <c r="ET15" i="8"/>
  <c r="ES26" i="8"/>
  <c r="ES22" i="8"/>
  <c r="ES15" i="8"/>
  <c r="ES8" i="8"/>
  <c r="ES3" i="8"/>
  <c r="EX32" i="8"/>
  <c r="EU32" i="8"/>
  <c r="EX31" i="8"/>
  <c r="EU31" i="8"/>
  <c r="EX30" i="8"/>
  <c r="EU30" i="8"/>
  <c r="EX29" i="8"/>
  <c r="EU29" i="8"/>
  <c r="EX28" i="8"/>
  <c r="EU28" i="8"/>
  <c r="EX27" i="8"/>
  <c r="EU27" i="8"/>
  <c r="EX25" i="8"/>
  <c r="EU25" i="8"/>
  <c r="EX24" i="8"/>
  <c r="EU24" i="8"/>
  <c r="EX23" i="8"/>
  <c r="EU23" i="8"/>
  <c r="EX18" i="8"/>
  <c r="EU18" i="8"/>
  <c r="EX17" i="8"/>
  <c r="EU17" i="8"/>
  <c r="EX16" i="8"/>
  <c r="EU16" i="8"/>
  <c r="EX10" i="8"/>
  <c r="EU10" i="8"/>
  <c r="EX11" i="8"/>
  <c r="EU11" i="8"/>
  <c r="EX9" i="8"/>
  <c r="EU9" i="8"/>
  <c r="EX5" i="8"/>
  <c r="EU5" i="8"/>
  <c r="EX4" i="8"/>
  <c r="EU4" i="8"/>
  <c r="EU3" i="7"/>
  <c r="EU8" i="7"/>
  <c r="EU12" i="7"/>
  <c r="EV12" i="7"/>
  <c r="EV8" i="7"/>
  <c r="EV3" i="7"/>
  <c r="ES12" i="7"/>
  <c r="ES3" i="7"/>
  <c r="ES8" i="7"/>
  <c r="EU21" i="7"/>
  <c r="EU25" i="7"/>
  <c r="EV25" i="7"/>
  <c r="EV21" i="7"/>
  <c r="ES21" i="7"/>
  <c r="ES25" i="7"/>
  <c r="ER25" i="7"/>
  <c r="ER21" i="7"/>
  <c r="ER12" i="7"/>
  <c r="ER8" i="7"/>
  <c r="ER3" i="7"/>
  <c r="EW31" i="7"/>
  <c r="ET31" i="7"/>
  <c r="EW30" i="7"/>
  <c r="ET30" i="7"/>
  <c r="EW29" i="7"/>
  <c r="ET29" i="7"/>
  <c r="EW28" i="7"/>
  <c r="ET28" i="7"/>
  <c r="EW27" i="7"/>
  <c r="ET27" i="7"/>
  <c r="EW26" i="7"/>
  <c r="ET26" i="7"/>
  <c r="EW24" i="7"/>
  <c r="ET24" i="7"/>
  <c r="EW23" i="7"/>
  <c r="ET23" i="7"/>
  <c r="EW22" i="7"/>
  <c r="ET22" i="7"/>
  <c r="EW17" i="7"/>
  <c r="ET17" i="7"/>
  <c r="EW16" i="7"/>
  <c r="ET16" i="7"/>
  <c r="EW15" i="7"/>
  <c r="ET15" i="7"/>
  <c r="EW11" i="7"/>
  <c r="ET11" i="7"/>
  <c r="EW10" i="7"/>
  <c r="ET10" i="7"/>
  <c r="EW9" i="7"/>
  <c r="ET9" i="7"/>
  <c r="EW5" i="7"/>
  <c r="ET5" i="7"/>
  <c r="EW4" i="7"/>
  <c r="ET4" i="7"/>
  <c r="EU14" i="6"/>
  <c r="EU7" i="6"/>
  <c r="EU3" i="6"/>
  <c r="ET3" i="6"/>
  <c r="ER3" i="6"/>
  <c r="ET7" i="6"/>
  <c r="ER7" i="6"/>
  <c r="ET14" i="6"/>
  <c r="ER14" i="6"/>
  <c r="ET21" i="6"/>
  <c r="ET25" i="6"/>
  <c r="EU25" i="6"/>
  <c r="EU21" i="6"/>
  <c r="ER21" i="6"/>
  <c r="ER25" i="6"/>
  <c r="EQ25" i="6"/>
  <c r="EQ21" i="6"/>
  <c r="EQ14" i="6"/>
  <c r="EQ7" i="6"/>
  <c r="EQ3" i="6"/>
  <c r="EV31" i="6"/>
  <c r="ES31" i="6"/>
  <c r="EV30" i="6"/>
  <c r="ES30" i="6"/>
  <c r="EV29" i="6"/>
  <c r="ES29" i="6"/>
  <c r="EV28" i="6"/>
  <c r="ES28" i="6"/>
  <c r="EV27" i="6"/>
  <c r="ES27" i="6"/>
  <c r="EV26" i="6"/>
  <c r="ES26" i="6"/>
  <c r="EV24" i="6"/>
  <c r="ES24" i="6"/>
  <c r="EV23" i="6"/>
  <c r="ES23" i="6"/>
  <c r="EV22" i="6"/>
  <c r="ES22" i="6"/>
  <c r="EV17" i="6"/>
  <c r="ES17" i="6"/>
  <c r="EV16" i="6"/>
  <c r="ES16" i="6"/>
  <c r="EV15" i="6"/>
  <c r="ES15" i="6"/>
  <c r="EV11" i="6"/>
  <c r="ES11" i="6"/>
  <c r="EV9" i="6"/>
  <c r="ES9" i="6"/>
  <c r="EV8" i="6"/>
  <c r="ES8" i="6"/>
  <c r="EV5" i="6"/>
  <c r="ES5" i="6"/>
  <c r="EV4" i="6"/>
  <c r="ES4" i="6"/>
  <c r="EW26" i="17"/>
  <c r="EW22" i="17"/>
  <c r="EW8" i="17"/>
  <c r="EW3" i="17"/>
  <c r="ES3" i="17"/>
  <c r="EV3" i="17"/>
  <c r="EV8" i="17"/>
  <c r="ET8" i="17"/>
  <c r="ES8" i="17"/>
  <c r="EV22" i="17"/>
  <c r="EV26" i="17"/>
  <c r="ET22" i="17"/>
  <c r="ET26" i="17"/>
  <c r="ES26" i="17"/>
  <c r="ES22" i="17"/>
  <c r="EX32" i="17"/>
  <c r="EU32" i="17"/>
  <c r="EX31" i="17"/>
  <c r="EU31" i="17"/>
  <c r="EX30" i="17"/>
  <c r="EU30" i="17"/>
  <c r="EX29" i="17"/>
  <c r="EU29" i="17"/>
  <c r="EX28" i="17"/>
  <c r="EU28" i="17"/>
  <c r="EX27" i="17"/>
  <c r="EU27" i="17"/>
  <c r="EX25" i="17"/>
  <c r="EU25" i="17"/>
  <c r="EX24" i="17"/>
  <c r="EU24" i="17"/>
  <c r="EX23" i="17"/>
  <c r="EU23" i="17"/>
  <c r="EX18" i="17"/>
  <c r="EU18" i="17"/>
  <c r="EX17" i="17"/>
  <c r="EU17" i="17"/>
  <c r="EX16" i="17"/>
  <c r="EU16" i="17"/>
  <c r="EX11" i="17"/>
  <c r="EU11" i="17"/>
  <c r="EX10" i="17"/>
  <c r="EU10" i="17"/>
  <c r="EX9" i="17"/>
  <c r="EU9" i="17"/>
  <c r="EX5" i="17"/>
  <c r="EU5" i="17"/>
  <c r="EX4" i="17"/>
  <c r="EU4" i="17"/>
  <c r="ET3" i="17"/>
  <c r="EX8" i="16"/>
  <c r="EZ8" i="16" s="1"/>
  <c r="EX15" i="16"/>
  <c r="EX3" i="16"/>
  <c r="EU15" i="16"/>
  <c r="EY15" i="16"/>
  <c r="EY3" i="16"/>
  <c r="EV15" i="16"/>
  <c r="EV3" i="16"/>
  <c r="EY26" i="16"/>
  <c r="EZ26" i="16" s="1"/>
  <c r="EY22" i="16"/>
  <c r="EZ22" i="16" s="1"/>
  <c r="EU26" i="16"/>
  <c r="EU25" i="16"/>
  <c r="EW25" i="16" s="1"/>
  <c r="EU24" i="16"/>
  <c r="EW24" i="16" s="1"/>
  <c r="EU23" i="16"/>
  <c r="EU10" i="16"/>
  <c r="EW10" i="16" s="1"/>
  <c r="EU9" i="16"/>
  <c r="EU3" i="16"/>
  <c r="EZ32" i="16"/>
  <c r="EW32" i="16"/>
  <c r="EZ31" i="16"/>
  <c r="EW31" i="16"/>
  <c r="EZ30" i="16"/>
  <c r="EW30" i="16"/>
  <c r="EZ29" i="16"/>
  <c r="EW29" i="16"/>
  <c r="EZ28" i="16"/>
  <c r="EW28" i="16"/>
  <c r="EZ27" i="16"/>
  <c r="EW27" i="16"/>
  <c r="EV26" i="16"/>
  <c r="EZ25" i="16"/>
  <c r="EZ24" i="16"/>
  <c r="EZ23" i="16"/>
  <c r="EV22" i="16"/>
  <c r="EZ18" i="16"/>
  <c r="EW18" i="16"/>
  <c r="EZ17" i="16"/>
  <c r="EW17" i="16"/>
  <c r="EZ16" i="16"/>
  <c r="EW16" i="16"/>
  <c r="EZ12" i="16"/>
  <c r="EW12" i="16"/>
  <c r="EZ10" i="16"/>
  <c r="EZ9" i="16"/>
  <c r="EZ5" i="16"/>
  <c r="EW5" i="16"/>
  <c r="EZ4" i="16"/>
  <c r="EW4" i="16"/>
  <c r="ER3" i="15"/>
  <c r="ES3" i="15" s="1"/>
  <c r="EO3" i="15"/>
  <c r="ER10" i="15"/>
  <c r="ES10" i="15" s="1"/>
  <c r="ER9" i="15"/>
  <c r="ES9" i="15" s="1"/>
  <c r="EO10" i="15"/>
  <c r="EP10" i="15" s="1"/>
  <c r="EO9" i="15"/>
  <c r="EP9" i="15" s="1"/>
  <c r="ER26" i="15"/>
  <c r="ES26" i="15" s="1"/>
  <c r="EO26" i="15"/>
  <c r="EQ15" i="15"/>
  <c r="ER15" i="15"/>
  <c r="EO15" i="15"/>
  <c r="EQ25" i="15"/>
  <c r="EQ24" i="15"/>
  <c r="EQ23" i="15"/>
  <c r="ER25" i="15"/>
  <c r="ER24" i="15"/>
  <c r="ER23" i="15"/>
  <c r="EO25" i="15"/>
  <c r="EP25" i="15" s="1"/>
  <c r="EO24" i="15"/>
  <c r="EP24" i="15" s="1"/>
  <c r="EO23" i="15"/>
  <c r="EP23" i="15" s="1"/>
  <c r="EN26" i="15"/>
  <c r="EN22" i="15"/>
  <c r="EN15" i="15"/>
  <c r="EN8" i="15"/>
  <c r="EN3" i="15"/>
  <c r="ES32" i="15"/>
  <c r="EP32" i="15"/>
  <c r="ES31" i="15"/>
  <c r="EP31" i="15"/>
  <c r="ES30" i="15"/>
  <c r="EP30" i="15"/>
  <c r="ES29" i="15"/>
  <c r="EP29" i="15"/>
  <c r="ES28" i="15"/>
  <c r="EP28" i="15"/>
  <c r="ES27" i="15"/>
  <c r="EP27" i="15"/>
  <c r="ES18" i="15"/>
  <c r="EP18" i="15"/>
  <c r="ES17" i="15"/>
  <c r="EP17" i="15"/>
  <c r="ES16" i="15"/>
  <c r="EP16" i="15"/>
  <c r="ES12" i="15"/>
  <c r="EP12" i="15"/>
  <c r="ES5" i="15"/>
  <c r="EP5" i="15"/>
  <c r="ES4" i="15"/>
  <c r="EP4" i="15"/>
  <c r="FC3" i="14"/>
  <c r="FC8" i="14"/>
  <c r="FC15" i="14"/>
  <c r="FD15" i="14"/>
  <c r="FD8" i="14"/>
  <c r="FD3" i="14"/>
  <c r="FA3" i="14"/>
  <c r="FB3" i="14" s="1"/>
  <c r="FA8" i="14"/>
  <c r="FB8" i="14" s="1"/>
  <c r="FA15" i="14"/>
  <c r="FB15" i="14" s="1"/>
  <c r="FC22" i="14"/>
  <c r="FC26" i="14"/>
  <c r="FD26" i="14"/>
  <c r="FD22" i="14"/>
  <c r="FA22" i="14"/>
  <c r="FB22" i="14" s="1"/>
  <c r="FA26" i="14"/>
  <c r="FB26" i="14" s="1"/>
  <c r="FE32" i="14"/>
  <c r="FB32" i="14"/>
  <c r="FE31" i="14"/>
  <c r="FB31" i="14"/>
  <c r="FE30" i="14"/>
  <c r="FB30" i="14"/>
  <c r="FE29" i="14"/>
  <c r="FB29" i="14"/>
  <c r="FE28" i="14"/>
  <c r="FB28" i="14"/>
  <c r="FE27" i="14"/>
  <c r="FB27" i="14"/>
  <c r="FE25" i="14"/>
  <c r="FB25" i="14"/>
  <c r="FE24" i="14"/>
  <c r="FB24" i="14"/>
  <c r="FE23" i="14"/>
  <c r="FB23" i="14"/>
  <c r="FE18" i="14"/>
  <c r="FB18" i="14"/>
  <c r="FE17" i="14"/>
  <c r="FB17" i="14"/>
  <c r="FE16" i="14"/>
  <c r="FB16" i="14"/>
  <c r="FE11" i="14"/>
  <c r="FB11" i="14"/>
  <c r="FE10" i="14"/>
  <c r="FB10" i="14"/>
  <c r="FE9" i="14"/>
  <c r="FB9" i="14"/>
  <c r="FE5" i="14"/>
  <c r="FB5" i="14"/>
  <c r="FE4" i="14"/>
  <c r="FB4" i="14"/>
  <c r="FH32" i="13"/>
  <c r="FE32" i="13"/>
  <c r="FH31" i="13"/>
  <c r="FE31" i="13"/>
  <c r="FH30" i="13"/>
  <c r="FE30" i="13"/>
  <c r="FH29" i="13"/>
  <c r="FE29" i="13"/>
  <c r="FH28" i="13"/>
  <c r="FE28" i="13"/>
  <c r="FH27" i="13"/>
  <c r="FE27" i="13"/>
  <c r="FH26" i="13"/>
  <c r="FE26" i="13"/>
  <c r="FH25" i="13"/>
  <c r="FE25" i="13"/>
  <c r="FH24" i="13"/>
  <c r="FE24" i="13"/>
  <c r="FH23" i="13"/>
  <c r="FE23" i="13"/>
  <c r="FH22" i="13"/>
  <c r="FE22" i="13"/>
  <c r="FH18" i="13"/>
  <c r="FE18" i="13"/>
  <c r="FH17" i="13"/>
  <c r="FE17" i="13"/>
  <c r="FH16" i="13"/>
  <c r="FE16" i="13"/>
  <c r="FH15" i="13"/>
  <c r="FE15" i="13"/>
  <c r="FH11" i="13"/>
  <c r="FE11" i="13"/>
  <c r="FH10" i="13"/>
  <c r="FE10" i="13"/>
  <c r="FH9" i="13"/>
  <c r="FE9" i="13"/>
  <c r="FH8" i="13"/>
  <c r="FE8" i="13"/>
  <c r="FH5" i="13"/>
  <c r="FE5" i="13"/>
  <c r="FH4" i="13"/>
  <c r="FE4" i="13"/>
  <c r="FH3" i="13"/>
  <c r="FE3" i="13"/>
  <c r="FA32" i="12"/>
  <c r="EX32" i="12"/>
  <c r="FA31" i="12"/>
  <c r="EX31" i="12"/>
  <c r="FA30" i="12"/>
  <c r="EX30" i="12"/>
  <c r="FA29" i="12"/>
  <c r="EX29" i="12"/>
  <c r="FA28" i="12"/>
  <c r="EX28" i="12"/>
  <c r="FA27" i="12"/>
  <c r="EX27" i="12"/>
  <c r="FA26" i="12"/>
  <c r="EX26" i="12"/>
  <c r="FA25" i="12"/>
  <c r="EX25" i="12"/>
  <c r="FA24" i="12"/>
  <c r="EX24" i="12"/>
  <c r="FA23" i="12"/>
  <c r="EX23" i="12"/>
  <c r="FA22" i="12"/>
  <c r="EX22" i="12"/>
  <c r="FA18" i="12"/>
  <c r="EX18" i="12"/>
  <c r="FA17" i="12"/>
  <c r="EX17" i="12"/>
  <c r="FA16" i="12"/>
  <c r="EX16" i="12"/>
  <c r="FA15" i="12"/>
  <c r="EX15" i="12"/>
  <c r="FA11" i="12"/>
  <c r="EX11" i="12"/>
  <c r="FA10" i="12"/>
  <c r="EX10" i="12"/>
  <c r="FA9" i="12"/>
  <c r="EX9" i="12"/>
  <c r="FA8" i="12"/>
  <c r="EX8" i="12"/>
  <c r="FA5" i="12"/>
  <c r="EX5" i="12"/>
  <c r="FA4" i="12"/>
  <c r="EX4" i="12"/>
  <c r="FA3" i="12"/>
  <c r="EX3" i="12"/>
  <c r="FM31" i="11"/>
  <c r="FJ31" i="11"/>
  <c r="FM30" i="11"/>
  <c r="FJ30" i="11"/>
  <c r="FM29" i="11"/>
  <c r="FJ29" i="11"/>
  <c r="FM28" i="11"/>
  <c r="FJ28" i="11"/>
  <c r="FM27" i="11"/>
  <c r="FJ27" i="11"/>
  <c r="FM26" i="11"/>
  <c r="FJ26" i="11"/>
  <c r="FM25" i="11"/>
  <c r="FJ25" i="11"/>
  <c r="FM24" i="11"/>
  <c r="FJ24" i="11"/>
  <c r="FM23" i="11"/>
  <c r="FJ23" i="11"/>
  <c r="FM22" i="11"/>
  <c r="FJ22" i="11"/>
  <c r="FM21" i="11"/>
  <c r="FJ21" i="11"/>
  <c r="FM17" i="11"/>
  <c r="FJ17" i="11"/>
  <c r="FM16" i="11"/>
  <c r="FJ16" i="11"/>
  <c r="FM15" i="11"/>
  <c r="FJ15" i="11"/>
  <c r="FM12" i="11"/>
  <c r="FJ12" i="11"/>
  <c r="FM11" i="11"/>
  <c r="FJ11" i="11"/>
  <c r="FM10" i="11"/>
  <c r="FJ10" i="11"/>
  <c r="FM9" i="11"/>
  <c r="FJ9" i="11"/>
  <c r="FM8" i="11"/>
  <c r="FJ8" i="11"/>
  <c r="FM5" i="11"/>
  <c r="FJ5" i="11"/>
  <c r="FM4" i="11"/>
  <c r="FJ4" i="11"/>
  <c r="FM3" i="11"/>
  <c r="FJ3" i="11"/>
  <c r="EZ26" i="10"/>
  <c r="FB26" i="10" s="1"/>
  <c r="EZ22" i="10"/>
  <c r="FB22" i="10" s="1"/>
  <c r="EZ15" i="10"/>
  <c r="FB15" i="10" s="1"/>
  <c r="EZ8" i="10"/>
  <c r="FB8" i="10" s="1"/>
  <c r="EZ3" i="10"/>
  <c r="FB3" i="10" s="1"/>
  <c r="FE32" i="10"/>
  <c r="FB32" i="10"/>
  <c r="FE31" i="10"/>
  <c r="FB31" i="10"/>
  <c r="FE30" i="10"/>
  <c r="FB30" i="10"/>
  <c r="FE29" i="10"/>
  <c r="FB29" i="10"/>
  <c r="FE28" i="10"/>
  <c r="FB28" i="10"/>
  <c r="FE27" i="10"/>
  <c r="FB27" i="10"/>
  <c r="FE26" i="10"/>
  <c r="FE25" i="10"/>
  <c r="FB25" i="10"/>
  <c r="FE24" i="10"/>
  <c r="FB24" i="10"/>
  <c r="FE23" i="10"/>
  <c r="FB23" i="10"/>
  <c r="FE22" i="10"/>
  <c r="FE18" i="10"/>
  <c r="FB18" i="10"/>
  <c r="FE17" i="10"/>
  <c r="FB17" i="10"/>
  <c r="FE16" i="10"/>
  <c r="FB16" i="10"/>
  <c r="FE15" i="10"/>
  <c r="FE12" i="10"/>
  <c r="FB12" i="10"/>
  <c r="FE10" i="10"/>
  <c r="FB10" i="10"/>
  <c r="FE9" i="10"/>
  <c r="FB9" i="10"/>
  <c r="FE8" i="10"/>
  <c r="FE5" i="10"/>
  <c r="FB5" i="10"/>
  <c r="FE4" i="10"/>
  <c r="FB4" i="10"/>
  <c r="FE3" i="10"/>
  <c r="EV23" i="9"/>
  <c r="EV24" i="9"/>
  <c r="EV25" i="9"/>
  <c r="ES23" i="9"/>
  <c r="ES24" i="9"/>
  <c r="ES25" i="9"/>
  <c r="EU22" i="9"/>
  <c r="EV22" i="9" s="1"/>
  <c r="EQ22" i="9"/>
  <c r="ER22" i="9"/>
  <c r="EV27" i="9"/>
  <c r="EV28" i="9"/>
  <c r="EV29" i="9"/>
  <c r="EV30" i="9"/>
  <c r="EU26" i="9"/>
  <c r="EV26" i="9" s="1"/>
  <c r="ES27" i="9"/>
  <c r="ES28" i="9"/>
  <c r="ES29" i="9"/>
  <c r="ES30" i="9"/>
  <c r="ER26" i="9"/>
  <c r="EQ26" i="9"/>
  <c r="EV32" i="9"/>
  <c r="ES32" i="9"/>
  <c r="EV16" i="9"/>
  <c r="EV17" i="9"/>
  <c r="EV18" i="9"/>
  <c r="EU15" i="9"/>
  <c r="EV15" i="9" s="1"/>
  <c r="ES16" i="9"/>
  <c r="ES17" i="9"/>
  <c r="ES18" i="9"/>
  <c r="ER15" i="9"/>
  <c r="EQ15" i="9"/>
  <c r="EV9" i="9"/>
  <c r="EV10" i="9"/>
  <c r="EV11" i="9"/>
  <c r="EU8" i="9"/>
  <c r="ET8" i="9"/>
  <c r="ES9" i="9"/>
  <c r="ES10" i="9"/>
  <c r="ES11" i="9"/>
  <c r="ER8" i="9"/>
  <c r="EQ8" i="9"/>
  <c r="EV4" i="9"/>
  <c r="EV5" i="9"/>
  <c r="ES4" i="9"/>
  <c r="ES5" i="9"/>
  <c r="ER3" i="9"/>
  <c r="ET3" i="9"/>
  <c r="EU3" i="9"/>
  <c r="EQ3" i="9"/>
  <c r="EV31" i="9"/>
  <c r="ES31" i="9"/>
  <c r="FF16" i="8"/>
  <c r="FC16" i="8"/>
  <c r="FF15" i="8"/>
  <c r="FC15" i="8"/>
  <c r="FF10" i="8"/>
  <c r="FC10" i="8"/>
  <c r="FF5" i="8"/>
  <c r="FC5" i="8"/>
  <c r="FF4" i="8"/>
  <c r="FC4" i="8"/>
  <c r="FF3" i="8"/>
  <c r="FC3" i="8"/>
  <c r="FK3" i="8"/>
  <c r="FN3" i="8"/>
  <c r="FK4" i="8"/>
  <c r="FN4" i="8"/>
  <c r="FK5" i="8"/>
  <c r="FN5" i="8"/>
  <c r="FK10" i="8"/>
  <c r="FN10" i="8"/>
  <c r="FK15" i="8"/>
  <c r="FN15" i="8"/>
  <c r="FK16" i="8"/>
  <c r="FN16" i="8"/>
  <c r="FE15" i="7"/>
  <c r="FB15" i="7"/>
  <c r="FE12" i="7"/>
  <c r="FB12" i="7"/>
  <c r="FE11" i="7"/>
  <c r="FB11" i="7"/>
  <c r="FE5" i="7"/>
  <c r="FB5" i="7"/>
  <c r="FE4" i="7"/>
  <c r="FB4" i="7"/>
  <c r="FE3" i="7"/>
  <c r="FB3" i="7"/>
  <c r="FD16" i="6"/>
  <c r="FA16" i="6"/>
  <c r="FD17" i="6"/>
  <c r="FA17" i="6"/>
  <c r="FD15" i="6"/>
  <c r="FA15" i="6"/>
  <c r="FD8" i="6"/>
  <c r="FA8" i="6"/>
  <c r="FD7" i="6"/>
  <c r="FA7" i="6"/>
  <c r="FD5" i="6"/>
  <c r="FA5" i="6"/>
  <c r="FC3" i="17"/>
  <c r="FE3" i="17"/>
  <c r="FF3" i="17" s="1"/>
  <c r="FK3" i="17"/>
  <c r="FN3" i="17"/>
  <c r="FC4" i="17"/>
  <c r="FF4" i="17"/>
  <c r="FK4" i="17"/>
  <c r="FN4" i="17"/>
  <c r="FC5" i="17"/>
  <c r="FE5" i="17"/>
  <c r="FF5" i="17" s="1"/>
  <c r="FK5" i="17"/>
  <c r="FN5" i="17"/>
  <c r="FC11" i="17"/>
  <c r="FF11" i="17"/>
  <c r="FK11" i="17"/>
  <c r="FN11" i="17"/>
  <c r="FC16" i="17"/>
  <c r="FE16" i="17"/>
  <c r="FF16" i="17" s="1"/>
  <c r="FK16" i="17"/>
  <c r="FN16" i="17"/>
  <c r="FF15" i="16"/>
  <c r="FG15" i="16" s="1"/>
  <c r="FF16" i="16"/>
  <c r="FG16" i="16" s="1"/>
  <c r="FF12" i="16"/>
  <c r="FG12" i="16" s="1"/>
  <c r="FD15" i="16"/>
  <c r="FD16" i="16"/>
  <c r="FD12" i="16"/>
  <c r="FF4" i="16"/>
  <c r="FG4" i="16" s="1"/>
  <c r="FF5" i="16"/>
  <c r="FG5" i="16" s="1"/>
  <c r="FF3" i="16"/>
  <c r="FG3" i="16" s="1"/>
  <c r="FD4" i="16"/>
  <c r="FD5" i="16"/>
  <c r="FD3" i="16"/>
  <c r="FL3" i="16"/>
  <c r="FO3" i="16"/>
  <c r="FL4" i="16"/>
  <c r="FO4" i="16"/>
  <c r="FL5" i="16"/>
  <c r="FO5" i="16"/>
  <c r="FL12" i="16"/>
  <c r="FO12" i="16"/>
  <c r="FL15" i="16"/>
  <c r="FO15" i="16"/>
  <c r="FL16" i="16"/>
  <c r="FO16" i="16"/>
  <c r="FI16" i="15"/>
  <c r="FF16" i="15"/>
  <c r="FA16" i="15"/>
  <c r="EX16" i="15"/>
  <c r="FI15" i="15"/>
  <c r="FF15" i="15"/>
  <c r="FA15" i="15"/>
  <c r="EX15" i="15"/>
  <c r="FI12" i="15"/>
  <c r="FF12" i="15"/>
  <c r="FA12" i="15"/>
  <c r="EX12" i="15"/>
  <c r="FI5" i="15"/>
  <c r="FF5" i="15"/>
  <c r="FA5" i="15"/>
  <c r="EX5" i="15"/>
  <c r="FI4" i="15"/>
  <c r="FF4" i="15"/>
  <c r="FA4" i="15"/>
  <c r="EX4" i="15"/>
  <c r="FI3" i="15"/>
  <c r="FF3" i="15"/>
  <c r="FA3" i="15"/>
  <c r="EX3" i="15"/>
  <c r="FU16" i="14"/>
  <c r="FR16" i="14"/>
  <c r="FM16" i="14"/>
  <c r="FJ16" i="14"/>
  <c r="FU15" i="14"/>
  <c r="FR15" i="14"/>
  <c r="FM15" i="14"/>
  <c r="FJ15" i="14"/>
  <c r="FU11" i="14"/>
  <c r="FR11" i="14"/>
  <c r="FM11" i="14"/>
  <c r="FJ11" i="14"/>
  <c r="FU5" i="14"/>
  <c r="FR5" i="14"/>
  <c r="FM5" i="14"/>
  <c r="FJ5" i="14"/>
  <c r="FU4" i="14"/>
  <c r="FR4" i="14"/>
  <c r="FM4" i="14"/>
  <c r="FJ4" i="14"/>
  <c r="FU3" i="14"/>
  <c r="FR3" i="14"/>
  <c r="FM3" i="14"/>
  <c r="FJ3" i="14"/>
  <c r="FX16" i="13"/>
  <c r="FU16" i="13"/>
  <c r="FP16" i="13"/>
  <c r="FM16" i="13"/>
  <c r="FX15" i="13"/>
  <c r="FU15" i="13"/>
  <c r="FP15" i="13"/>
  <c r="FM15" i="13"/>
  <c r="FX11" i="13"/>
  <c r="FU11" i="13"/>
  <c r="FP11" i="13"/>
  <c r="FM11" i="13"/>
  <c r="FX5" i="13"/>
  <c r="FU5" i="13"/>
  <c r="FP5" i="13"/>
  <c r="FM5" i="13"/>
  <c r="FX4" i="13"/>
  <c r="FU4" i="13"/>
  <c r="FP4" i="13"/>
  <c r="FM4" i="13"/>
  <c r="FX3" i="13"/>
  <c r="FU3" i="13"/>
  <c r="FP3" i="13"/>
  <c r="FM3" i="13"/>
  <c r="FQ4" i="12"/>
  <c r="FQ5" i="12"/>
  <c r="FQ3" i="12"/>
  <c r="FQ16" i="12"/>
  <c r="FN16" i="12"/>
  <c r="FI16" i="12"/>
  <c r="FF16" i="12"/>
  <c r="FQ15" i="12"/>
  <c r="FN15" i="12"/>
  <c r="FI15" i="12"/>
  <c r="FF15" i="12"/>
  <c r="FQ11" i="12"/>
  <c r="FN11" i="12"/>
  <c r="FI11" i="12"/>
  <c r="FF11" i="12"/>
  <c r="FN5" i="12"/>
  <c r="FI5" i="12"/>
  <c r="FF5" i="12"/>
  <c r="FN4" i="12"/>
  <c r="FI4" i="12"/>
  <c r="FF4" i="12"/>
  <c r="FN3" i="12"/>
  <c r="FI3" i="12"/>
  <c r="FF3" i="12"/>
  <c r="FZ5" i="11"/>
  <c r="GC15" i="11"/>
  <c r="FZ15" i="11"/>
  <c r="FU15" i="11"/>
  <c r="FR15" i="11"/>
  <c r="GC12" i="11"/>
  <c r="FZ12" i="11"/>
  <c r="FU12" i="11"/>
  <c r="FR12" i="11"/>
  <c r="GC11" i="11"/>
  <c r="FZ11" i="11"/>
  <c r="FU11" i="11"/>
  <c r="FR11" i="11"/>
  <c r="FU5" i="11"/>
  <c r="FR5" i="11"/>
  <c r="GC4" i="11"/>
  <c r="FZ4" i="11"/>
  <c r="FU4" i="11"/>
  <c r="FR4" i="11"/>
  <c r="FZ3" i="11"/>
  <c r="FU3" i="11"/>
  <c r="FR3" i="11"/>
  <c r="FU16" i="10"/>
  <c r="FR16" i="10"/>
  <c r="FU15" i="10"/>
  <c r="FR15" i="10"/>
  <c r="FU12" i="10"/>
  <c r="FR12" i="10"/>
  <c r="FU5" i="10"/>
  <c r="FR5" i="10"/>
  <c r="FU4" i="10"/>
  <c r="FR4" i="10"/>
  <c r="FU3" i="10"/>
  <c r="FR3" i="10"/>
  <c r="FM16" i="10"/>
  <c r="FJ16" i="10"/>
  <c r="FM15" i="10"/>
  <c r="FJ15" i="10"/>
  <c r="FM12" i="10"/>
  <c r="FJ12" i="10"/>
  <c r="FM5" i="10"/>
  <c r="FJ5" i="10"/>
  <c r="FM4" i="10"/>
  <c r="FJ4" i="10"/>
  <c r="FM3" i="10"/>
  <c r="FJ3" i="10"/>
  <c r="FE31" i="9"/>
  <c r="FB31" i="9"/>
  <c r="FE26" i="9"/>
  <c r="FB26" i="9"/>
  <c r="FE22" i="9"/>
  <c r="FB22" i="9"/>
  <c r="FE15" i="9"/>
  <c r="FB15" i="9"/>
  <c r="FE8" i="9"/>
  <c r="FB8" i="9"/>
  <c r="FE3" i="9"/>
  <c r="FB3" i="9"/>
  <c r="FM15" i="7"/>
  <c r="FJ15" i="7"/>
  <c r="FM12" i="7"/>
  <c r="FJ12" i="7"/>
  <c r="FM11" i="7"/>
  <c r="FJ11" i="7"/>
  <c r="FM5" i="7"/>
  <c r="FJ5" i="7"/>
  <c r="FM4" i="7"/>
  <c r="FJ4" i="7"/>
  <c r="FM3" i="7"/>
  <c r="FJ3" i="7"/>
  <c r="FL17" i="6"/>
  <c r="FI17" i="6"/>
  <c r="FL16" i="6"/>
  <c r="FI16" i="6"/>
  <c r="FL15" i="6"/>
  <c r="FI15" i="6"/>
  <c r="FL8" i="6"/>
  <c r="FI8" i="6"/>
  <c r="FL7" i="6"/>
  <c r="FI7" i="6"/>
  <c r="FL5" i="6"/>
  <c r="FI5" i="6"/>
  <c r="FT17" i="6"/>
  <c r="FQ17" i="6"/>
  <c r="FT16" i="6"/>
  <c r="FQ16" i="6"/>
  <c r="FT15" i="6"/>
  <c r="FQ15" i="6"/>
  <c r="FT8" i="6"/>
  <c r="FQ8" i="6"/>
  <c r="FT7" i="6"/>
  <c r="FQ7" i="6"/>
  <c r="FT5" i="6"/>
  <c r="FQ5" i="6"/>
  <c r="EN22" i="7"/>
  <c r="DI30" i="9"/>
  <c r="DL5" i="6"/>
  <c r="DM22" i="7"/>
  <c r="DC9" i="14"/>
  <c r="CU27" i="7"/>
  <c r="CS29" i="8"/>
  <c r="CS26" i="8"/>
  <c r="CV29" i="8"/>
  <c r="DL26" i="6"/>
  <c r="CT23" i="6"/>
  <c r="CU12" i="7"/>
  <c r="CQ23" i="6"/>
  <c r="CU28" i="7"/>
  <c r="CU29" i="7"/>
  <c r="CV22" i="8" l="1"/>
  <c r="CQ7" i="6"/>
  <c r="DO26" i="13"/>
  <c r="CY12" i="11"/>
  <c r="CV8" i="12"/>
  <c r="CZ8" i="10"/>
  <c r="ED8" i="13"/>
  <c r="CW26" i="15"/>
  <c r="DJ3" i="7"/>
  <c r="CS3" i="8"/>
  <c r="DT22" i="17"/>
  <c r="ES3" i="9"/>
  <c r="EC8" i="8"/>
  <c r="DT8" i="8"/>
  <c r="CW22" i="15"/>
  <c r="CS26" i="9"/>
  <c r="DW3" i="12"/>
  <c r="EI3" i="11"/>
  <c r="FD8" i="11"/>
  <c r="CY21" i="11"/>
  <c r="DI8" i="10"/>
  <c r="DB26" i="8"/>
  <c r="CS15" i="8"/>
  <c r="DB3" i="17"/>
  <c r="EL3" i="17"/>
  <c r="DL15" i="14"/>
  <c r="EL8" i="8"/>
  <c r="DO26" i="15"/>
  <c r="DL22" i="14"/>
  <c r="DF26" i="15"/>
  <c r="DI22" i="14"/>
  <c r="CZ22" i="14"/>
  <c r="CN15" i="15"/>
  <c r="EK12" i="7"/>
  <c r="EN22" i="16"/>
  <c r="EM8" i="13"/>
  <c r="DX3" i="16"/>
  <c r="DY3" i="16" s="1"/>
  <c r="DU15" i="13"/>
  <c r="DE8" i="12"/>
  <c r="DE3" i="12"/>
  <c r="DQ3" i="12"/>
  <c r="DQ3" i="11"/>
  <c r="DI3" i="10"/>
  <c r="DI15" i="10"/>
  <c r="CZ15" i="10"/>
  <c r="DR8" i="9"/>
  <c r="CZ15" i="9"/>
  <c r="DC3" i="9"/>
  <c r="CP22" i="9"/>
  <c r="DT3" i="8"/>
  <c r="DB15" i="8"/>
  <c r="EX8" i="8"/>
  <c r="EU3" i="8"/>
  <c r="EL22" i="8"/>
  <c r="DJ12" i="7"/>
  <c r="EW21" i="7"/>
  <c r="EW8" i="7"/>
  <c r="DM3" i="7"/>
  <c r="DA8" i="7"/>
  <c r="CZ3" i="10"/>
  <c r="EA22" i="9"/>
  <c r="EJ8" i="14"/>
  <c r="DR26" i="8"/>
  <c r="DT26" i="8" s="1"/>
  <c r="DR26" i="14"/>
  <c r="DL8" i="10"/>
  <c r="DQ12" i="11"/>
  <c r="DI26" i="14"/>
  <c r="DA3" i="7"/>
  <c r="DC3" i="13"/>
  <c r="CZ3" i="14"/>
  <c r="CZ26" i="14"/>
  <c r="DL23" i="6"/>
  <c r="EJ21" i="6"/>
  <c r="DK25" i="6"/>
  <c r="EV14" i="6"/>
  <c r="DI14" i="6"/>
  <c r="DC14" i="6"/>
  <c r="DK21" i="6"/>
  <c r="EG8" i="15"/>
  <c r="DF3" i="15"/>
  <c r="ER22" i="15"/>
  <c r="ES25" i="15"/>
  <c r="DF15" i="15"/>
  <c r="CZ3" i="15"/>
  <c r="EU22" i="8"/>
  <c r="DY4" i="16"/>
  <c r="CQ3" i="10"/>
  <c r="CY25" i="11"/>
  <c r="CT8" i="13"/>
  <c r="FE22" i="14"/>
  <c r="EZ3" i="16"/>
  <c r="EU26" i="8"/>
  <c r="DZ21" i="11"/>
  <c r="DJ21" i="6"/>
  <c r="DL28" i="6"/>
  <c r="CV3" i="12"/>
  <c r="EI3" i="12"/>
  <c r="CQ22" i="10"/>
  <c r="EA15" i="10"/>
  <c r="DR15" i="10"/>
  <c r="ES15" i="10"/>
  <c r="ER3" i="10"/>
  <c r="ES3" i="10" s="1"/>
  <c r="DT27" i="8"/>
  <c r="DR22" i="9"/>
  <c r="DT15" i="8"/>
  <c r="DZ12" i="11"/>
  <c r="DL8" i="14"/>
  <c r="CS8" i="9"/>
  <c r="CS15" i="9"/>
  <c r="EQ22" i="15"/>
  <c r="EW12" i="7"/>
  <c r="EV8" i="13"/>
  <c r="EI26" i="10"/>
  <c r="EJ26" i="10" s="1"/>
  <c r="EF22" i="12"/>
  <c r="EA15" i="14"/>
  <c r="CW15" i="15"/>
  <c r="DB22" i="17"/>
  <c r="DE3" i="17"/>
  <c r="CZ25" i="6"/>
  <c r="CZ14" i="6"/>
  <c r="DC7" i="6"/>
  <c r="CS8" i="8"/>
  <c r="CZ8" i="9"/>
  <c r="CZ3" i="9"/>
  <c r="CS3" i="9"/>
  <c r="EB22" i="13"/>
  <c r="ED22" i="13" s="1"/>
  <c r="DV22" i="12"/>
  <c r="DW22" i="12" s="1"/>
  <c r="ES24" i="15"/>
  <c r="ER8" i="15"/>
  <c r="ES8" i="15" s="1"/>
  <c r="EX22" i="8"/>
  <c r="EJ15" i="9"/>
  <c r="EM15" i="9"/>
  <c r="EO3" i="12"/>
  <c r="DR3" i="9"/>
  <c r="DW22" i="8"/>
  <c r="DR26" i="10"/>
  <c r="EU26" i="17"/>
  <c r="EC22" i="17"/>
  <c r="DE8" i="17"/>
  <c r="EU3" i="17"/>
  <c r="EU22" i="16"/>
  <c r="EW22" i="16" s="1"/>
  <c r="CU8" i="16"/>
  <c r="DU22" i="16"/>
  <c r="DV22" i="16" s="1"/>
  <c r="DD15" i="16"/>
  <c r="EC26" i="10"/>
  <c r="ED26" i="10" s="1"/>
  <c r="EX26" i="8"/>
  <c r="EK3" i="7"/>
  <c r="ER3" i="11"/>
  <c r="EI8" i="12"/>
  <c r="EM22" i="13"/>
  <c r="EP8" i="13"/>
  <c r="EJ26" i="14"/>
  <c r="DX8" i="15"/>
  <c r="DY26" i="12"/>
  <c r="DZ26" i="12" s="1"/>
  <c r="DR8" i="14"/>
  <c r="DL7" i="6"/>
  <c r="DB22" i="8"/>
  <c r="DC8" i="13"/>
  <c r="CZ15" i="14"/>
  <c r="CN8" i="15"/>
  <c r="CN3" i="15"/>
  <c r="DD22" i="16"/>
  <c r="CZ7" i="6"/>
  <c r="CP28" i="6"/>
  <c r="CQ28" i="6" s="1"/>
  <c r="CT7" i="6"/>
  <c r="CZ26" i="9"/>
  <c r="DB8" i="17"/>
  <c r="DH25" i="6"/>
  <c r="DI25" i="6" s="1"/>
  <c r="EM8" i="9"/>
  <c r="EC3" i="17"/>
  <c r="DR15" i="9"/>
  <c r="DW15" i="8"/>
  <c r="DR3" i="10"/>
  <c r="DU3" i="13"/>
  <c r="DR22" i="14"/>
  <c r="DK26" i="17"/>
  <c r="DI3" i="6"/>
  <c r="DL27" i="6"/>
  <c r="DM12" i="7"/>
  <c r="ES23" i="15"/>
  <c r="FA21" i="11"/>
  <c r="ED15" i="13"/>
  <c r="CQ15" i="10"/>
  <c r="DH21" i="6"/>
  <c r="DI21" i="6" s="1"/>
  <c r="CQ27" i="6"/>
  <c r="DR22" i="8"/>
  <c r="DT22" i="8" s="1"/>
  <c r="DQ25" i="6"/>
  <c r="DR25" i="6" s="1"/>
  <c r="EJ28" i="10"/>
  <c r="EW23" i="16"/>
  <c r="DQ21" i="6"/>
  <c r="DR21" i="6" s="1"/>
  <c r="EP3" i="15"/>
  <c r="EZ15" i="16"/>
  <c r="EU22" i="17"/>
  <c r="EM3" i="13"/>
  <c r="EI21" i="11"/>
  <c r="EA22" i="14"/>
  <c r="DI8" i="9"/>
  <c r="DZ25" i="11"/>
  <c r="DR3" i="14"/>
  <c r="DA12" i="7"/>
  <c r="DE26" i="8"/>
  <c r="CZ22" i="10"/>
  <c r="DC22" i="13"/>
  <c r="DC26" i="9"/>
  <c r="CZ22" i="9"/>
  <c r="DC15" i="9"/>
  <c r="DV23" i="16"/>
  <c r="DU3" i="16"/>
  <c r="DV3" i="16" s="1"/>
  <c r="EO22" i="15"/>
  <c r="EP22" i="15" s="1"/>
  <c r="DQ3" i="6"/>
  <c r="DR3" i="6" s="1"/>
  <c r="DT8" i="17"/>
  <c r="CZ15" i="15"/>
  <c r="CT26" i="13"/>
  <c r="EP21" i="11"/>
  <c r="ER21" i="11" s="1"/>
  <c r="DU26" i="16"/>
  <c r="DV26" i="16" s="1"/>
  <c r="FE3" i="14"/>
  <c r="EU8" i="8"/>
  <c r="EJ22" i="14"/>
  <c r="DX3" i="15"/>
  <c r="EI12" i="11"/>
  <c r="DI26" i="9"/>
  <c r="DL8" i="13"/>
  <c r="DC8" i="14"/>
  <c r="CN22" i="15"/>
  <c r="DD26" i="16"/>
  <c r="ES15" i="9"/>
  <c r="FE26" i="14"/>
  <c r="EW15" i="16"/>
  <c r="ES3" i="6"/>
  <c r="EV25" i="6"/>
  <c r="EX3" i="8"/>
  <c r="EJ8" i="9"/>
  <c r="EJ26" i="9"/>
  <c r="EM3" i="9"/>
  <c r="EM22" i="9"/>
  <c r="ER26" i="12"/>
  <c r="EM26" i="13"/>
  <c r="EP15" i="13"/>
  <c r="DX15" i="15"/>
  <c r="EA8" i="10"/>
  <c r="DW15" i="12"/>
  <c r="DI3" i="9"/>
  <c r="DU26" i="13"/>
  <c r="DN22" i="8"/>
  <c r="DL26" i="13"/>
  <c r="DL22" i="13"/>
  <c r="DL3" i="14"/>
  <c r="DE22" i="17"/>
  <c r="CZ26" i="10"/>
  <c r="DC22" i="9"/>
  <c r="CT15" i="13"/>
  <c r="ES22" i="9"/>
  <c r="FE15" i="14"/>
  <c r="ES8" i="9"/>
  <c r="EV26" i="13"/>
  <c r="EV3" i="13"/>
  <c r="DI22" i="9"/>
  <c r="DI7" i="6"/>
  <c r="DI26" i="10"/>
  <c r="DC8" i="9"/>
  <c r="CV22" i="12"/>
  <c r="CT22" i="13"/>
  <c r="EX26" i="17"/>
  <c r="EQ3" i="16"/>
  <c r="EA8" i="9"/>
  <c r="EJ3" i="10"/>
  <c r="DX26" i="15"/>
  <c r="EA8" i="14"/>
  <c r="EA26" i="14"/>
  <c r="DR15" i="14"/>
  <c r="DF22" i="15"/>
  <c r="DI15" i="14"/>
  <c r="DE22" i="8"/>
  <c r="CP29" i="14"/>
  <c r="CQ29" i="14" s="1"/>
  <c r="EP15" i="15"/>
  <c r="DX22" i="15"/>
  <c r="ET12" i="7"/>
  <c r="DK22" i="17"/>
  <c r="CJ26" i="17"/>
  <c r="CB26" i="17"/>
  <c r="CD26" i="17" s="1"/>
  <c r="EI8" i="11"/>
  <c r="DK8" i="11"/>
  <c r="DQ8" i="11"/>
  <c r="FA12" i="11"/>
  <c r="DZ3" i="11"/>
  <c r="EV3" i="9"/>
  <c r="EV8" i="9"/>
  <c r="EA3" i="9"/>
  <c r="EA15" i="9"/>
  <c r="CP3" i="9"/>
  <c r="EC15" i="8"/>
  <c r="DB3" i="8"/>
  <c r="DK22" i="8"/>
  <c r="EL15" i="8"/>
  <c r="DW8" i="8"/>
  <c r="EL26" i="8"/>
  <c r="EC3" i="8"/>
  <c r="DK8" i="8"/>
  <c r="DB8" i="8"/>
  <c r="EL3" i="8"/>
  <c r="DJ8" i="7"/>
  <c r="DD25" i="7"/>
  <c r="DH25" i="7"/>
  <c r="DJ25" i="7" s="1"/>
  <c r="DR25" i="7"/>
  <c r="DS25" i="7" s="1"/>
  <c r="DR21" i="7"/>
  <c r="DS21" i="7" s="1"/>
  <c r="EU8" i="17"/>
  <c r="EX3" i="17"/>
  <c r="EO22" i="17"/>
  <c r="EC8" i="17"/>
  <c r="DB26" i="17"/>
  <c r="EC26" i="17"/>
  <c r="EO26" i="17"/>
  <c r="DK3" i="17"/>
  <c r="CM26" i="17"/>
  <c r="CU3" i="16"/>
  <c r="EN3" i="16"/>
  <c r="DV8" i="16"/>
  <c r="EU8" i="16"/>
  <c r="EW8" i="16" s="1"/>
  <c r="EN26" i="16"/>
  <c r="EW26" i="16"/>
  <c r="EW9" i="16"/>
  <c r="EN8" i="16"/>
  <c r="DX26" i="16"/>
  <c r="DY26" i="16" s="1"/>
  <c r="DD3" i="16"/>
  <c r="CU15" i="16"/>
  <c r="DQ15" i="12"/>
  <c r="DQ26" i="12"/>
  <c r="ER22" i="12"/>
  <c r="EI26" i="12"/>
  <c r="DV26" i="12"/>
  <c r="DW26" i="12" s="1"/>
  <c r="EO15" i="12"/>
  <c r="DN8" i="12"/>
  <c r="DQ8" i="12"/>
  <c r="EO26" i="12"/>
  <c r="EF26" i="12"/>
  <c r="DQ22" i="12"/>
  <c r="EU12" i="11"/>
  <c r="DH21" i="11"/>
  <c r="DH25" i="11"/>
  <c r="DB12" i="11"/>
  <c r="ER12" i="11"/>
  <c r="DQ21" i="11"/>
  <c r="ER22" i="10"/>
  <c r="ES22" i="10" s="1"/>
  <c r="ET21" i="7"/>
  <c r="EW25" i="7"/>
  <c r="EK8" i="7"/>
  <c r="EK25" i="7"/>
  <c r="EB3" i="7"/>
  <c r="DM21" i="7"/>
  <c r="EB21" i="7"/>
  <c r="DM25" i="7"/>
  <c r="EB8" i="7"/>
  <c r="DM8" i="7"/>
  <c r="ET8" i="7"/>
  <c r="DC3" i="6"/>
  <c r="CS21" i="6"/>
  <c r="CT21" i="6" s="1"/>
  <c r="CQ14" i="6"/>
  <c r="CT3" i="6"/>
  <c r="CP21" i="6"/>
  <c r="CQ21" i="6" s="1"/>
  <c r="CS28" i="6"/>
  <c r="CT28" i="6" s="1"/>
  <c r="DC25" i="6"/>
  <c r="CZ3" i="6"/>
  <c r="DL24" i="6"/>
  <c r="DC21" i="6"/>
  <c r="CT14" i="6"/>
  <c r="DL14" i="6"/>
  <c r="DL3" i="6"/>
  <c r="ES26" i="9"/>
  <c r="EP26" i="15"/>
  <c r="ET25" i="7"/>
  <c r="EJ22" i="9"/>
  <c r="EY3" i="11"/>
  <c r="FA3" i="11" s="1"/>
  <c r="ER8" i="12"/>
  <c r="EV22" i="13"/>
  <c r="EN15" i="16"/>
  <c r="EK21" i="7"/>
  <c r="EJ8" i="10"/>
  <c r="EP25" i="11"/>
  <c r="ER25" i="11" s="1"/>
  <c r="EB25" i="7"/>
  <c r="EB26" i="13"/>
  <c r="ED26" i="13" s="1"/>
  <c r="DW3" i="8"/>
  <c r="DU22" i="13"/>
  <c r="CZ26" i="15"/>
  <c r="CQ3" i="6"/>
  <c r="CP15" i="9"/>
  <c r="CQ8" i="10"/>
  <c r="CV26" i="12"/>
  <c r="ES15" i="15"/>
  <c r="EX8" i="17"/>
  <c r="ES25" i="6"/>
  <c r="ES7" i="6"/>
  <c r="EV3" i="6"/>
  <c r="EW3" i="7"/>
  <c r="ER3" i="12"/>
  <c r="ER15" i="12"/>
  <c r="EV15" i="13"/>
  <c r="EG15" i="15"/>
  <c r="EQ8" i="16"/>
  <c r="EP3" i="13"/>
  <c r="EB12" i="7"/>
  <c r="EA3" i="10"/>
  <c r="DL29" i="6"/>
  <c r="DK15" i="8"/>
  <c r="DL15" i="13"/>
  <c r="DL3" i="13"/>
  <c r="DI8" i="14"/>
  <c r="DA25" i="7"/>
  <c r="DH12" i="11"/>
  <c r="DC15" i="14"/>
  <c r="CU8" i="7"/>
  <c r="CU21" i="7"/>
  <c r="CV15" i="12"/>
  <c r="EW3" i="16"/>
  <c r="EV7" i="6"/>
  <c r="EJ3" i="9"/>
  <c r="EU3" i="11"/>
  <c r="EM15" i="13"/>
  <c r="CW3" i="15"/>
  <c r="DE26" i="17"/>
  <c r="DE15" i="12"/>
  <c r="CP8" i="9"/>
  <c r="FE8" i="14"/>
  <c r="EX22" i="17"/>
  <c r="ES21" i="6"/>
  <c r="EV21" i="6"/>
  <c r="ES14" i="6"/>
  <c r="ET3" i="7"/>
  <c r="EU15" i="8"/>
  <c r="EX15" i="8"/>
  <c r="EM26" i="9"/>
  <c r="EO8" i="12"/>
  <c r="EG3" i="15"/>
  <c r="EJ3" i="6"/>
  <c r="EJ14" i="6"/>
  <c r="EO22" i="8"/>
  <c r="EA26" i="9"/>
  <c r="ER8" i="11"/>
  <c r="EU8" i="11"/>
  <c r="EJ15" i="14"/>
  <c r="ED7" i="6"/>
  <c r="DR26" i="9"/>
  <c r="ED3" i="13"/>
  <c r="EA3" i="14"/>
  <c r="DO22" i="15"/>
  <c r="DI15" i="9"/>
  <c r="DR22" i="10"/>
  <c r="DR8" i="10"/>
  <c r="DK8" i="17"/>
  <c r="DO22" i="13"/>
  <c r="DD21" i="7"/>
  <c r="EJ15" i="15"/>
  <c r="DK26" i="8"/>
  <c r="DL26" i="14"/>
  <c r="CU25" i="7"/>
  <c r="EJ7" i="6"/>
  <c r="EI22" i="12"/>
  <c r="DY22" i="12"/>
  <c r="DZ22" i="12" s="1"/>
  <c r="DZ25" i="12"/>
  <c r="DZ26" i="10"/>
  <c r="EA26" i="10" s="1"/>
  <c r="EI22" i="10"/>
  <c r="EJ22" i="10" s="1"/>
  <c r="EO8" i="15"/>
  <c r="EP8" i="15" s="1"/>
  <c r="DX22" i="16"/>
  <c r="DY22" i="16" s="1"/>
  <c r="DH21" i="7"/>
  <c r="DJ21" i="7" s="1"/>
  <c r="EO22" i="12"/>
  <c r="EL8" i="17"/>
  <c r="EJ25" i="6"/>
  <c r="CQ26" i="10"/>
  <c r="EO26" i="8"/>
  <c r="EJ15" i="10"/>
  <c r="EG25" i="11"/>
  <c r="EI25" i="11" s="1"/>
  <c r="DT4" i="17"/>
  <c r="DR3" i="17"/>
  <c r="DT3" i="17" s="1"/>
  <c r="DZ8" i="11"/>
  <c r="DI3" i="14"/>
  <c r="DU8" i="13"/>
  <c r="DL22" i="6"/>
  <c r="DN26" i="8"/>
  <c r="DI22" i="10"/>
  <c r="DK21" i="11"/>
  <c r="DC15" i="13"/>
  <c r="CZ21" i="6"/>
  <c r="CU24" i="7"/>
  <c r="EJ3" i="14"/>
  <c r="DW8" i="12"/>
  <c r="DF8" i="15"/>
  <c r="DJ25" i="6"/>
  <c r="DA21" i="7"/>
  <c r="DD8" i="7"/>
  <c r="DE8" i="8"/>
  <c r="DC26" i="13"/>
  <c r="CZ8" i="14"/>
  <c r="CT3" i="13"/>
  <c r="CQ28" i="14"/>
  <c r="DL25" i="6" l="1"/>
  <c r="DL21" i="6"/>
  <c r="ES22" i="15"/>
  <c r="CP26" i="14"/>
  <c r="CQ26" i="14" s="1"/>
  <c r="CP25" i="6"/>
  <c r="CQ25" i="6" s="1"/>
  <c r="CS25" i="6"/>
  <c r="CT25" i="6" s="1"/>
  <c r="BX4" i="6"/>
  <c r="BX4" i="7" s="1"/>
  <c r="BZ4" i="7" s="1"/>
  <c r="CN12" i="16"/>
  <c r="CN3" i="16"/>
  <c r="CM12" i="16"/>
  <c r="CN18" i="16"/>
  <c r="CM18" i="16"/>
  <c r="BY4" i="6" l="1"/>
  <c r="CO18" i="16"/>
  <c r="CK18" i="16"/>
  <c r="BY18" i="17" s="1"/>
  <c r="CA18" i="17" s="1"/>
  <c r="BX5" i="6"/>
  <c r="BX5" i="7" s="1"/>
  <c r="BZ5" i="7" s="1"/>
  <c r="BX3" i="6"/>
  <c r="BX3" i="7" s="1"/>
  <c r="BZ3" i="7" s="1"/>
  <c r="CK12" i="16"/>
  <c r="BY11" i="17" s="1"/>
  <c r="CA11" i="17" s="1"/>
  <c r="CO12" i="16"/>
  <c r="CK3" i="16"/>
  <c r="BY3" i="17" s="1"/>
  <c r="CA3" i="17" s="1"/>
  <c r="CO3" i="16"/>
  <c r="BY3" i="6" l="1"/>
  <c r="BY5" i="6"/>
  <c r="CL3" i="16"/>
  <c r="CL12" i="16"/>
  <c r="CL18" i="16"/>
  <c r="CN22" i="16"/>
  <c r="CC22" i="17"/>
  <c r="CK22" i="16" l="1"/>
  <c r="CO22" i="16"/>
  <c r="BZ22" i="17"/>
  <c r="CD22" i="17"/>
  <c r="BY22" i="17" l="1"/>
  <c r="CA22" i="17" s="1"/>
  <c r="CL22" i="16"/>
  <c r="E25" i="15"/>
  <c r="D23" i="15"/>
  <c r="E23" i="15" s="1"/>
</calcChain>
</file>

<file path=xl/sharedStrings.xml><?xml version="1.0" encoding="utf-8"?>
<sst xmlns="http://schemas.openxmlformats.org/spreadsheetml/2006/main" count="9111" uniqueCount="900">
  <si>
    <t>ผลิต</t>
  </si>
  <si>
    <t>จำหน่าย</t>
  </si>
  <si>
    <t>ส่งออก</t>
  </si>
  <si>
    <t>ร้อยละ</t>
  </si>
  <si>
    <t>ส่ออก</t>
  </si>
  <si>
    <t>จักรยานยนต์ ธ.ค. 48</t>
  </si>
  <si>
    <t>รถยนต์ ธ.ค.48</t>
  </si>
  <si>
    <t>จักรยานยนต์ ม.ค. 49</t>
  </si>
  <si>
    <t>รถยนต์ ม.ค. 49</t>
  </si>
  <si>
    <t>จักรยานยนต์ ก.พ. 49</t>
  </si>
  <si>
    <t>รถยนต์ ก.พ. 49</t>
  </si>
  <si>
    <t>จักรยานยนต์ มี.ค.49</t>
  </si>
  <si>
    <t>จักรยานยนต์ เม.ย.49</t>
  </si>
  <si>
    <t>จักรยานยนต์ พ.ค.49</t>
  </si>
  <si>
    <t>รถยนต์ พ.ค. 49</t>
  </si>
  <si>
    <t>รถยนต์ พ.ค.48</t>
  </si>
  <si>
    <t>จักรยานยนต์ พ.ค.48</t>
  </si>
  <si>
    <t>-</t>
  </si>
  <si>
    <t>จักรยานยนต์ มิ.ย.49</t>
  </si>
  <si>
    <t>รถยนต์ มิ.ย. 49</t>
  </si>
  <si>
    <t>จักรยานยนต์ มิ.ย.48</t>
  </si>
  <si>
    <t>รถยนต์ มิ.ย.48</t>
  </si>
  <si>
    <t>จักรยานยนต์ ก.ค.49</t>
  </si>
  <si>
    <t>รถยนต์ ก.ค. 49</t>
  </si>
  <si>
    <t>จักรยานยนต์ ก.ค.48</t>
  </si>
  <si>
    <t>รถยนต์ ก.ค.48</t>
  </si>
  <si>
    <t>จักรยานยนต์ ส.ค.49</t>
  </si>
  <si>
    <t>รถยนต์ ส.ค. 49</t>
  </si>
  <si>
    <t>จักรยานยนต์ ก.ย.49</t>
  </si>
  <si>
    <t>รถยนต์ ก.ย. 49</t>
  </si>
  <si>
    <t>จักรยานยนต์ ก.ย.48</t>
  </si>
  <si>
    <t>รถยนต์ ก.ย.48</t>
  </si>
  <si>
    <t>จักรยานยนต์ ต.ค.49</t>
  </si>
  <si>
    <t>รถยนต์ ต.ค. 49</t>
  </si>
  <si>
    <t>จักรยานยนต์ ต.ค.48</t>
  </si>
  <si>
    <t>รถยนต์ ต.ค.48</t>
  </si>
  <si>
    <t>จักรยานยนต์ พ.ย.49</t>
  </si>
  <si>
    <t>รถยนต์ พ.ย. 49</t>
  </si>
  <si>
    <t>จักรยานยนต์ พ.ย.48</t>
  </si>
  <si>
    <t>รถยนต์ พ.ย.48</t>
  </si>
  <si>
    <t>จักรยานยนต์ ธ.ค.49</t>
  </si>
  <si>
    <t>รถยนต์ ธ.ค. 49</t>
  </si>
  <si>
    <t>จักรยานยนต์ ธ.ค.48</t>
  </si>
  <si>
    <t>จักรยานยนต์ ม.ค. 50</t>
  </si>
  <si>
    <t>รถยนต์ ม.ค. 50</t>
  </si>
  <si>
    <t>จักรยานยนต์ ก.พ. 50</t>
  </si>
  <si>
    <t>รถยนต์ ก.พ. 50</t>
  </si>
  <si>
    <t>จักรยานยนต์ มี.ค. 50</t>
  </si>
  <si>
    <t>รถยนต์ มี.ค. 50</t>
  </si>
  <si>
    <t>จักรยานยนต์ เมษา 50</t>
  </si>
  <si>
    <t>รถยนต์ เมษา 50</t>
  </si>
  <si>
    <t>รถยนต์นั่ง</t>
  </si>
  <si>
    <t>กระบะ 1 ตัน</t>
  </si>
  <si>
    <t>รถยนต์พาณิชย์</t>
  </si>
  <si>
    <t>PPV+SUV</t>
  </si>
  <si>
    <t>(คัน)</t>
  </si>
  <si>
    <t>(ล้านบาท)</t>
  </si>
  <si>
    <t>ครอบครัว</t>
  </si>
  <si>
    <t>สปอร์ต</t>
  </si>
  <si>
    <t>สกูตเตอร์</t>
  </si>
  <si>
    <t>(CBU&amp;CKD)</t>
  </si>
  <si>
    <t>CBU</t>
  </si>
  <si>
    <t>CKD</t>
  </si>
  <si>
    <t>ล้านบาท</t>
  </si>
  <si>
    <t>จักรยานยนต์ พค 50</t>
  </si>
  <si>
    <t>รถยนต์ พค 50</t>
  </si>
  <si>
    <t>จักรยานยนต์ มิย 50</t>
  </si>
  <si>
    <t>รถยนต์ มิย 50</t>
  </si>
  <si>
    <t>จักรยานยนต์ กค 50</t>
  </si>
  <si>
    <t>รถยนต์ กค 50</t>
  </si>
  <si>
    <t>จักรยานยนต์ สค 50</t>
  </si>
  <si>
    <t>รถยนต์ สค 50</t>
  </si>
  <si>
    <t>จักรยานยนต์ กย 50</t>
  </si>
  <si>
    <t>รถยนต์ กย 50</t>
  </si>
  <si>
    <t>จักรยานยนต์ ตค 50</t>
  </si>
  <si>
    <t>รถยนต์ ตค 50</t>
  </si>
  <si>
    <t>จักรยานยนต์ พย 50</t>
  </si>
  <si>
    <t>รถยนต์ พย 50</t>
  </si>
  <si>
    <t>จักรยานยนต์ ธค 50</t>
  </si>
  <si>
    <t>รถยนต์ ธค 50</t>
  </si>
  <si>
    <t xml:space="preserve"> </t>
  </si>
  <si>
    <t>จักรยานยนต์ มค 51</t>
  </si>
  <si>
    <t>รถยนต์ มค 51</t>
  </si>
  <si>
    <t>มค 51</t>
  </si>
  <si>
    <t>มค 50</t>
  </si>
  <si>
    <t>จักรยานยนต์ กพ 51</t>
  </si>
  <si>
    <t>รถยนต์ กพ 51</t>
  </si>
  <si>
    <t>กพ 51</t>
  </si>
  <si>
    <t>กพ 50</t>
  </si>
  <si>
    <t>จักรยานยนต์ มีค 51</t>
  </si>
  <si>
    <t>รถยนต์ มีค 51</t>
  </si>
  <si>
    <t>มีค 51</t>
  </si>
  <si>
    <t>มีค 50</t>
  </si>
  <si>
    <t>มีค50</t>
  </si>
  <si>
    <t>มีค51</t>
  </si>
  <si>
    <t>จักรยานยนต์ เมย 51</t>
  </si>
  <si>
    <t>เมย 51</t>
  </si>
  <si>
    <t>รถยนต์ เมย 51</t>
  </si>
  <si>
    <t>เมย 50</t>
  </si>
  <si>
    <t>เมย51</t>
  </si>
  <si>
    <t>พค 51</t>
  </si>
  <si>
    <t>พค 50</t>
  </si>
  <si>
    <t>จักรยานยนต์ พค 51</t>
  </si>
  <si>
    <t>รถยนต์ พค 51</t>
  </si>
  <si>
    <t>จักรยานยนต์ มิย 51</t>
  </si>
  <si>
    <t>รถยนต์ มิ.ย. 51</t>
  </si>
  <si>
    <t>มิย 51</t>
  </si>
  <si>
    <t>มิย 50</t>
  </si>
  <si>
    <t>จักรยานยนต์ กค 51</t>
  </si>
  <si>
    <t>รถยนต์ กค 51</t>
  </si>
  <si>
    <t>กค 51</t>
  </si>
  <si>
    <t>กค 50</t>
  </si>
  <si>
    <t>จักรยานยนต์ สค 51</t>
  </si>
  <si>
    <t>รถยนต์ สค 51</t>
  </si>
  <si>
    <t>สค 51</t>
  </si>
  <si>
    <t>สค 50</t>
  </si>
  <si>
    <t>จักรยานยนต์ กย 51</t>
  </si>
  <si>
    <t>รถยนต์ กย 51</t>
  </si>
  <si>
    <t>กย 51</t>
  </si>
  <si>
    <t>กย 50</t>
  </si>
  <si>
    <t>จักรยานยนต์ ตค 51</t>
  </si>
  <si>
    <t>รถยนต์ ตค 51</t>
  </si>
  <si>
    <t>ตค 51</t>
  </si>
  <si>
    <t>ตค 50</t>
  </si>
  <si>
    <t>จักรยานยนต์ พย 51</t>
  </si>
  <si>
    <t>รถยนต์ พย 51</t>
  </si>
  <si>
    <t>พย 50</t>
  </si>
  <si>
    <t>พย 51</t>
  </si>
  <si>
    <t>ธค 51</t>
  </si>
  <si>
    <t>ธค 50</t>
  </si>
  <si>
    <t>จักรยานยนต์ ธค 51</t>
  </si>
  <si>
    <t>รถยนต์ ธค 51</t>
  </si>
  <si>
    <t>มค 52</t>
  </si>
  <si>
    <t>จักรยานยนต์ มค 52</t>
  </si>
  <si>
    <t>รถยนต์ มค 52</t>
  </si>
  <si>
    <t>กพ 52</t>
  </si>
  <si>
    <t>จักรยานยนต์ กพ 52</t>
  </si>
  <si>
    <t>รถยนต์ กพ 52</t>
  </si>
  <si>
    <t>จักรยานยนต์ มีค 52</t>
  </si>
  <si>
    <t>รถยนต์ มีค 52</t>
  </si>
  <si>
    <t>มีค 52</t>
  </si>
  <si>
    <t>จักรยานยนต์ เมษา 52</t>
  </si>
  <si>
    <t>รถยนต์ เมษา 52</t>
  </si>
  <si>
    <t>เมษา 52</t>
  </si>
  <si>
    <t>เมษา 51</t>
  </si>
  <si>
    <t>จักรยานยนต์ พค 52</t>
  </si>
  <si>
    <t>พค 52</t>
  </si>
  <si>
    <t>รถยนต์ พค 52</t>
  </si>
  <si>
    <t>จักรยานยนต์ มิย 52</t>
  </si>
  <si>
    <t>รถยนต์ มิย 52</t>
  </si>
  <si>
    <t>มิย 52</t>
  </si>
  <si>
    <t>กค 52</t>
  </si>
  <si>
    <t>รถยนต์ กค 52</t>
  </si>
  <si>
    <t>จักรยานยนต์ กค 52</t>
  </si>
  <si>
    <t>จักรยานยนต์ สค 52</t>
  </si>
  <si>
    <t>รถยนต์ สค 52</t>
  </si>
  <si>
    <t>สค 52</t>
  </si>
  <si>
    <t>จักรยานยนต์ กย 52</t>
  </si>
  <si>
    <t>รถยนต์ กย 52</t>
  </si>
  <si>
    <t>กย 52</t>
  </si>
  <si>
    <t>จักรยานยนต์ ตค 52</t>
  </si>
  <si>
    <t>รถยนต์ ตค 52</t>
  </si>
  <si>
    <t>ตค 52</t>
  </si>
  <si>
    <t>จักรยานยนต์ พย 52</t>
  </si>
  <si>
    <t>รถยนต์ พย 52</t>
  </si>
  <si>
    <t>พย 52</t>
  </si>
  <si>
    <t>จักรยานยนต์ ธค 52</t>
  </si>
  <si>
    <t>รถยนต์ ธค 52</t>
  </si>
  <si>
    <t>ธค 52</t>
  </si>
  <si>
    <t>จักรยานยนต์ มค 53</t>
  </si>
  <si>
    <t>รถยนต์ มค 53</t>
  </si>
  <si>
    <t>มค 53</t>
  </si>
  <si>
    <t>จักรยานยนต์ กพ 53</t>
  </si>
  <si>
    <t>รถยนต์ กพ 53</t>
  </si>
  <si>
    <t>กพ 53</t>
  </si>
  <si>
    <t>มีค 53</t>
  </si>
  <si>
    <t>จักรยานยนต์ มีค 53</t>
  </si>
  <si>
    <t>จักรยานยนต์ เมษา 53</t>
  </si>
  <si>
    <t>รถยนต์ เมษา 53</t>
  </si>
  <si>
    <t>รถยนต์ มีค 53</t>
  </si>
  <si>
    <t>เมษา 53</t>
  </si>
  <si>
    <t>จักรยานยนต์ พค 53</t>
  </si>
  <si>
    <t>รถยนต์ พค 53</t>
  </si>
  <si>
    <t>พค 53</t>
  </si>
  <si>
    <t>จักรยานยนต์ มิย 53</t>
  </si>
  <si>
    <t>รถยนต์ มิย 53</t>
  </si>
  <si>
    <t>มิย 53</t>
  </si>
  <si>
    <t>จักรยานยนต์ กค 53</t>
  </si>
  <si>
    <t>รถยนต์ กค 53</t>
  </si>
  <si>
    <t>กค 53</t>
  </si>
  <si>
    <t>จักรยานยนต์ สค 53</t>
  </si>
  <si>
    <t>รถยนต์ สค 53</t>
  </si>
  <si>
    <t>สค 53</t>
  </si>
  <si>
    <t>vpkdwx</t>
  </si>
  <si>
    <t>จักรยานยนต์ กย 53</t>
  </si>
  <si>
    <t>รถยนต์ กย 53</t>
  </si>
  <si>
    <t>กย 53</t>
  </si>
  <si>
    <t>จักรยานยนต์ ตค 53</t>
  </si>
  <si>
    <t>รถยนต์ ตค 53</t>
  </si>
  <si>
    <t>ตค 53</t>
  </si>
  <si>
    <t>จักรยานยนต์ พย 53</t>
  </si>
  <si>
    <t>รถยนต์ พย 53</t>
  </si>
  <si>
    <t>พย 53</t>
  </si>
  <si>
    <t>จักรยานยนต์ ธค 53</t>
  </si>
  <si>
    <t>รถยนต์ ธค 53</t>
  </si>
  <si>
    <t>ธค 53</t>
  </si>
  <si>
    <t>จักรยานยนต์ มค 54</t>
  </si>
  <si>
    <t>รถยนต์ มค 54</t>
  </si>
  <si>
    <t>มค 54</t>
  </si>
  <si>
    <t>จักรยานยนต์ กพ 54</t>
  </si>
  <si>
    <t>รถยนต์ กพ 54</t>
  </si>
  <si>
    <t>กพ 54</t>
  </si>
  <si>
    <t>มีค 54</t>
  </si>
  <si>
    <t>จักรยานยนต์ มีค 54</t>
  </si>
  <si>
    <t>รถยนต์ มีค 54</t>
  </si>
  <si>
    <t>จักรยานยนต์ เมษา 54</t>
  </si>
  <si>
    <t>เมษา 54</t>
  </si>
  <si>
    <t>รถยนต์ เมษา 54</t>
  </si>
  <si>
    <t>จักรยานยนต์ พค 54</t>
  </si>
  <si>
    <t>พค 54</t>
  </si>
  <si>
    <t>รถยนต์ พค 54</t>
  </si>
  <si>
    <t>มิย 54</t>
  </si>
  <si>
    <t>จักรยานยนต์ มิย 54</t>
  </si>
  <si>
    <t>รถยนต์ มิย 54</t>
  </si>
  <si>
    <t>กค 54</t>
  </si>
  <si>
    <t>จักรยานยนต สค 54</t>
  </si>
  <si>
    <t>สค 54</t>
  </si>
  <si>
    <t>รถยนต์ สค 54</t>
  </si>
  <si>
    <t>กย 54</t>
  </si>
  <si>
    <t>จักรยานยนต กย 54</t>
  </si>
  <si>
    <t>รถยนต์ กย 54</t>
  </si>
  <si>
    <t xml:space="preserve"> กย 54</t>
  </si>
  <si>
    <t>ตค 54</t>
  </si>
  <si>
    <t xml:space="preserve"> ตค 54</t>
  </si>
  <si>
    <t>จักรยานยนต ตค 54</t>
  </si>
  <si>
    <t>รถยนต์ ตค 54</t>
  </si>
  <si>
    <t>จักรยานยนต พย 54</t>
  </si>
  <si>
    <t>รถยนต์ พย 54</t>
  </si>
  <si>
    <t>พย 54</t>
  </si>
  <si>
    <t xml:space="preserve"> พย 54</t>
  </si>
  <si>
    <t>จักรยานยนต ธค 54</t>
  </si>
  <si>
    <t>ธค  54</t>
  </si>
  <si>
    <t>ธค 54</t>
  </si>
  <si>
    <t>รถยนต์ ธค 54</t>
  </si>
  <si>
    <t xml:space="preserve"> ธค 54</t>
  </si>
  <si>
    <t>จักรยานยนต์ มค 55</t>
  </si>
  <si>
    <t>รถยนต์ มค 55</t>
  </si>
  <si>
    <t>มค 55</t>
  </si>
  <si>
    <t xml:space="preserve"> มค 54</t>
  </si>
  <si>
    <t>จักรยานยนต์ กพ 55</t>
  </si>
  <si>
    <t>รถยนต์ กพ 55</t>
  </si>
  <si>
    <t>กพ 55</t>
  </si>
  <si>
    <t xml:space="preserve"> กพ 54</t>
  </si>
  <si>
    <t>จักรยานยนต์ มีนา 55</t>
  </si>
  <si>
    <t>รถยนต์ มีนา 55</t>
  </si>
  <si>
    <t>มีนา 55</t>
  </si>
  <si>
    <t>มีนา 54</t>
  </si>
  <si>
    <t xml:space="preserve"> กพ 55</t>
  </si>
  <si>
    <t xml:space="preserve"> มีนา 55</t>
  </si>
  <si>
    <t>จักรยานยนต์ พค 55</t>
  </si>
  <si>
    <t>เมษา 55</t>
  </si>
  <si>
    <t>พค 55</t>
  </si>
  <si>
    <t>รถยนต์ พค 55</t>
  </si>
  <si>
    <t>จักรยานยนต์ มิย 55</t>
  </si>
  <si>
    <t>รถยนต์ มิย 55</t>
  </si>
  <si>
    <t>มิย 55</t>
  </si>
  <si>
    <t>จักรยานยนต์ กค 55</t>
  </si>
  <si>
    <t>กค 55</t>
  </si>
  <si>
    <t>รถยนต์ กค 55</t>
  </si>
  <si>
    <t>จักรยานยนต์ สค 55</t>
  </si>
  <si>
    <t>รถยนต์ สค 55</t>
  </si>
  <si>
    <t>สค 55</t>
  </si>
  <si>
    <t>จักรยานยนต์ กย 55</t>
  </si>
  <si>
    <t>รถยนต์ กย 55</t>
  </si>
  <si>
    <t>กย 55</t>
  </si>
  <si>
    <t>จักรยานยนต์ ตค 55</t>
  </si>
  <si>
    <t>รถยนต์ ตค 55</t>
  </si>
  <si>
    <t>ตค 55</t>
  </si>
  <si>
    <t>จักรยานยนต์ พย 55</t>
  </si>
  <si>
    <t>รถยนต์ พย 55</t>
  </si>
  <si>
    <t>พย 55</t>
  </si>
  <si>
    <t>จักรยานยนต์ ธค 55</t>
  </si>
  <si>
    <t>ธค 55</t>
  </si>
  <si>
    <t>รถยนต์ ธค 55</t>
  </si>
  <si>
    <t>ธค  55</t>
  </si>
  <si>
    <t xml:space="preserve"> ธค 55</t>
  </si>
  <si>
    <t>จักรยานยนต์ มค 56</t>
  </si>
  <si>
    <t>มค  56</t>
  </si>
  <si>
    <t>มค 56</t>
  </si>
  <si>
    <t>รถยนต์ มค 56</t>
  </si>
  <si>
    <t>จักรยานยนต์ กพ 56</t>
  </si>
  <si>
    <t>รถยนต์ กพ 56</t>
  </si>
  <si>
    <t>กพ  56</t>
  </si>
  <si>
    <t>กพ 56</t>
  </si>
  <si>
    <t>จักรยานยนต์ เมษา 55</t>
  </si>
  <si>
    <t>รถยนต์ เมษา 55</t>
  </si>
  <si>
    <t>มีค 55</t>
  </si>
  <si>
    <t>เมษา 56</t>
  </si>
  <si>
    <t>พค 56</t>
  </si>
  <si>
    <t>พค  56</t>
  </si>
  <si>
    <t>จักรยานยนต์ มิย 56</t>
  </si>
  <si>
    <t>มิย 56</t>
  </si>
  <si>
    <t>มิย  56</t>
  </si>
  <si>
    <t>มิ.ย. 56</t>
  </si>
  <si>
    <t>จักรยานยนต์ กค 56</t>
  </si>
  <si>
    <t>กค 56</t>
  </si>
  <si>
    <t>กค  56</t>
  </si>
  <si>
    <t>จักรยานยนต์ สค 56</t>
  </si>
  <si>
    <t>รถยนต์ สค 56</t>
  </si>
  <si>
    <t>สค 56</t>
  </si>
  <si>
    <t>สค  56</t>
  </si>
  <si>
    <t>จักรยานยนต์ กย 56</t>
  </si>
  <si>
    <t>รถยนต์ กย 56</t>
  </si>
  <si>
    <t>กย 56</t>
  </si>
  <si>
    <t>กย  56</t>
  </si>
  <si>
    <t>จักรยานยนต์ ตค 56</t>
  </si>
  <si>
    <t>รถยนต์ ตค 56</t>
  </si>
  <si>
    <t>ตค 56</t>
  </si>
  <si>
    <t>ตค  56</t>
  </si>
  <si>
    <t>จักรยานยนต์ พย 56</t>
  </si>
  <si>
    <t>รถยนต์ พย 56</t>
  </si>
  <si>
    <t>พย 56</t>
  </si>
  <si>
    <t>พย  56</t>
  </si>
  <si>
    <t>จักรยานยนต์ ธค 56</t>
  </si>
  <si>
    <t>รถยนต์ ธค 56</t>
  </si>
  <si>
    <t>ธค 56</t>
  </si>
  <si>
    <t>ธค  56</t>
  </si>
  <si>
    <t>จักรยานยนต์ มค 57</t>
  </si>
  <si>
    <t>มค 57</t>
  </si>
  <si>
    <t>มค  57</t>
  </si>
  <si>
    <t>รถยนต์ มค 57</t>
  </si>
  <si>
    <t>จักรยานยนต์ กพ 57</t>
  </si>
  <si>
    <t>กพ  57</t>
  </si>
  <si>
    <t>กพ 57</t>
  </si>
  <si>
    <t>รถยนต์ กพ 57</t>
  </si>
  <si>
    <t xml:space="preserve"> กพ 57</t>
  </si>
  <si>
    <t>จักรยานยนต์ มีนา 57</t>
  </si>
  <si>
    <t>รถยนต์ มีนา 57</t>
  </si>
  <si>
    <t>มีนา  57</t>
  </si>
  <si>
    <t>มีนา  56</t>
  </si>
  <si>
    <t>มีนา 57</t>
  </si>
  <si>
    <t xml:space="preserve"> มีนา 57</t>
  </si>
  <si>
    <t>จักรยานยนต์ เมษา 57</t>
  </si>
  <si>
    <t>เมษา 57</t>
  </si>
  <si>
    <t>เมษา  56</t>
  </si>
  <si>
    <t>รถยนต์ เมษา 57</t>
  </si>
  <si>
    <t>เมษา  57</t>
  </si>
  <si>
    <t xml:space="preserve"> เมษา 57</t>
  </si>
  <si>
    <t>จักรยานยนต์ พค 57</t>
  </si>
  <si>
    <t>รถยนต์ พค 57</t>
  </si>
  <si>
    <t>พค  57</t>
  </si>
  <si>
    <t xml:space="preserve"> พค 57</t>
  </si>
  <si>
    <t>พค 57</t>
  </si>
  <si>
    <t>จักรยานยนต์ มิย 57</t>
  </si>
  <si>
    <t>รถยนต์ มิย 57</t>
  </si>
  <si>
    <t>มิย 57</t>
  </si>
  <si>
    <t>มิย  57</t>
  </si>
  <si>
    <t>จักรยานยนต์ กค 57</t>
  </si>
  <si>
    <t>รถยนต์ กค 57</t>
  </si>
  <si>
    <t>กค 57</t>
  </si>
  <si>
    <t>กค  57</t>
  </si>
  <si>
    <t>จักรยานยนต์ สค 57</t>
  </si>
  <si>
    <t>รถยนต์ สค 57</t>
  </si>
  <si>
    <t>สค 57</t>
  </si>
  <si>
    <t>สค  57</t>
  </si>
  <si>
    <t>จักรยานยนต์ ก.ย. 57</t>
  </si>
  <si>
    <t>รถยนต์ ก.ย. 57</t>
  </si>
  <si>
    <t>กย 57</t>
  </si>
  <si>
    <t>กย  57</t>
  </si>
  <si>
    <t>จักรยานยนต์ ธ.ค. 57</t>
  </si>
  <si>
    <t>รถยนต์ ธ.ค. 57</t>
  </si>
  <si>
    <t>พย 57</t>
  </si>
  <si>
    <t>ธค 57</t>
  </si>
  <si>
    <t>รถยนต์ มค 58</t>
  </si>
  <si>
    <t>จักรยานยนต์ มค 58</t>
  </si>
  <si>
    <t>มค  58</t>
  </si>
  <si>
    <t>มค 58</t>
  </si>
  <si>
    <t>ธค  57</t>
  </si>
  <si>
    <t>จักรยานยนต์ กพ 58</t>
  </si>
  <si>
    <t>รถยนต์ กพ 58</t>
  </si>
  <si>
    <t>กพ  58</t>
  </si>
  <si>
    <t>กพ 58</t>
  </si>
  <si>
    <t xml:space="preserve"> กพ 58</t>
  </si>
  <si>
    <t>จักรยานยนต์ มีนา 58</t>
  </si>
  <si>
    <t>รถยนต์ มีนา 58</t>
  </si>
  <si>
    <t>มีนา  58</t>
  </si>
  <si>
    <t>มีนา 58</t>
  </si>
  <si>
    <t>จักรยานยนต์ เมษา 58</t>
  </si>
  <si>
    <t>รถยนต์ เมษา 58</t>
  </si>
  <si>
    <t>เมษา 58</t>
  </si>
  <si>
    <t>จักรยานยนต์ พค 58</t>
  </si>
  <si>
    <t>พค 58</t>
  </si>
  <si>
    <t>รถยนต์ พค 58</t>
  </si>
  <si>
    <t>เมษา  58</t>
  </si>
  <si>
    <t>พค  58</t>
  </si>
  <si>
    <t xml:space="preserve"> พค 58</t>
  </si>
  <si>
    <t>จักรยานยนต์ มิย 58</t>
  </si>
  <si>
    <t>มิย 58</t>
  </si>
  <si>
    <t>จักรยานยนต์ กค 58</t>
  </si>
  <si>
    <t>กค 58</t>
  </si>
  <si>
    <t>รถยนต์ กค 58</t>
  </si>
  <si>
    <t>มิย  58</t>
  </si>
  <si>
    <t>กค  58</t>
  </si>
  <si>
    <t>สค 58</t>
  </si>
  <si>
    <t>จักรยานยนต์ ส.ค. 58</t>
  </si>
  <si>
    <t>รถยนต์ ส.ค. 58</t>
  </si>
  <si>
    <t>จักรยานยนต์ ก.ย. 58</t>
  </si>
  <si>
    <t>รถยนต์ ก.ย. 58</t>
  </si>
  <si>
    <t>กย 58</t>
  </si>
  <si>
    <t>จักรยานยนต์ ตค 58</t>
  </si>
  <si>
    <t>รถยนต์ ตค 58</t>
  </si>
  <si>
    <t>ตค 58</t>
  </si>
  <si>
    <t>ตค 57</t>
  </si>
  <si>
    <t>ตค  58</t>
  </si>
  <si>
    <t>จักรยานยนต์ พย 58</t>
  </si>
  <si>
    <t>พย 58</t>
  </si>
  <si>
    <t>พย  58</t>
  </si>
  <si>
    <t>จักรยานยนต์ ธ.ค. 58</t>
  </si>
  <si>
    <t>ธค 58</t>
  </si>
  <si>
    <t>รถยนต์ ธ.ค. 58</t>
  </si>
  <si>
    <t>ธค  58</t>
  </si>
  <si>
    <t>มค  59</t>
  </si>
  <si>
    <t>มค 59</t>
  </si>
  <si>
    <t>จักรยานยนต์ มค 59</t>
  </si>
  <si>
    <t>รถยนต์ มค 59</t>
  </si>
  <si>
    <t>จักรยานยนต์ กพ 59</t>
  </si>
  <si>
    <t>กพ  59</t>
  </si>
  <si>
    <t>กพ 59</t>
  </si>
  <si>
    <t>จักรยานยนต์ มีนา 59</t>
  </si>
  <si>
    <t>รถยนต์ มีนา 59</t>
  </si>
  <si>
    <t>มีนา  59</t>
  </si>
  <si>
    <t>มีนา 59</t>
  </si>
  <si>
    <t>จักรยานยนต์ เมษา 59</t>
  </si>
  <si>
    <t>เมษา 59</t>
  </si>
  <si>
    <t>รถยนต์ เมษา 59</t>
  </si>
  <si>
    <t>- น้อยกว่าหรือเท่ากับ 100 ซีซี</t>
  </si>
  <si>
    <t>- 101-125 ซีซี</t>
  </si>
  <si>
    <t>- 126-150 ซีซี</t>
  </si>
  <si>
    <t>- มากกว่าหรือเท่ากับ 151 ซีซี</t>
  </si>
  <si>
    <t>จักรยานยนต์ พค 59</t>
  </si>
  <si>
    <t>รถยนต์ พค 59</t>
  </si>
  <si>
    <t>เม.ย 59</t>
  </si>
  <si>
    <t>พ.ค.59</t>
  </si>
  <si>
    <t>พ.ค.58</t>
  </si>
  <si>
    <t>ครอบครัว (อเนกประสงค์)</t>
  </si>
  <si>
    <t>จักรยานยนต์ มิ.ย. 59</t>
  </si>
  <si>
    <t>รถยนต์ มิ.ย. 59</t>
  </si>
  <si>
    <t>มิ.ย.59</t>
  </si>
  <si>
    <t>มิ.ย.58</t>
  </si>
  <si>
    <t>จักรยานยนต์ ก.ค. 59</t>
  </si>
  <si>
    <t>รถยนต์ ก.ค. 59</t>
  </si>
  <si>
    <t>มิ.ย. 59</t>
  </si>
  <si>
    <t>ก.ค. 59</t>
  </si>
  <si>
    <t>ก.ค. 58</t>
  </si>
  <si>
    <t>จักรยานยนต์ ส.ค. 59</t>
  </si>
  <si>
    <t>รถยนต์ ส.ค. 59</t>
  </si>
  <si>
    <t>ส.ค. 59</t>
  </si>
  <si>
    <t>ส.ค. 58</t>
  </si>
  <si>
    <t>จักรยานยนต์ ก.ย. 59</t>
  </si>
  <si>
    <t>ก.ย. 59</t>
  </si>
  <si>
    <t>ก.ย. 58</t>
  </si>
  <si>
    <t>2425.86</t>
  </si>
  <si>
    <t>จักรยานยนต์ ต.ค. 59</t>
  </si>
  <si>
    <t>ต.ค. 59</t>
  </si>
  <si>
    <t>ต.ค. 58</t>
  </si>
  <si>
    <t>ต.ค.  59</t>
  </si>
  <si>
    <t>รถยนต์ ต.ค. 59</t>
  </si>
  <si>
    <t>จักรยานยนต์ พ.ย. 59</t>
  </si>
  <si>
    <t>พ.ย. 58</t>
  </si>
  <si>
    <t>พ.ย.  59</t>
  </si>
  <si>
    <t>ต.ค.59</t>
  </si>
  <si>
    <t>พ.ย.59</t>
  </si>
  <si>
    <t>รถยนต์ พ.ย. 59</t>
  </si>
  <si>
    <t>จักรยานยนต์ ธ.ค. 59</t>
  </si>
  <si>
    <t>รถยนต์ ธ.ค. 59</t>
  </si>
  <si>
    <t>พ.ย. 59</t>
  </si>
  <si>
    <t>ธ.ค. 59</t>
  </si>
  <si>
    <t>ธ.ค. 58</t>
  </si>
  <si>
    <t>จักรยานยนต์ ม.ค. 60</t>
  </si>
  <si>
    <t>ธ.ค.  59</t>
  </si>
  <si>
    <t>ม.ค.  60</t>
  </si>
  <si>
    <t>ม.ค. 59</t>
  </si>
  <si>
    <t>ม.ค. 60</t>
  </si>
  <si>
    <t>รถยนต์ ม.ค. 59</t>
  </si>
  <si>
    <t>จักรยานยนต์ ก.พ. 60</t>
  </si>
  <si>
    <t>ก.พ.  60</t>
  </si>
  <si>
    <t>ก.พ. 59</t>
  </si>
  <si>
    <t>ก.พ. 60</t>
  </si>
  <si>
    <t>รถยนต์ ก.พ. 60</t>
  </si>
  <si>
    <t xml:space="preserve"> - มากกว่าหรือเท่ากับ 151 ซีซี               </t>
  </si>
  <si>
    <t>ก.พ.60</t>
  </si>
  <si>
    <t>มี.ค.60</t>
  </si>
  <si>
    <t>มี.ค.59</t>
  </si>
  <si>
    <t>จักรยานยนต์ มี.ค. 60</t>
  </si>
  <si>
    <t>รถยนต์ มี.ค. 60</t>
  </si>
  <si>
    <t>เอนกประสงค์</t>
  </si>
  <si>
    <t>จักรยานยนต์ เม.ย. 60</t>
  </si>
  <si>
    <t>เม.ย. 60</t>
  </si>
  <si>
    <t>เม.ย.  59</t>
  </si>
  <si>
    <t>รถยนต์ เม.ย. 60</t>
  </si>
  <si>
    <t>จักรยานยนต์ พ.ค. 60</t>
  </si>
  <si>
    <t>รถยนต์ พ.ค. 60</t>
  </si>
  <si>
    <t>พ.ค.60</t>
  </si>
  <si>
    <t>เม.ย.60</t>
  </si>
  <si>
    <t>มิ.ย.60</t>
  </si>
  <si>
    <t>รถยนต์ มิ.ย. 60</t>
  </si>
  <si>
    <t>จักรยานยนต์ มิ.ย. 60</t>
  </si>
  <si>
    <t>มิ.ย. 60</t>
  </si>
  <si>
    <t>ก.ค. 60</t>
  </si>
  <si>
    <t>จักรยานยนต์ ก.ค. 60</t>
  </si>
  <si>
    <t>รถยนต์ ก.ค. 60</t>
  </si>
  <si>
    <t>จักรยานยนต์ ส.ค. 60</t>
  </si>
  <si>
    <t>ส.ค. 60</t>
  </si>
  <si>
    <t>รถยนต์ ส.ค. 60</t>
  </si>
  <si>
    <t>จักรยานยนต์ ก.ย. 60</t>
  </si>
  <si>
    <t>รถยนต์ ก.ย. 60</t>
  </si>
  <si>
    <t>ก.ย. 60</t>
  </si>
  <si>
    <t>จักรยานยนต์ ต.ค. 60</t>
  </si>
  <si>
    <t>ต.ค.60</t>
  </si>
  <si>
    <t>ต.ค.  60</t>
  </si>
  <si>
    <t>รถยนต์ ต.ค. 60</t>
  </si>
  <si>
    <t>- น้อยกว่า 50 ซีซี</t>
  </si>
  <si>
    <t>- 51-110 ซีซี</t>
  </si>
  <si>
    <t>- 111-125 ซีซี</t>
  </si>
  <si>
    <t>- 126-250 ซีซี</t>
  </si>
  <si>
    <t>- 251-399 ซีซี</t>
  </si>
  <si>
    <t>- มากกว่าหรือเท่ากับ 400 ซีซี</t>
  </si>
  <si>
    <t>จักรยานยนต์ พ.ย. 60</t>
  </si>
  <si>
    <t>พ.ย.60</t>
  </si>
  <si>
    <t>พ.ย.  60</t>
  </si>
  <si>
    <t>0</t>
  </si>
  <si>
    <t>จักรยานยนต์ ธ.ค. 60</t>
  </si>
  <si>
    <t>รถยนต์ ธ.ค. 60</t>
  </si>
  <si>
    <t>พ.ย. 60</t>
  </si>
  <si>
    <t>ธ.ค. 60</t>
  </si>
  <si>
    <t>จักรยานยนต์ ม.ค. 61</t>
  </si>
  <si>
    <t>ธ.ค.  60</t>
  </si>
  <si>
    <t>ม.ค.  61</t>
  </si>
  <si>
    <t>ม.ค. 61</t>
  </si>
  <si>
    <t>จักรยานยนต์ ก.พ. 61</t>
  </si>
  <si>
    <t>ก.พ.  61</t>
  </si>
  <si>
    <t>ก.พ. 61</t>
  </si>
  <si>
    <t>รถยนต์ ก.พ. 61</t>
  </si>
  <si>
    <t>จักรยานยนต์ มี.ค. 61</t>
  </si>
  <si>
    <t>ก.พ.61</t>
  </si>
  <si>
    <t>มี.ค.61</t>
  </si>
  <si>
    <t>จักรยานยนต์ เม.ย. 61</t>
  </si>
  <si>
    <t>เม.ย. 61</t>
  </si>
  <si>
    <t>เม.ย.  60</t>
  </si>
  <si>
    <t>จักรยานยนต์ พ.ค. 61</t>
  </si>
  <si>
    <t>เม.ย.61</t>
  </si>
  <si>
    <t>พ.ค.61</t>
  </si>
  <si>
    <t>จักรยานยนต์ มิ.ย. 61</t>
  </si>
  <si>
    <t>รถยนต์ มิ.ย. 61</t>
  </si>
  <si>
    <t>มิ.ย.61</t>
  </si>
  <si>
    <t>ก.ค. 61</t>
  </si>
  <si>
    <t>จักรยานยนต์ ส.ค. 61</t>
  </si>
  <si>
    <t>รถยนต์ ส.ค. 61</t>
  </si>
  <si>
    <t>ส.ค. 61</t>
  </si>
  <si>
    <t>ส.ค.60</t>
  </si>
  <si>
    <t>จักรยานยนต์ ก.ย. 61</t>
  </si>
  <si>
    <t>รถยนต์ ก.ย. 61</t>
  </si>
  <si>
    <t>ก.ย. 61</t>
  </si>
  <si>
    <t>จักรยานยนต์ ต.ค. 61</t>
  </si>
  <si>
    <t>รถยนต์ ต.ค. 61</t>
  </si>
  <si>
    <t>ต.ค.61</t>
  </si>
  <si>
    <t>ต.ค. 60</t>
  </si>
  <si>
    <t>ต.ค.  61</t>
  </si>
  <si>
    <t>จักรยานยนต์ พ.ย. 61</t>
  </si>
  <si>
    <t>พ.ย.61</t>
  </si>
  <si>
    <t>พ.ย.  61</t>
  </si>
  <si>
    <t>รถยนต์ พ.ย. 61</t>
  </si>
  <si>
    <t>จักรยานยนต์ ธ.ค. 61</t>
  </si>
  <si>
    <t>พ.ย. 61</t>
  </si>
  <si>
    <t>ธ.ค. 61</t>
  </si>
  <si>
    <t>รถยนต์ ธ.ค. 61</t>
  </si>
  <si>
    <t>จักรยานยนต์ ม.ค. 62</t>
  </si>
  <si>
    <t>ธ.ค.  61</t>
  </si>
  <si>
    <t>ม.ค.  62</t>
  </si>
  <si>
    <t>ม.ค. 62</t>
  </si>
  <si>
    <t>ก.พ.  62</t>
  </si>
  <si>
    <t>ก.พ. 62</t>
  </si>
  <si>
    <t>จักรยานยนต์ ก.พ. 62</t>
  </si>
  <si>
    <t>รถยนต์ ก.พ. 62</t>
  </si>
  <si>
    <t>จักรยานยนต์ มี.ค. 62</t>
  </si>
  <si>
    <t>ก.พ.62</t>
  </si>
  <si>
    <t>มี.ค.62</t>
  </si>
  <si>
    <t>จักรยานยนต์ เม.ย. 62</t>
  </si>
  <si>
    <t>เม.ย. 62</t>
  </si>
  <si>
    <t>เม.ย.  61</t>
  </si>
  <si>
    <t>รถยนต์ เม.ย. 62</t>
  </si>
  <si>
    <t>จักรยานยนต์ พ.ค. 62</t>
  </si>
  <si>
    <t>เม.ย.62</t>
  </si>
  <si>
    <t>พ.ค.62</t>
  </si>
  <si>
    <t>รถยนต์ พ.ค. 62</t>
  </si>
  <si>
    <t>จักรยานยนต์ มิ.ย. 62</t>
  </si>
  <si>
    <t>มิ.ย.62</t>
  </si>
  <si>
    <t>รถยนต์ มิ.ย. 62</t>
  </si>
  <si>
    <t>ก.ค. 62</t>
  </si>
  <si>
    <t>จักรยานยนต์ ก.ค. 62</t>
  </si>
  <si>
    <t>รถยนต์ ก.ค. 62</t>
  </si>
  <si>
    <t>จักรยานยนต์ ส.ค. 62</t>
  </si>
  <si>
    <t>รถยนต์ ส.ค. 62</t>
  </si>
  <si>
    <t>ส.ค. 62</t>
  </si>
  <si>
    <t>ส.ค.61</t>
  </si>
  <si>
    <t>จักรยานยนต์ ก.ค. 61</t>
  </si>
  <si>
    <t>มิ.ย. 61</t>
  </si>
  <si>
    <t>รถยนต์ ก.ค. 61</t>
  </si>
  <si>
    <t>ก.ย. 62</t>
  </si>
  <si>
    <t>รถยนต์ ก.ย. 62</t>
  </si>
  <si>
    <t>จักรยานยนต์ ก.ย. 62</t>
  </si>
  <si>
    <t>จักรยานยนต์ ต.ค. 62</t>
  </si>
  <si>
    <t>รถยนต์ ต.ค. 62</t>
  </si>
  <si>
    <t>ต.ค.62</t>
  </si>
  <si>
    <t>ต.ค. 61</t>
  </si>
  <si>
    <t>ต.ค.  62</t>
  </si>
  <si>
    <t>พ.ย.62</t>
  </si>
  <si>
    <t>พ.ย.  62</t>
  </si>
  <si>
    <t>จักรยานยนต์ พ.ย. 62</t>
  </si>
  <si>
    <t>รถยนต์ พ.ย. 62</t>
  </si>
  <si>
    <t>จักรยานยนต์ ธ.ค. 62</t>
  </si>
  <si>
    <t>รถยนต์ ธ.ค. 62</t>
  </si>
  <si>
    <t>พ.ย. 62</t>
  </si>
  <si>
    <t>ธ.ค. 62</t>
  </si>
  <si>
    <t>จักรยานยนต์ ม.ค. 63</t>
  </si>
  <si>
    <t>รถยนต์ ม.ค. 63</t>
  </si>
  <si>
    <t>รถยนต์ ม.ค. 62</t>
  </si>
  <si>
    <t>ธ.ค.  62</t>
  </si>
  <si>
    <t>ม.ค.  63</t>
  </si>
  <si>
    <t>ม.ค. 63</t>
  </si>
  <si>
    <t>ก.พ.  63</t>
  </si>
  <si>
    <t>ก.พ. 63</t>
  </si>
  <si>
    <t>จักรยานยนต์ มี.ค. 63</t>
  </si>
  <si>
    <t>รถยนต์ มี.ค. 63</t>
  </si>
  <si>
    <t>ก.พ.63</t>
  </si>
  <si>
    <t>มี.ค.63</t>
  </si>
  <si>
    <t>จักรยานยนต์ พ.ค. 63</t>
  </si>
  <si>
    <t>รถยนต์ พ.ค. 63</t>
  </si>
  <si>
    <t>เม.ย.63</t>
  </si>
  <si>
    <t>พ.ค.63</t>
  </si>
  <si>
    <t>เม.ย. 63</t>
  </si>
  <si>
    <t>เม.ย.  62</t>
  </si>
  <si>
    <t>จักรยานยนต์ เม.ย. 63</t>
  </si>
  <si>
    <t>รถยนต์ เม.ย. 63</t>
  </si>
  <si>
    <t>จักรยานยนต์ มิ.ย. 63</t>
  </si>
  <si>
    <t>รถยนต์ มิ.ย. 63</t>
  </si>
  <si>
    <t>มิ.ย.63</t>
  </si>
  <si>
    <t>จักรยานยนต์ ก.ค. 63</t>
  </si>
  <si>
    <t>รถยนต์ ก.ค. 63</t>
  </si>
  <si>
    <t>ก.ค. 63</t>
  </si>
  <si>
    <t>ส.ค. 63</t>
  </si>
  <si>
    <t>ส.ค.62</t>
  </si>
  <si>
    <t>จักรยานยนต์ ก.ย. 63</t>
  </si>
  <si>
    <t>ก.ย. 63</t>
  </si>
  <si>
    <t>ต.ค.63</t>
  </si>
  <si>
    <t>ต.ค. 62</t>
  </si>
  <si>
    <t>ต.ค.  63</t>
  </si>
  <si>
    <t>จักรยานยนต์ ต.ค. 63</t>
  </si>
  <si>
    <t>รถยนต์ ต.ค. 63</t>
  </si>
  <si>
    <t>จักรยานยนต์ พ.ย. 63</t>
  </si>
  <si>
    <t>รถยนต์ พ.ย. 63</t>
  </si>
  <si>
    <t>พ.ย.63</t>
  </si>
  <si>
    <t>พ.ย.  63</t>
  </si>
  <si>
    <t>จักรยานยนต์ ธ.ค. 63</t>
  </si>
  <si>
    <t>รถยนต์ ธ.ค. 63</t>
  </si>
  <si>
    <t>พ.ย. 63</t>
  </si>
  <si>
    <t>ธ.ค. 63</t>
  </si>
  <si>
    <t>ธ.ค.  63</t>
  </si>
  <si>
    <t>ม.ค.  64</t>
  </si>
  <si>
    <t>ม.ค. 64</t>
  </si>
  <si>
    <t>จักรยานยนต์ ม.ค. 64</t>
  </si>
  <si>
    <t>รถยนต์ ม.ค. 64</t>
  </si>
  <si>
    <t>จักรยานยนต์ ก.พ. 63</t>
  </si>
  <si>
    <t>รถยนต์ ก.พ. 63</t>
  </si>
  <si>
    <t>ก.พ.  64</t>
  </si>
  <si>
    <t>ก.พ. 64</t>
  </si>
  <si>
    <t>จักรยานยนต์ ก.พ. 64</t>
  </si>
  <si>
    <t>รถยนต์ ก.พ. 64</t>
  </si>
  <si>
    <t>จักรยานยนต์ มี.ค. 64</t>
  </si>
  <si>
    <t>ก.พ.64</t>
  </si>
  <si>
    <t>มี.ค.64</t>
  </si>
  <si>
    <t>รถยนต์ มี.ค. 64</t>
  </si>
  <si>
    <t>จักรยานยนต์ เม.ย. 64</t>
  </si>
  <si>
    <t>เม.ย. 64</t>
  </si>
  <si>
    <t>เม.ย.  63</t>
  </si>
  <si>
    <t>รถยนต์ เม.ย. 64</t>
  </si>
  <si>
    <t>เม.ย.64</t>
  </si>
  <si>
    <t>พ.ค.64</t>
  </si>
  <si>
    <t>จักรยานยนต์ พ.ค. 64</t>
  </si>
  <si>
    <t>รถยนต์ พ.ค. 64</t>
  </si>
  <si>
    <t>จักรยานยนต์ มิ.ย. 64</t>
  </si>
  <si>
    <t>มิ.ย.64</t>
  </si>
  <si>
    <t>รถยนต์ มิ.ย. 64</t>
  </si>
  <si>
    <t>จักรยานยนต์ ก.ค. 64</t>
  </si>
  <si>
    <t>รถยนต์ ก.ค. 64</t>
  </si>
  <si>
    <t>ก.ค. 64</t>
  </si>
  <si>
    <t>จักรยานยนต์ ส.ค. 63</t>
  </si>
  <si>
    <t>จักรยานยนต์ ส.ค. 64</t>
  </si>
  <si>
    <t>ส.ค. 64</t>
  </si>
  <si>
    <t>ส.ค.63</t>
  </si>
  <si>
    <t>รถยนต์ ส.ค. 64</t>
  </si>
  <si>
    <t>จักรยานยนต์ ก.ย. 64</t>
  </si>
  <si>
    <t>รถยนต์ ก.ย. 64</t>
  </si>
  <si>
    <t>ก.ย. 64</t>
  </si>
  <si>
    <t>จักรยานยนต์ ต.ค. 64</t>
  </si>
  <si>
    <t>รถยนต์ ต.ค. 64</t>
  </si>
  <si>
    <t>ต.ค.64</t>
  </si>
  <si>
    <t>ต.ค. 63</t>
  </si>
  <si>
    <t>ต.ค.  64</t>
  </si>
  <si>
    <t>จักรยานยนต์ พ.ย. 64</t>
  </si>
  <si>
    <t>พ.ย.64</t>
  </si>
  <si>
    <t>พ.ย.  64</t>
  </si>
  <si>
    <t>รถยนต์ พ.ย. 64</t>
  </si>
  <si>
    <t>จักรยานยนต์ ธ.ค. 64</t>
  </si>
  <si>
    <t>รถยนต์ ธ.ค. 64</t>
  </si>
  <si>
    <t>พ.ย. 64</t>
  </si>
  <si>
    <t>ธ.ค. 64</t>
  </si>
  <si>
    <t>จักรยานยนต์ ม.ค. 65</t>
  </si>
  <si>
    <t>รถยนต์ ม.ค. 65</t>
  </si>
  <si>
    <t>ธ.ค.  64</t>
  </si>
  <si>
    <t>ม.ค.  65</t>
  </si>
  <si>
    <t>ม.ค. 65</t>
  </si>
  <si>
    <t>จักรยานยนต์ ก.พ. 65</t>
  </si>
  <si>
    <t>รถยนต์ ก.พ. 65</t>
  </si>
  <si>
    <t>ก.พ.  65</t>
  </si>
  <si>
    <t>ก.พ. 65</t>
  </si>
  <si>
    <t>จักรยานยนต์ มี.ค. 65</t>
  </si>
  <si>
    <t>ก.พ.65</t>
  </si>
  <si>
    <t>มี.ค.65</t>
  </si>
  <si>
    <t>รถยนต์ มี.ค. 65</t>
  </si>
  <si>
    <t>จักรยานยนต์ เม.ย. 65</t>
  </si>
  <si>
    <t>รถยนต์ เม.ย. 65</t>
  </si>
  <si>
    <t>เม.ย. 65</t>
  </si>
  <si>
    <t>เม.ย.  64</t>
  </si>
  <si>
    <t>เม.ย.65</t>
  </si>
  <si>
    <t>พ.ค.65</t>
  </si>
  <si>
    <t>จักรยานยนต์ มิ.ย. 65</t>
  </si>
  <si>
    <t>มิ.ย.65</t>
  </si>
  <si>
    <t>ก.ค. 65</t>
  </si>
  <si>
    <t>จักรยานยนต์ ส.ค. 65</t>
  </si>
  <si>
    <t>ส.ค. 65</t>
  </si>
  <si>
    <t>ส.ค.64</t>
  </si>
  <si>
    <t>จักรยานยนต์ ก.ย. 65</t>
  </si>
  <si>
    <t>รถยนต์ ก.ย. 65</t>
  </si>
  <si>
    <t>ก.ย. 65</t>
  </si>
  <si>
    <t>จักรยานยนต์ ต.ค. 65</t>
  </si>
  <si>
    <t>รถยนต์ ต.ค. 65</t>
  </si>
  <si>
    <t>ต.ค.65</t>
  </si>
  <si>
    <t>ต.ค. 64</t>
  </si>
  <si>
    <t>ต.ค.  65</t>
  </si>
  <si>
    <t>จักรยานยนต์ พ.ย. 65</t>
  </si>
  <si>
    <t>รถยนต์ พ.ย. 65</t>
  </si>
  <si>
    <t>พ.ย.65</t>
  </si>
  <si>
    <t>พ.ย.  65</t>
  </si>
  <si>
    <t>พ.ย. 65</t>
  </si>
  <si>
    <t>ธ.ค. 65</t>
  </si>
  <si>
    <t>จักรยานยนต์ ธ.ค. 65</t>
  </si>
  <si>
    <t>รถยนต์ ธ.ค. 65</t>
  </si>
  <si>
    <t>จักรยานยนต์ ม.ค. 66</t>
  </si>
  <si>
    <t>รถยนต์ ม.ค. 66</t>
  </si>
  <si>
    <t>ธ.ค.  65</t>
  </si>
  <si>
    <t>ม.ค.  66</t>
  </si>
  <si>
    <t>ม.ค. 66</t>
  </si>
  <si>
    <t>ไฟฟ้า</t>
  </si>
  <si>
    <t>จักรยานยนต์ ก.พ. 66</t>
  </si>
  <si>
    <t>ก.พ.  66</t>
  </si>
  <si>
    <t>ก.พ. 66</t>
  </si>
  <si>
    <t>รถยนต์ ก.พ. 66</t>
  </si>
  <si>
    <t>จักรยานยนต์ มี.ค. 66</t>
  </si>
  <si>
    <t>ก.พ.66</t>
  </si>
  <si>
    <t>มี.ค.66</t>
  </si>
  <si>
    <t>เม.ย. 66</t>
  </si>
  <si>
    <t>เม.ย.  65</t>
  </si>
  <si>
    <t>จักรยานยนต์ พ.ค. 65</t>
  </si>
  <si>
    <t>รถยนต์ พ.ค. 65</t>
  </si>
  <si>
    <t>จักรยานยนต์ พ.ค. 66</t>
  </si>
  <si>
    <t>รถยนต์ พ.ค. 66</t>
  </si>
  <si>
    <t>เม.ย.66</t>
  </si>
  <si>
    <t>พ.ค.66</t>
  </si>
  <si>
    <t>จักรยานยนต์ มิ.ย. 66</t>
  </si>
  <si>
    <t>รถยนต์ มิ.ย. 66</t>
  </si>
  <si>
    <t>มิ.ย.66</t>
  </si>
  <si>
    <t>จักรยานยนต์ ก.ค. 65</t>
  </si>
  <si>
    <t>รถยนต์ ก.ค. 65</t>
  </si>
  <si>
    <t>ก.ค. 66</t>
  </si>
  <si>
    <t>จักรยานยนต์ ก.ค. 66</t>
  </si>
  <si>
    <t>รถยนต์ ก.ค. 66</t>
  </si>
  <si>
    <t>-มากกว่าหรือเท่ากับ 400 ซีซี</t>
  </si>
  <si>
    <t>จักรยานยนต์ ส.ค. 66</t>
  </si>
  <si>
    <t>รถยนต์ ส.ค. 66</t>
  </si>
  <si>
    <t>ส.ค. 66</t>
  </si>
  <si>
    <t>ส.ค.65</t>
  </si>
  <si>
    <t>จักรยานยนต์ ก.ย. 66</t>
  </si>
  <si>
    <t>รถยนต์ ก.ย. 66</t>
  </si>
  <si>
    <t>ก.ย. 66</t>
  </si>
  <si>
    <t>EV</t>
  </si>
  <si>
    <t>จักรยานยนต์ ต.ค. 66</t>
  </si>
  <si>
    <t>รถยนต์ ต.ค. 66</t>
  </si>
  <si>
    <t>ต.ค.66</t>
  </si>
  <si>
    <t>ต.ค. 65</t>
  </si>
  <si>
    <t>ต.ค.  66</t>
  </si>
  <si>
    <t>รถยนต์ พ.ย. 66</t>
  </si>
  <si>
    <t>จักรยานยนต์ พ.ย. 66</t>
  </si>
  <si>
    <t>พ.ย.66</t>
  </si>
  <si>
    <t>จักรยานยนต์ ธ.ค. 66</t>
  </si>
  <si>
    <t>รถยนต์ ธ.ค. 66</t>
  </si>
  <si>
    <t>พ.ย. 66</t>
  </si>
  <si>
    <t>ธ.ค. 66</t>
  </si>
  <si>
    <t>ICONIC</t>
  </si>
  <si>
    <t>จักรยานยนต์ ม.ค.67</t>
  </si>
  <si>
    <t>รถยนต์ ม.ค.67</t>
  </si>
  <si>
    <t>ม.ค.67</t>
  </si>
  <si>
    <t>จักรยานยนต์ ก.พ. 67</t>
  </si>
  <si>
    <t>ก.พ. 67</t>
  </si>
  <si>
    <t>ก.พ.  67</t>
  </si>
  <si>
    <t>ม.ค. 67</t>
  </si>
  <si>
    <t>รถยนต์ ก.พ. 67</t>
  </si>
  <si>
    <t>จักรยานยนต์ มี.ค. 67</t>
  </si>
  <si>
    <t>รถยนต์ มี.ค. 67</t>
  </si>
  <si>
    <t>รถยนต์ มี.ค. 66</t>
  </si>
  <si>
    <t>ก.พ.67</t>
  </si>
  <si>
    <t>มี.ค.67</t>
  </si>
  <si>
    <t>จักรยานยนต์ เม.ย. 66</t>
  </si>
  <si>
    <t>รถยนต์ เม.ย. 66</t>
  </si>
  <si>
    <t>รถยนต์ เม.ย. 67</t>
  </si>
  <si>
    <t>จักรยานยนต์ เม.ย. 67</t>
  </si>
  <si>
    <t>เม.ย. 67</t>
  </si>
  <si>
    <t>เม.ย.  66</t>
  </si>
  <si>
    <t>จักรยานยนต์ พ.ค. 67</t>
  </si>
  <si>
    <t>รถยนต์ พ.ค. 67</t>
  </si>
  <si>
    <t>เม.ย.67</t>
  </si>
  <si>
    <t>พ.ค.67</t>
  </si>
  <si>
    <t>จักรยานยนต์ มิ.ย. 67</t>
  </si>
  <si>
    <t>มิ.ย.67</t>
  </si>
  <si>
    <t>รถยนต์ มิ.ย. 67</t>
  </si>
  <si>
    <t>จักรยานยนต์ ก.ค. 67</t>
  </si>
  <si>
    <t>ก.ค. 67</t>
  </si>
  <si>
    <t>จักรยานยนต์ ส.ค. 67</t>
  </si>
  <si>
    <t>รถยนต์ ส.ค. 67</t>
  </si>
  <si>
    <t>รถยนต์ ก.ค. 67</t>
  </si>
  <si>
    <t>ส.ค. 67</t>
  </si>
  <si>
    <t>ส.ค.66</t>
  </si>
  <si>
    <t>จักรยานยนต์ ก.ย. 67</t>
  </si>
  <si>
    <t>ก.ย. 67</t>
  </si>
  <si>
    <t>รถยนต์ ก.ย. 67</t>
  </si>
  <si>
    <t>ต.ค. 66</t>
  </si>
  <si>
    <t>ต.ค.  67</t>
  </si>
  <si>
    <t>จักรยานยนต์ ต.ค. 67</t>
  </si>
  <si>
    <t>รถยนต์ ต.ค. 67</t>
  </si>
  <si>
    <t>จักรยานยนต์ พ.ย. 67</t>
  </si>
  <si>
    <t>พ.ย.67</t>
  </si>
  <si>
    <t>ต.ค.67</t>
  </si>
  <si>
    <t>รถยนต์ พ.ย. 67</t>
  </si>
  <si>
    <t>จักรยานยนต์ ธ.ค. 67</t>
  </si>
  <si>
    <t>ธ.ค. 67</t>
  </si>
  <si>
    <t>รถยนต์ ม.ค.68</t>
  </si>
  <si>
    <t>ม.ค. 68</t>
  </si>
  <si>
    <t>จักรยานยนต์ ม.ค.68</t>
  </si>
  <si>
    <t>จักรยานยนต์ ก.พ. 68</t>
  </si>
  <si>
    <t>ก.พ.  68</t>
  </si>
  <si>
    <t>ก.พ. 68</t>
  </si>
  <si>
    <t>รถยนต์ ก.พ. 68</t>
  </si>
  <si>
    <t>จักรยานยนต์ มี.ค. 68</t>
  </si>
  <si>
    <t>ก.พ.68</t>
  </si>
  <si>
    <t>มี.ค.68</t>
  </si>
  <si>
    <t>รถยนต์ มี.ค. 68</t>
  </si>
  <si>
    <t>รถยนต์ เม.ย. 68</t>
  </si>
  <si>
    <t>จักรยานยนต์ เม.ย. 68</t>
  </si>
  <si>
    <t>เม.ย. 68</t>
  </si>
  <si>
    <t>จักรยานยนต์ พ.ค. 68</t>
  </si>
  <si>
    <t>พ.ค.68</t>
  </si>
  <si>
    <t>รถยนต์ พ.ค. 68</t>
  </si>
  <si>
    <t>จักรยานยนต์ มิ.ย. 68</t>
  </si>
  <si>
    <t>มิ.ย.68</t>
  </si>
  <si>
    <t>รถยนต์ มิ.ย. 68</t>
  </si>
  <si>
    <t>จักรยานยนต์ ก.ค. 68</t>
  </si>
  <si>
    <t>ก.ค. 68</t>
  </si>
  <si>
    <t>รถยนต์ ก.ค. 68</t>
  </si>
  <si>
    <t>รถยนต์ ส.ค. 68</t>
  </si>
  <si>
    <t>ส.ค. 68</t>
  </si>
  <si>
    <t>จักรยานยนต์ ส.ค. 68</t>
  </si>
  <si>
    <t>จักรยานยนต์ ก.ย. 68</t>
  </si>
  <si>
    <t>รถยนต์ ก.ย. 68</t>
  </si>
  <si>
    <t>ก.ย. 68</t>
  </si>
  <si>
    <t>ต.ค.  68</t>
  </si>
  <si>
    <t>รถยนต์ ต.ค. 68</t>
  </si>
  <si>
    <t>จักรยานยนต์ ต.ค. 68</t>
  </si>
  <si>
    <t>รถยนต์ พ.ย. 68</t>
  </si>
  <si>
    <t>พ.ย.68</t>
  </si>
  <si>
    <t>ต.ค.68</t>
  </si>
  <si>
    <t>จักรยานยนต์ พ.ย. 68</t>
  </si>
  <si>
    <t>พ.ย. 68</t>
  </si>
  <si>
    <t>ธ.ค. 68</t>
  </si>
  <si>
    <t>รถยนต์ ธ.ค. 68</t>
  </si>
  <si>
    <t>Export</t>
  </si>
  <si>
    <t>1 Ton P/U</t>
  </si>
  <si>
    <t>Passenger Car</t>
  </si>
  <si>
    <t>PPV</t>
  </si>
  <si>
    <t>Truck</t>
  </si>
  <si>
    <t xml:space="preserve">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</si>
</sst>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B1mmm\-yy"/>
  </numFmts>
  <fonts count="27" x14ac:knownFonts="1">
    <font>
      <sz val="14"/>
      <name val="Cordia New"/>
      <charset val="222"/>
    </font>
    <font>
      <sz val="14"/>
      <name val="Cordia New"/>
      <family val="2"/>
    </font>
    <font>
      <sz val="14"/>
      <color indexed="10"/>
      <name val="Cordia New"/>
      <family val="2"/>
    </font>
    <font>
      <b/>
      <sz val="14"/>
      <color indexed="8"/>
      <name val="Cordia New"/>
      <family val="2"/>
    </font>
    <font>
      <b/>
      <sz val="14"/>
      <name val="Cordia New"/>
      <family val="2"/>
    </font>
    <font>
      <b/>
      <sz val="14"/>
      <color indexed="10"/>
      <name val="Cordia New"/>
      <family val="2"/>
    </font>
    <font>
      <sz val="14"/>
      <color indexed="8"/>
      <name val="Cordia New"/>
      <family val="2"/>
    </font>
    <font>
      <sz val="14"/>
      <color indexed="8"/>
      <name val="Cordia New"/>
      <family val="2"/>
    </font>
    <font>
      <sz val="14"/>
      <color indexed="21"/>
      <name val="Cordia New"/>
      <family val="2"/>
    </font>
    <font>
      <sz val="14"/>
      <color indexed="15"/>
      <name val="Cordia New"/>
      <family val="2"/>
    </font>
    <font>
      <sz val="8"/>
      <name val="Cordia New"/>
      <family val="2"/>
    </font>
    <font>
      <sz val="14"/>
      <color indexed="20"/>
      <name val="Cordia New"/>
      <family val="2"/>
    </font>
    <font>
      <sz val="14"/>
      <color indexed="60"/>
      <name val="Cordia New"/>
      <family val="2"/>
    </font>
    <font>
      <sz val="14"/>
      <color indexed="9"/>
      <name val="Cordia New"/>
      <family val="2"/>
    </font>
    <font>
      <sz val="14"/>
      <name val="Cordia New"/>
      <family val="2"/>
    </font>
    <font>
      <b/>
      <sz val="14"/>
      <color indexed="9"/>
      <name val="Cordia New"/>
      <family val="2"/>
    </font>
    <font>
      <i/>
      <sz val="14"/>
      <name val="Cordia New"/>
      <family val="2"/>
    </font>
    <font>
      <i/>
      <sz val="14"/>
      <color indexed="8"/>
      <name val="Cordia New"/>
      <family val="2"/>
    </font>
    <font>
      <b/>
      <i/>
      <sz val="14"/>
      <name val="Cordia New"/>
      <family val="2"/>
    </font>
    <font>
      <b/>
      <sz val="14"/>
      <color rgb="FFFF0000"/>
      <name val="Cordia New"/>
      <family val="2"/>
    </font>
    <font>
      <sz val="14"/>
      <name val="Cordia New"/>
      <family val="2"/>
    </font>
    <font>
      <b/>
      <sz val="14"/>
      <color rgb="FF00B050"/>
      <name val="Cordia New"/>
      <family val="2"/>
    </font>
    <font>
      <sz val="14"/>
      <name val="Cordia New"/>
      <family val="2"/>
      <charset val="222"/>
    </font>
    <font>
      <sz val="18"/>
      <name val="Browallia New"/>
      <family val="2"/>
    </font>
    <font>
      <sz val="16"/>
      <name val="Browallia New"/>
      <family val="2"/>
    </font>
    <font>
      <b/>
      <sz val="16"/>
      <name val="Browallia New"/>
      <family val="2"/>
    </font>
    <font>
      <b/>
      <sz val="18"/>
      <name val="Browallia New"/>
      <family val="2"/>
    </font>
  </fonts>
  <fills count="42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4">
    <xf numFmtId="0" fontId="0" fillId="0" borderId="0" xfId="0"/>
    <xf numFmtId="0" fontId="4" fillId="0" borderId="0" xfId="0" applyFont="1"/>
    <xf numFmtId="0" fontId="9" fillId="2" borderId="0" xfId="0" applyFont="1" applyFill="1"/>
    <xf numFmtId="17" fontId="9" fillId="2" borderId="0" xfId="0" applyNumberFormat="1" applyFont="1" applyFill="1"/>
    <xf numFmtId="0" fontId="0" fillId="3" borderId="0" xfId="0" applyFill="1"/>
    <xf numFmtId="165" fontId="6" fillId="3" borderId="0" xfId="1" applyNumberFormat="1" applyFont="1" applyFill="1"/>
    <xf numFmtId="165" fontId="2" fillId="3" borderId="0" xfId="1" applyNumberFormat="1" applyFont="1" applyFill="1"/>
    <xf numFmtId="0" fontId="2" fillId="3" borderId="0" xfId="0" applyFont="1" applyFill="1"/>
    <xf numFmtId="165" fontId="8" fillId="3" borderId="0" xfId="1" applyNumberFormat="1" applyFont="1" applyFill="1"/>
    <xf numFmtId="165" fontId="0" fillId="3" borderId="0" xfId="1" applyNumberFormat="1" applyFont="1" applyFill="1"/>
    <xf numFmtId="0" fontId="9" fillId="4" borderId="0" xfId="0" applyFont="1" applyFill="1"/>
    <xf numFmtId="17" fontId="9" fillId="4" borderId="0" xfId="0" applyNumberFormat="1" applyFont="1" applyFill="1"/>
    <xf numFmtId="0" fontId="0" fillId="5" borderId="0" xfId="0" applyFill="1"/>
    <xf numFmtId="165" fontId="6" fillId="5" borderId="0" xfId="1" applyNumberFormat="1" applyFont="1" applyFill="1"/>
    <xf numFmtId="165" fontId="2" fillId="5" borderId="0" xfId="1" applyNumberFormat="1" applyFont="1" applyFill="1"/>
    <xf numFmtId="0" fontId="2" fillId="5" borderId="0" xfId="0" applyFont="1" applyFill="1"/>
    <xf numFmtId="165" fontId="0" fillId="5" borderId="0" xfId="1" applyNumberFormat="1" applyFont="1" applyFill="1"/>
    <xf numFmtId="165" fontId="7" fillId="5" borderId="0" xfId="1" applyNumberFormat="1" applyFont="1" applyFill="1"/>
    <xf numFmtId="0" fontId="9" fillId="6" borderId="0" xfId="0" applyFont="1" applyFill="1"/>
    <xf numFmtId="17" fontId="9" fillId="6" borderId="0" xfId="0" applyNumberFormat="1" applyFont="1" applyFill="1"/>
    <xf numFmtId="0" fontId="0" fillId="7" borderId="0" xfId="0" applyFill="1"/>
    <xf numFmtId="165" fontId="6" fillId="7" borderId="0" xfId="1" applyNumberFormat="1" applyFont="1" applyFill="1"/>
    <xf numFmtId="165" fontId="2" fillId="7" borderId="0" xfId="1" applyNumberFormat="1" applyFont="1" applyFill="1"/>
    <xf numFmtId="0" fontId="2" fillId="7" borderId="0" xfId="0" applyFont="1" applyFill="1"/>
    <xf numFmtId="0" fontId="0" fillId="8" borderId="0" xfId="0" applyFill="1"/>
    <xf numFmtId="165" fontId="6" fillId="8" borderId="0" xfId="1" applyNumberFormat="1" applyFont="1" applyFill="1"/>
    <xf numFmtId="0" fontId="2" fillId="8" borderId="0" xfId="0" applyFont="1" applyFill="1"/>
    <xf numFmtId="165" fontId="7" fillId="8" borderId="0" xfId="1" applyNumberFormat="1" applyFont="1" applyFill="1"/>
    <xf numFmtId="165" fontId="0" fillId="7" borderId="0" xfId="1" applyNumberFormat="1" applyFont="1" applyFill="1"/>
    <xf numFmtId="0" fontId="9" fillId="6" borderId="0" xfId="0" applyFont="1" applyFill="1" applyAlignment="1">
      <alignment horizontal="center"/>
    </xf>
    <xf numFmtId="17" fontId="9" fillId="6" borderId="0" xfId="0" applyNumberFormat="1" applyFont="1" applyFill="1" applyAlignment="1">
      <alignment horizontal="center"/>
    </xf>
    <xf numFmtId="2" fontId="2" fillId="7" borderId="0" xfId="0" applyNumberFormat="1" applyFont="1" applyFill="1"/>
    <xf numFmtId="2" fontId="2" fillId="8" borderId="0" xfId="0" applyNumberFormat="1" applyFont="1" applyFill="1"/>
    <xf numFmtId="0" fontId="11" fillId="0" borderId="0" xfId="0" applyFont="1"/>
    <xf numFmtId="0" fontId="12" fillId="0" borderId="0" xfId="0" applyFont="1"/>
    <xf numFmtId="165" fontId="7" fillId="7" borderId="0" xfId="1" applyNumberFormat="1" applyFont="1" applyFill="1"/>
    <xf numFmtId="2" fontId="2" fillId="3" borderId="0" xfId="0" applyNumberFormat="1" applyFont="1" applyFill="1"/>
    <xf numFmtId="165" fontId="7" fillId="3" borderId="0" xfId="1" applyNumberFormat="1" applyFont="1" applyFill="1"/>
    <xf numFmtId="0" fontId="13" fillId="2" borderId="0" xfId="0" applyFont="1" applyFill="1" applyAlignment="1">
      <alignment horizontal="center"/>
    </xf>
    <xf numFmtId="17" fontId="13" fillId="2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17" fontId="13" fillId="9" borderId="0" xfId="0" applyNumberFormat="1" applyFont="1" applyFill="1" applyAlignment="1">
      <alignment horizontal="center"/>
    </xf>
    <xf numFmtId="0" fontId="0" fillId="10" borderId="0" xfId="0" applyFill="1"/>
    <xf numFmtId="165" fontId="6" fillId="10" borderId="0" xfId="1" applyNumberFormat="1" applyFont="1" applyFill="1"/>
    <xf numFmtId="2" fontId="2" fillId="10" borderId="0" xfId="0" applyNumberFormat="1" applyFont="1" applyFill="1"/>
    <xf numFmtId="165" fontId="7" fillId="10" borderId="0" xfId="1" applyNumberFormat="1" applyFont="1" applyFill="1"/>
    <xf numFmtId="165" fontId="7" fillId="3" borderId="0" xfId="1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17" fontId="13" fillId="11" borderId="0" xfId="0" applyNumberFormat="1" applyFont="1" applyFill="1" applyAlignment="1">
      <alignment horizontal="center"/>
    </xf>
    <xf numFmtId="3" fontId="0" fillId="8" borderId="0" xfId="0" applyNumberFormat="1" applyFill="1"/>
    <xf numFmtId="3" fontId="0" fillId="7" borderId="0" xfId="0" applyNumberFormat="1" applyFill="1"/>
    <xf numFmtId="0" fontId="9" fillId="0" borderId="0" xfId="0" applyFont="1"/>
    <xf numFmtId="0" fontId="2" fillId="0" borderId="0" xfId="0" applyFont="1"/>
    <xf numFmtId="0" fontId="1" fillId="9" borderId="0" xfId="0" applyFont="1" applyFill="1"/>
    <xf numFmtId="17" fontId="1" fillId="9" borderId="0" xfId="0" applyNumberFormat="1" applyFont="1" applyFill="1"/>
    <xf numFmtId="165" fontId="2" fillId="10" borderId="0" xfId="1" applyNumberFormat="1" applyFont="1" applyFill="1"/>
    <xf numFmtId="165" fontId="0" fillId="10" borderId="0" xfId="1" applyNumberFormat="1" applyFont="1" applyFill="1"/>
    <xf numFmtId="165" fontId="14" fillId="10" borderId="0" xfId="1" applyNumberFormat="1" applyFont="1" applyFill="1"/>
    <xf numFmtId="2" fontId="0" fillId="0" borderId="0" xfId="0" applyNumberFormat="1"/>
    <xf numFmtId="2" fontId="1" fillId="9" borderId="0" xfId="0" applyNumberFormat="1" applyFont="1" applyFill="1"/>
    <xf numFmtId="2" fontId="2" fillId="0" borderId="0" xfId="0" applyNumberFormat="1" applyFont="1"/>
    <xf numFmtId="0" fontId="1" fillId="0" borderId="0" xfId="0" applyFont="1"/>
    <xf numFmtId="0" fontId="4" fillId="10" borderId="0" xfId="0" applyFont="1" applyFill="1"/>
    <xf numFmtId="165" fontId="3" fillId="10" borderId="0" xfId="1" applyNumberFormat="1" applyFont="1" applyFill="1"/>
    <xf numFmtId="2" fontId="5" fillId="10" borderId="0" xfId="0" applyNumberFormat="1" applyFont="1" applyFill="1"/>
    <xf numFmtId="4" fontId="6" fillId="10" borderId="0" xfId="1" applyNumberFormat="1" applyFont="1" applyFill="1"/>
    <xf numFmtId="4" fontId="7" fillId="10" borderId="0" xfId="1" applyNumberFormat="1" applyFont="1" applyFill="1"/>
    <xf numFmtId="165" fontId="4" fillId="10" borderId="0" xfId="1" applyNumberFormat="1" applyFont="1" applyFill="1"/>
    <xf numFmtId="0" fontId="4" fillId="7" borderId="0" xfId="0" applyFont="1" applyFill="1"/>
    <xf numFmtId="165" fontId="5" fillId="7" borderId="0" xfId="1" applyNumberFormat="1" applyFont="1" applyFill="1"/>
    <xf numFmtId="2" fontId="5" fillId="7" borderId="0" xfId="0" applyNumberFormat="1" applyFont="1" applyFill="1"/>
    <xf numFmtId="165" fontId="4" fillId="7" borderId="0" xfId="1" applyNumberFormat="1" applyFont="1" applyFill="1"/>
    <xf numFmtId="2" fontId="5" fillId="0" borderId="0" xfId="0" applyNumberFormat="1" applyFont="1"/>
    <xf numFmtId="0" fontId="4" fillId="12" borderId="0" xfId="0" applyFont="1" applyFill="1"/>
    <xf numFmtId="165" fontId="3" fillId="12" borderId="0" xfId="1" applyNumberFormat="1" applyFont="1" applyFill="1"/>
    <xf numFmtId="2" fontId="5" fillId="12" borderId="0" xfId="0" applyNumberFormat="1" applyFont="1" applyFill="1"/>
    <xf numFmtId="0" fontId="0" fillId="12" borderId="0" xfId="0" applyFill="1"/>
    <xf numFmtId="165" fontId="14" fillId="12" borderId="0" xfId="1" applyNumberFormat="1" applyFont="1" applyFill="1"/>
    <xf numFmtId="2" fontId="2" fillId="12" borderId="0" xfId="0" applyNumberFormat="1" applyFont="1" applyFill="1"/>
    <xf numFmtId="165" fontId="6" fillId="12" borderId="0" xfId="1" applyNumberFormat="1" applyFont="1" applyFill="1"/>
    <xf numFmtId="165" fontId="7" fillId="12" borderId="0" xfId="1" applyNumberFormat="1" applyFont="1" applyFill="1"/>
    <xf numFmtId="4" fontId="6" fillId="12" borderId="0" xfId="1" applyNumberFormat="1" applyFont="1" applyFill="1"/>
    <xf numFmtId="4" fontId="7" fillId="12" borderId="0" xfId="1" applyNumberFormat="1" applyFont="1" applyFill="1"/>
    <xf numFmtId="0" fontId="1" fillId="13" borderId="0" xfId="0" applyFont="1" applyFill="1"/>
    <xf numFmtId="17" fontId="1" fillId="13" borderId="0" xfId="0" applyNumberFormat="1" applyFont="1" applyFill="1"/>
    <xf numFmtId="0" fontId="4" fillId="14" borderId="0" xfId="0" applyFont="1" applyFill="1"/>
    <xf numFmtId="165" fontId="4" fillId="14" borderId="0" xfId="1" applyNumberFormat="1" applyFont="1" applyFill="1"/>
    <xf numFmtId="2" fontId="5" fillId="14" borderId="0" xfId="0" applyNumberFormat="1" applyFont="1" applyFill="1"/>
    <xf numFmtId="0" fontId="0" fillId="14" borderId="0" xfId="0" applyFill="1"/>
    <xf numFmtId="165" fontId="6" fillId="14" borderId="0" xfId="1" applyNumberFormat="1" applyFont="1" applyFill="1"/>
    <xf numFmtId="2" fontId="2" fillId="14" borderId="0" xfId="0" applyNumberFormat="1" applyFont="1" applyFill="1"/>
    <xf numFmtId="165" fontId="7" fillId="14" borderId="0" xfId="1" applyNumberFormat="1" applyFont="1" applyFill="1"/>
    <xf numFmtId="4" fontId="6" fillId="14" borderId="0" xfId="1" applyNumberFormat="1" applyFont="1" applyFill="1"/>
    <xf numFmtId="4" fontId="7" fillId="14" borderId="0" xfId="1" applyNumberFormat="1" applyFont="1" applyFill="1"/>
    <xf numFmtId="0" fontId="1" fillId="15" borderId="0" xfId="0" applyFont="1" applyFill="1"/>
    <xf numFmtId="17" fontId="1" fillId="15" borderId="0" xfId="0" applyNumberFormat="1" applyFont="1" applyFill="1"/>
    <xf numFmtId="165" fontId="0" fillId="0" borderId="0" xfId="0" applyNumberFormat="1"/>
    <xf numFmtId="0" fontId="1" fillId="16" borderId="0" xfId="0" applyFont="1" applyFill="1"/>
    <xf numFmtId="17" fontId="1" fillId="16" borderId="0" xfId="0" applyNumberFormat="1" applyFont="1" applyFill="1"/>
    <xf numFmtId="0" fontId="4" fillId="17" borderId="0" xfId="0" applyFont="1" applyFill="1"/>
    <xf numFmtId="165" fontId="3" fillId="17" borderId="0" xfId="1" applyNumberFormat="1" applyFont="1" applyFill="1"/>
    <xf numFmtId="2" fontId="5" fillId="17" borderId="0" xfId="0" applyNumberFormat="1" applyFont="1" applyFill="1"/>
    <xf numFmtId="0" fontId="0" fillId="17" borderId="0" xfId="0" applyFill="1"/>
    <xf numFmtId="165" fontId="14" fillId="17" borderId="0" xfId="1" applyNumberFormat="1" applyFont="1" applyFill="1"/>
    <xf numFmtId="165" fontId="6" fillId="17" borderId="0" xfId="1" applyNumberFormat="1" applyFont="1" applyFill="1"/>
    <xf numFmtId="4" fontId="6" fillId="17" borderId="0" xfId="1" applyNumberFormat="1" applyFont="1" applyFill="1"/>
    <xf numFmtId="0" fontId="1" fillId="18" borderId="0" xfId="0" applyFont="1" applyFill="1"/>
    <xf numFmtId="17" fontId="1" fillId="18" borderId="0" xfId="0" applyNumberFormat="1" applyFont="1" applyFill="1"/>
    <xf numFmtId="165" fontId="7" fillId="17" borderId="0" xfId="1" applyNumberFormat="1" applyFont="1" applyFill="1"/>
    <xf numFmtId="4" fontId="7" fillId="17" borderId="0" xfId="1" applyNumberFormat="1" applyFont="1" applyFill="1"/>
    <xf numFmtId="2" fontId="0" fillId="10" borderId="0" xfId="0" applyNumberFormat="1" applyFill="1"/>
    <xf numFmtId="2" fontId="2" fillId="17" borderId="0" xfId="0" applyNumberFormat="1" applyFont="1" applyFill="1"/>
    <xf numFmtId="3" fontId="0" fillId="10" borderId="0" xfId="0" applyNumberFormat="1" applyFill="1"/>
    <xf numFmtId="3" fontId="4" fillId="10" borderId="0" xfId="0" applyNumberFormat="1" applyFont="1" applyFill="1"/>
    <xf numFmtId="4" fontId="0" fillId="10" borderId="0" xfId="0" applyNumberFormat="1" applyFill="1"/>
    <xf numFmtId="0" fontId="13" fillId="0" borderId="0" xfId="0" applyFont="1"/>
    <xf numFmtId="2" fontId="15" fillId="0" borderId="0" xfId="0" applyNumberFormat="1" applyFont="1"/>
    <xf numFmtId="0" fontId="1" fillId="19" borderId="0" xfId="0" applyFont="1" applyFill="1"/>
    <xf numFmtId="17" fontId="1" fillId="19" borderId="0" xfId="0" applyNumberFormat="1" applyFont="1" applyFill="1"/>
    <xf numFmtId="0" fontId="4" fillId="8" borderId="0" xfId="0" applyFont="1" applyFill="1"/>
    <xf numFmtId="165" fontId="3" fillId="8" borderId="0" xfId="1" applyNumberFormat="1" applyFont="1" applyFill="1"/>
    <xf numFmtId="2" fontId="5" fillId="8" borderId="0" xfId="0" applyNumberFormat="1" applyFont="1" applyFill="1"/>
    <xf numFmtId="165" fontId="14" fillId="8" borderId="0" xfId="1" applyNumberFormat="1" applyFont="1" applyFill="1"/>
    <xf numFmtId="4" fontId="6" fillId="8" borderId="0" xfId="1" applyNumberFormat="1" applyFont="1" applyFill="1"/>
    <xf numFmtId="2" fontId="4" fillId="8" borderId="0" xfId="0" applyNumberFormat="1" applyFont="1" applyFill="1"/>
    <xf numFmtId="2" fontId="4" fillId="14" borderId="0" xfId="0" applyNumberFormat="1" applyFont="1" applyFill="1"/>
    <xf numFmtId="2" fontId="4" fillId="0" borderId="0" xfId="0" applyNumberFormat="1" applyFont="1"/>
    <xf numFmtId="2" fontId="14" fillId="8" borderId="0" xfId="0" applyNumberFormat="1" applyFont="1" applyFill="1"/>
    <xf numFmtId="2" fontId="14" fillId="14" borderId="0" xfId="0" applyNumberFormat="1" applyFont="1" applyFill="1"/>
    <xf numFmtId="2" fontId="14" fillId="0" borderId="0" xfId="0" applyNumberFormat="1" applyFont="1"/>
    <xf numFmtId="0" fontId="0" fillId="19" borderId="0" xfId="0" applyFill="1"/>
    <xf numFmtId="4" fontId="0" fillId="8" borderId="0" xfId="0" applyNumberFormat="1" applyFill="1"/>
    <xf numFmtId="3" fontId="4" fillId="8" borderId="0" xfId="0" applyNumberFormat="1" applyFont="1" applyFill="1"/>
    <xf numFmtId="3" fontId="0" fillId="17" borderId="0" xfId="0" applyNumberFormat="1" applyFill="1"/>
    <xf numFmtId="0" fontId="4" fillId="20" borderId="0" xfId="0" applyFont="1" applyFill="1"/>
    <xf numFmtId="165" fontId="4" fillId="20" borderId="0" xfId="1" applyNumberFormat="1" applyFont="1" applyFill="1"/>
    <xf numFmtId="2" fontId="5" fillId="20" borderId="0" xfId="0" applyNumberFormat="1" applyFont="1" applyFill="1"/>
    <xf numFmtId="0" fontId="0" fillId="20" borderId="0" xfId="0" applyFill="1"/>
    <xf numFmtId="165" fontId="6" fillId="20" borderId="0" xfId="1" applyNumberFormat="1" applyFont="1" applyFill="1"/>
    <xf numFmtId="4" fontId="6" fillId="20" borderId="0" xfId="1" applyNumberFormat="1" applyFont="1" applyFill="1"/>
    <xf numFmtId="0" fontId="1" fillId="21" borderId="0" xfId="0" applyFont="1" applyFill="1"/>
    <xf numFmtId="17" fontId="1" fillId="21" borderId="0" xfId="0" applyNumberFormat="1" applyFont="1" applyFill="1"/>
    <xf numFmtId="17" fontId="0" fillId="16" borderId="0" xfId="0" applyNumberFormat="1" applyFill="1"/>
    <xf numFmtId="17" fontId="0" fillId="21" borderId="0" xfId="0" applyNumberFormat="1" applyFill="1"/>
    <xf numFmtId="0" fontId="0" fillId="16" borderId="0" xfId="0" applyFill="1"/>
    <xf numFmtId="0" fontId="0" fillId="21" borderId="0" xfId="0" applyFill="1"/>
    <xf numFmtId="165" fontId="4" fillId="22" borderId="0" xfId="1" applyNumberFormat="1" applyFont="1" applyFill="1"/>
    <xf numFmtId="165" fontId="6" fillId="22" borderId="0" xfId="1" applyNumberFormat="1" applyFont="1" applyFill="1"/>
    <xf numFmtId="4" fontId="6" fillId="22" borderId="0" xfId="1" applyNumberFormat="1" applyFont="1" applyFill="1"/>
    <xf numFmtId="0" fontId="4" fillId="22" borderId="0" xfId="0" applyFont="1" applyFill="1"/>
    <xf numFmtId="2" fontId="5" fillId="22" borderId="0" xfId="0" applyNumberFormat="1" applyFont="1" applyFill="1"/>
    <xf numFmtId="0" fontId="0" fillId="22" borderId="0" xfId="0" applyFill="1"/>
    <xf numFmtId="0" fontId="0" fillId="23" borderId="0" xfId="0" applyFill="1"/>
    <xf numFmtId="0" fontId="1" fillId="23" borderId="0" xfId="0" applyFont="1" applyFill="1"/>
    <xf numFmtId="2" fontId="5" fillId="23" borderId="0" xfId="0" applyNumberFormat="1" applyFont="1" applyFill="1"/>
    <xf numFmtId="0" fontId="4" fillId="24" borderId="0" xfId="0" applyFont="1" applyFill="1"/>
    <xf numFmtId="165" fontId="3" fillId="24" borderId="0" xfId="1" applyNumberFormat="1" applyFont="1" applyFill="1"/>
    <xf numFmtId="2" fontId="5" fillId="24" borderId="0" xfId="0" applyNumberFormat="1" applyFont="1" applyFill="1"/>
    <xf numFmtId="0" fontId="0" fillId="24" borderId="0" xfId="0" applyFill="1"/>
    <xf numFmtId="165" fontId="14" fillId="24" borderId="0" xfId="1" applyNumberFormat="1" applyFont="1" applyFill="1"/>
    <xf numFmtId="165" fontId="6" fillId="24" borderId="0" xfId="1" applyNumberFormat="1" applyFont="1" applyFill="1"/>
    <xf numFmtId="4" fontId="6" fillId="24" borderId="0" xfId="1" applyNumberFormat="1" applyFont="1" applyFill="1"/>
    <xf numFmtId="0" fontId="1" fillId="25" borderId="0" xfId="0" applyFont="1" applyFill="1"/>
    <xf numFmtId="17" fontId="1" fillId="25" borderId="0" xfId="0" applyNumberFormat="1" applyFont="1" applyFill="1"/>
    <xf numFmtId="0" fontId="4" fillId="26" borderId="0" xfId="0" applyFont="1" applyFill="1"/>
    <xf numFmtId="165" fontId="4" fillId="26" borderId="0" xfId="1" applyNumberFormat="1" applyFont="1" applyFill="1"/>
    <xf numFmtId="2" fontId="5" fillId="26" borderId="0" xfId="0" applyNumberFormat="1" applyFont="1" applyFill="1"/>
    <xf numFmtId="0" fontId="0" fillId="26" borderId="0" xfId="0" applyFill="1"/>
    <xf numFmtId="165" fontId="6" fillId="26" borderId="0" xfId="1" applyNumberFormat="1" applyFont="1" applyFill="1"/>
    <xf numFmtId="4" fontId="6" fillId="26" borderId="0" xfId="1" applyNumberFormat="1" applyFont="1" applyFill="1"/>
    <xf numFmtId="0" fontId="14" fillId="0" borderId="0" xfId="0" applyFont="1"/>
    <xf numFmtId="17" fontId="0" fillId="25" borderId="0" xfId="0" applyNumberFormat="1" applyFill="1"/>
    <xf numFmtId="0" fontId="4" fillId="27" borderId="0" xfId="0" applyFont="1" applyFill="1"/>
    <xf numFmtId="17" fontId="4" fillId="27" borderId="0" xfId="0" applyNumberFormat="1" applyFont="1" applyFill="1"/>
    <xf numFmtId="17" fontId="14" fillId="25" borderId="0" xfId="0" applyNumberFormat="1" applyFont="1" applyFill="1"/>
    <xf numFmtId="0" fontId="4" fillId="23" borderId="0" xfId="0" applyFont="1" applyFill="1"/>
    <xf numFmtId="165" fontId="14" fillId="26" borderId="0" xfId="1" applyNumberFormat="1" applyFont="1" applyFill="1"/>
    <xf numFmtId="4" fontId="14" fillId="26" borderId="0" xfId="1" applyNumberFormat="1" applyFont="1" applyFill="1"/>
    <xf numFmtId="0" fontId="1" fillId="27" borderId="0" xfId="0" applyFont="1" applyFill="1"/>
    <xf numFmtId="17" fontId="14" fillId="27" borderId="0" xfId="0" applyNumberFormat="1" applyFont="1" applyFill="1"/>
    <xf numFmtId="0" fontId="4" fillId="28" borderId="0" xfId="0" applyFont="1" applyFill="1"/>
    <xf numFmtId="165" fontId="3" fillId="28" borderId="0" xfId="1" applyNumberFormat="1" applyFont="1" applyFill="1"/>
    <xf numFmtId="2" fontId="5" fillId="28" borderId="0" xfId="0" applyNumberFormat="1" applyFont="1" applyFill="1"/>
    <xf numFmtId="0" fontId="0" fillId="28" borderId="0" xfId="0" applyFill="1"/>
    <xf numFmtId="165" fontId="14" fillId="28" borderId="0" xfId="1" applyNumberFormat="1" applyFont="1" applyFill="1"/>
    <xf numFmtId="165" fontId="6" fillId="28" borderId="0" xfId="1" applyNumberFormat="1" applyFont="1" applyFill="1"/>
    <xf numFmtId="4" fontId="6" fillId="28" borderId="0" xfId="1" applyNumberFormat="1" applyFont="1" applyFill="1"/>
    <xf numFmtId="0" fontId="1" fillId="29" borderId="0" xfId="0" applyFont="1" applyFill="1"/>
    <xf numFmtId="17" fontId="14" fillId="29" borderId="0" xfId="0" applyNumberFormat="1" applyFont="1" applyFill="1"/>
    <xf numFmtId="17" fontId="0" fillId="29" borderId="0" xfId="0" applyNumberFormat="1" applyFill="1"/>
    <xf numFmtId="0" fontId="4" fillId="30" borderId="0" xfId="0" applyFont="1" applyFill="1"/>
    <xf numFmtId="165" fontId="4" fillId="30" borderId="0" xfId="1" applyNumberFormat="1" applyFont="1" applyFill="1"/>
    <xf numFmtId="2" fontId="5" fillId="30" borderId="0" xfId="0" applyNumberFormat="1" applyFont="1" applyFill="1"/>
    <xf numFmtId="0" fontId="0" fillId="30" borderId="0" xfId="0" applyFill="1"/>
    <xf numFmtId="165" fontId="6" fillId="30" borderId="0" xfId="1" applyNumberFormat="1" applyFont="1" applyFill="1"/>
    <xf numFmtId="4" fontId="6" fillId="30" borderId="0" xfId="1" applyNumberFormat="1" applyFont="1" applyFill="1"/>
    <xf numFmtId="17" fontId="0" fillId="27" borderId="0" xfId="0" applyNumberFormat="1" applyFill="1"/>
    <xf numFmtId="0" fontId="0" fillId="0" borderId="0" xfId="0" applyAlignment="1">
      <alignment horizontal="center"/>
    </xf>
    <xf numFmtId="0" fontId="4" fillId="31" borderId="0" xfId="0" applyFont="1" applyFill="1"/>
    <xf numFmtId="165" fontId="3" fillId="31" borderId="0" xfId="1" applyNumberFormat="1" applyFont="1" applyFill="1"/>
    <xf numFmtId="2" fontId="5" fillId="31" borderId="0" xfId="0" applyNumberFormat="1" applyFont="1" applyFill="1"/>
    <xf numFmtId="0" fontId="0" fillId="31" borderId="0" xfId="0" applyFill="1"/>
    <xf numFmtId="165" fontId="14" fillId="31" borderId="0" xfId="1" applyNumberFormat="1" applyFont="1" applyFill="1"/>
    <xf numFmtId="165" fontId="6" fillId="31" borderId="0" xfId="1" applyNumberFormat="1" applyFont="1" applyFill="1"/>
    <xf numFmtId="4" fontId="6" fillId="31" borderId="0" xfId="1" applyNumberFormat="1" applyFont="1" applyFill="1"/>
    <xf numFmtId="0" fontId="4" fillId="32" borderId="0" xfId="0" applyFont="1" applyFill="1"/>
    <xf numFmtId="165" fontId="3" fillId="32" borderId="0" xfId="1" applyNumberFormat="1" applyFont="1" applyFill="1"/>
    <xf numFmtId="2" fontId="5" fillId="32" borderId="0" xfId="0" applyNumberFormat="1" applyFont="1" applyFill="1"/>
    <xf numFmtId="0" fontId="0" fillId="32" borderId="0" xfId="0" applyFill="1"/>
    <xf numFmtId="165" fontId="14" fillId="32" borderId="0" xfId="1" applyNumberFormat="1" applyFont="1" applyFill="1"/>
    <xf numFmtId="165" fontId="6" fillId="32" borderId="0" xfId="1" applyNumberFormat="1" applyFont="1" applyFill="1"/>
    <xf numFmtId="4" fontId="6" fillId="32" borderId="0" xfId="1" applyNumberFormat="1" applyFont="1" applyFill="1"/>
    <xf numFmtId="0" fontId="1" fillId="33" borderId="0" xfId="0" applyFont="1" applyFill="1"/>
    <xf numFmtId="17" fontId="14" fillId="33" borderId="0" xfId="0" applyNumberFormat="1" applyFont="1" applyFill="1"/>
    <xf numFmtId="17" fontId="0" fillId="33" borderId="0" xfId="0" applyNumberFormat="1" applyFill="1"/>
    <xf numFmtId="0" fontId="4" fillId="34" borderId="0" xfId="0" applyFont="1" applyFill="1"/>
    <xf numFmtId="165" fontId="4" fillId="34" borderId="0" xfId="1" applyNumberFormat="1" applyFont="1" applyFill="1"/>
    <xf numFmtId="2" fontId="5" fillId="34" borderId="0" xfId="0" applyNumberFormat="1" applyFont="1" applyFill="1"/>
    <xf numFmtId="0" fontId="0" fillId="34" borderId="0" xfId="0" applyFill="1"/>
    <xf numFmtId="165" fontId="6" fillId="34" borderId="0" xfId="1" applyNumberFormat="1" applyFont="1" applyFill="1"/>
    <xf numFmtId="4" fontId="6" fillId="34" borderId="0" xfId="1" applyNumberFormat="1" applyFont="1" applyFill="1"/>
    <xf numFmtId="165" fontId="14" fillId="34" borderId="0" xfId="1" applyNumberFormat="1" applyFont="1" applyFill="1"/>
    <xf numFmtId="4" fontId="14" fillId="34" borderId="0" xfId="1" applyNumberFormat="1" applyFont="1" applyFill="1"/>
    <xf numFmtId="0" fontId="4" fillId="35" borderId="0" xfId="0" applyFont="1" applyFill="1"/>
    <xf numFmtId="2" fontId="5" fillId="35" borderId="0" xfId="0" applyNumberFormat="1" applyFont="1" applyFill="1"/>
    <xf numFmtId="0" fontId="0" fillId="35" borderId="0" xfId="0" applyFill="1"/>
    <xf numFmtId="165" fontId="6" fillId="35" borderId="0" xfId="1" applyNumberFormat="1" applyFont="1" applyFill="1"/>
    <xf numFmtId="4" fontId="6" fillId="35" borderId="0" xfId="1" applyNumberFormat="1" applyFont="1" applyFill="1"/>
    <xf numFmtId="0" fontId="4" fillId="36" borderId="0" xfId="0" applyFont="1" applyFill="1"/>
    <xf numFmtId="165" fontId="3" fillId="36" borderId="0" xfId="1" applyNumberFormat="1" applyFont="1" applyFill="1"/>
    <xf numFmtId="2" fontId="5" fillId="36" borderId="0" xfId="0" applyNumberFormat="1" applyFont="1" applyFill="1"/>
    <xf numFmtId="0" fontId="0" fillId="36" borderId="0" xfId="0" applyFill="1"/>
    <xf numFmtId="165" fontId="14" fillId="36" borderId="0" xfId="1" applyNumberFormat="1" applyFont="1" applyFill="1"/>
    <xf numFmtId="165" fontId="6" fillId="36" borderId="0" xfId="1" applyNumberFormat="1" applyFont="1" applyFill="1"/>
    <xf numFmtId="4" fontId="6" fillId="36" borderId="0" xfId="1" applyNumberFormat="1" applyFont="1" applyFill="1"/>
    <xf numFmtId="0" fontId="1" fillId="37" borderId="0" xfId="0" applyFont="1" applyFill="1"/>
    <xf numFmtId="17" fontId="0" fillId="37" borderId="0" xfId="0" applyNumberFormat="1" applyFill="1"/>
    <xf numFmtId="165" fontId="4" fillId="35" borderId="0" xfId="1" applyNumberFormat="1" applyFont="1" applyFill="1"/>
    <xf numFmtId="0" fontId="1" fillId="38" borderId="0" xfId="0" applyFont="1" applyFill="1"/>
    <xf numFmtId="17" fontId="0" fillId="38" borderId="0" xfId="0" applyNumberFormat="1" applyFill="1"/>
    <xf numFmtId="0" fontId="0" fillId="38" borderId="0" xfId="0" applyFill="1"/>
    <xf numFmtId="3" fontId="4" fillId="36" borderId="0" xfId="0" applyNumberFormat="1" applyFont="1" applyFill="1"/>
    <xf numFmtId="4" fontId="0" fillId="36" borderId="0" xfId="0" applyNumberFormat="1" applyFill="1"/>
    <xf numFmtId="3" fontId="0" fillId="36" borderId="0" xfId="0" applyNumberFormat="1" applyFill="1"/>
    <xf numFmtId="17" fontId="14" fillId="37" borderId="0" xfId="0" applyNumberFormat="1" applyFont="1" applyFill="1"/>
    <xf numFmtId="17" fontId="14" fillId="38" borderId="0" xfId="0" applyNumberFormat="1" applyFont="1" applyFill="1"/>
    <xf numFmtId="0" fontId="4" fillId="39" borderId="0" xfId="0" applyFont="1" applyFill="1"/>
    <xf numFmtId="165" fontId="3" fillId="39" borderId="0" xfId="1" applyNumberFormat="1" applyFont="1" applyFill="1"/>
    <xf numFmtId="2" fontId="5" fillId="39" borderId="0" xfId="0" applyNumberFormat="1" applyFont="1" applyFill="1"/>
    <xf numFmtId="0" fontId="0" fillId="39" borderId="0" xfId="0" applyFill="1"/>
    <xf numFmtId="165" fontId="14" fillId="39" borderId="0" xfId="1" applyNumberFormat="1" applyFont="1" applyFill="1"/>
    <xf numFmtId="165" fontId="6" fillId="39" borderId="0" xfId="1" applyNumberFormat="1" applyFont="1" applyFill="1"/>
    <xf numFmtId="3" fontId="4" fillId="39" borderId="0" xfId="0" applyNumberFormat="1" applyFont="1" applyFill="1"/>
    <xf numFmtId="3" fontId="0" fillId="39" borderId="0" xfId="0" applyNumberFormat="1" applyFill="1"/>
    <xf numFmtId="4" fontId="0" fillId="39" borderId="0" xfId="0" applyNumberFormat="1" applyFill="1"/>
    <xf numFmtId="4" fontId="6" fillId="39" borderId="0" xfId="1" applyNumberFormat="1" applyFont="1" applyFill="1"/>
    <xf numFmtId="0" fontId="1" fillId="40" borderId="0" xfId="0" applyFont="1" applyFill="1"/>
    <xf numFmtId="17" fontId="14" fillId="40" borderId="0" xfId="0" applyNumberFormat="1" applyFont="1" applyFill="1"/>
    <xf numFmtId="17" fontId="0" fillId="40" borderId="0" xfId="0" applyNumberFormat="1" applyFill="1"/>
    <xf numFmtId="17" fontId="0" fillId="40" borderId="0" xfId="0" applyNumberFormat="1" applyFill="1" applyAlignment="1">
      <alignment horizontal="center"/>
    </xf>
    <xf numFmtId="17" fontId="14" fillId="40" borderId="0" xfId="0" applyNumberFormat="1" applyFont="1" applyFill="1" applyAlignment="1">
      <alignment horizontal="center"/>
    </xf>
    <xf numFmtId="0" fontId="1" fillId="40" borderId="0" xfId="0" applyFont="1" applyFill="1" applyAlignment="1">
      <alignment horizontal="center"/>
    </xf>
    <xf numFmtId="17" fontId="0" fillId="25" borderId="0" xfId="0" applyNumberFormat="1" applyFill="1" applyAlignment="1">
      <alignment horizontal="center"/>
    </xf>
    <xf numFmtId="17" fontId="14" fillId="25" borderId="0" xfId="0" applyNumberFormat="1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3" fontId="14" fillId="39" borderId="0" xfId="0" applyNumberFormat="1" applyFont="1" applyFill="1" applyAlignment="1">
      <alignment horizontal="center"/>
    </xf>
    <xf numFmtId="3" fontId="4" fillId="39" borderId="0" xfId="0" applyNumberFormat="1" applyFont="1" applyFill="1" applyAlignment="1">
      <alignment horizontal="center"/>
    </xf>
    <xf numFmtId="2" fontId="5" fillId="39" borderId="0" xfId="0" applyNumberFormat="1" applyFont="1" applyFill="1" applyAlignment="1">
      <alignment horizontal="center"/>
    </xf>
    <xf numFmtId="4" fontId="14" fillId="39" borderId="0" xfId="0" applyNumberFormat="1" applyFont="1" applyFill="1" applyAlignment="1">
      <alignment horizontal="center"/>
    </xf>
    <xf numFmtId="3" fontId="4" fillId="26" borderId="3" xfId="0" applyNumberFormat="1" applyFont="1" applyFill="1" applyBorder="1" applyAlignment="1">
      <alignment horizontal="center"/>
    </xf>
    <xf numFmtId="3" fontId="4" fillId="26" borderId="1" xfId="0" applyNumberFormat="1" applyFont="1" applyFill="1" applyBorder="1" applyAlignment="1">
      <alignment horizontal="center"/>
    </xf>
    <xf numFmtId="3" fontId="14" fillId="26" borderId="0" xfId="0" applyNumberFormat="1" applyFont="1" applyFill="1" applyAlignment="1">
      <alignment horizontal="center"/>
    </xf>
    <xf numFmtId="3" fontId="14" fillId="26" borderId="2" xfId="0" applyNumberFormat="1" applyFont="1" applyFill="1" applyBorder="1" applyAlignment="1">
      <alignment horizontal="center"/>
    </xf>
    <xf numFmtId="3" fontId="4" fillId="26" borderId="3" xfId="0" applyNumberFormat="1" applyFont="1" applyFill="1" applyBorder="1" applyAlignment="1">
      <alignment horizontal="right"/>
    </xf>
    <xf numFmtId="3" fontId="18" fillId="26" borderId="1" xfId="0" applyNumberFormat="1" applyFont="1" applyFill="1" applyBorder="1" applyAlignment="1">
      <alignment horizontal="center"/>
    </xf>
    <xf numFmtId="3" fontId="16" fillId="26" borderId="0" xfId="0" applyNumberFormat="1" applyFont="1" applyFill="1" applyAlignment="1">
      <alignment horizontal="right"/>
    </xf>
    <xf numFmtId="3" fontId="1" fillId="26" borderId="0" xfId="0" applyNumberFormat="1" applyFont="1" applyFill="1" applyAlignment="1">
      <alignment horizontal="center"/>
    </xf>
    <xf numFmtId="3" fontId="16" fillId="26" borderId="0" xfId="0" applyNumberFormat="1" applyFont="1" applyFill="1" applyAlignment="1">
      <alignment horizontal="center"/>
    </xf>
    <xf numFmtId="3" fontId="6" fillId="26" borderId="0" xfId="0" applyNumberFormat="1" applyFont="1" applyFill="1" applyAlignment="1">
      <alignment horizontal="center"/>
    </xf>
    <xf numFmtId="3" fontId="17" fillId="26" borderId="0" xfId="0" applyNumberFormat="1" applyFont="1" applyFill="1" applyAlignment="1">
      <alignment horizontal="center"/>
    </xf>
    <xf numFmtId="3" fontId="16" fillId="26" borderId="2" xfId="0" applyNumberFormat="1" applyFont="1" applyFill="1" applyBorder="1" applyAlignment="1">
      <alignment horizontal="right"/>
    </xf>
    <xf numFmtId="3" fontId="4" fillId="26" borderId="4" xfId="0" applyNumberFormat="1" applyFont="1" applyFill="1" applyBorder="1" applyAlignment="1">
      <alignment horizontal="center"/>
    </xf>
    <xf numFmtId="4" fontId="14" fillId="26" borderId="2" xfId="0" applyNumberFormat="1" applyFont="1" applyFill="1" applyBorder="1" applyAlignment="1">
      <alignment horizontal="right"/>
    </xf>
    <xf numFmtId="4" fontId="14" fillId="26" borderId="2" xfId="0" applyNumberFormat="1" applyFont="1" applyFill="1" applyBorder="1" applyAlignment="1">
      <alignment horizontal="center"/>
    </xf>
    <xf numFmtId="165" fontId="3" fillId="39" borderId="0" xfId="1" applyNumberFormat="1" applyFont="1" applyFill="1" applyAlignment="1">
      <alignment horizontal="center"/>
    </xf>
    <xf numFmtId="165" fontId="14" fillId="39" borderId="0" xfId="1" applyNumberFormat="1" applyFont="1" applyFill="1" applyAlignment="1">
      <alignment horizontal="center"/>
    </xf>
    <xf numFmtId="3" fontId="1" fillId="39" borderId="0" xfId="0" applyNumberFormat="1" applyFont="1" applyFill="1" applyAlignment="1">
      <alignment horizontal="center"/>
    </xf>
    <xf numFmtId="3" fontId="16" fillId="39" borderId="0" xfId="0" applyNumberFormat="1" applyFont="1" applyFill="1" applyAlignment="1">
      <alignment horizontal="center"/>
    </xf>
    <xf numFmtId="165" fontId="6" fillId="39" borderId="0" xfId="1" applyNumberFormat="1" applyFont="1" applyFill="1" applyAlignment="1">
      <alignment horizontal="center"/>
    </xf>
    <xf numFmtId="4" fontId="6" fillId="39" borderId="0" xfId="1" applyNumberFormat="1" applyFont="1" applyFill="1" applyAlignment="1">
      <alignment horizontal="center"/>
    </xf>
    <xf numFmtId="165" fontId="4" fillId="26" borderId="0" xfId="1" applyNumberFormat="1" applyFont="1" applyFill="1" applyAlignment="1">
      <alignment horizontal="center"/>
    </xf>
    <xf numFmtId="3" fontId="4" fillId="26" borderId="0" xfId="0" applyNumberFormat="1" applyFont="1" applyFill="1" applyAlignment="1">
      <alignment horizontal="center"/>
    </xf>
    <xf numFmtId="2" fontId="5" fillId="26" borderId="0" xfId="0" applyNumberFormat="1" applyFont="1" applyFill="1" applyAlignment="1">
      <alignment horizontal="center"/>
    </xf>
    <xf numFmtId="165" fontId="6" fillId="26" borderId="0" xfId="1" applyNumberFormat="1" applyFont="1" applyFill="1" applyAlignment="1">
      <alignment horizontal="center"/>
    </xf>
    <xf numFmtId="4" fontId="6" fillId="26" borderId="0" xfId="1" applyNumberFormat="1" applyFont="1" applyFill="1" applyAlignment="1">
      <alignment horizontal="center"/>
    </xf>
    <xf numFmtId="4" fontId="1" fillId="26" borderId="0" xfId="0" applyNumberFormat="1" applyFont="1" applyFill="1" applyAlignment="1">
      <alignment horizontal="center"/>
    </xf>
    <xf numFmtId="17" fontId="1" fillId="40" borderId="0" xfId="0" applyNumberFormat="1" applyFont="1" applyFill="1"/>
    <xf numFmtId="17" fontId="1" fillId="38" borderId="0" xfId="0" applyNumberFormat="1" applyFont="1" applyFill="1"/>
    <xf numFmtId="3" fontId="18" fillId="26" borderId="0" xfId="0" applyNumberFormat="1" applyFont="1" applyFill="1" applyAlignment="1">
      <alignment horizontal="center"/>
    </xf>
    <xf numFmtId="4" fontId="14" fillId="26" borderId="0" xfId="0" applyNumberFormat="1" applyFont="1" applyFill="1" applyAlignment="1">
      <alignment horizontal="center"/>
    </xf>
    <xf numFmtId="17" fontId="1" fillId="40" borderId="0" xfId="0" applyNumberFormat="1" applyFont="1" applyFill="1" applyAlignment="1">
      <alignment horizontal="center"/>
    </xf>
    <xf numFmtId="17" fontId="1" fillId="25" borderId="0" xfId="0" applyNumberFormat="1" applyFont="1" applyFill="1" applyAlignment="1">
      <alignment horizontal="center"/>
    </xf>
    <xf numFmtId="3" fontId="4" fillId="26" borderId="0" xfId="0" applyNumberFormat="1" applyFont="1" applyFill="1" applyAlignment="1">
      <alignment horizontal="right"/>
    </xf>
    <xf numFmtId="4" fontId="14" fillId="26" borderId="0" xfId="0" applyNumberFormat="1" applyFont="1" applyFill="1" applyAlignment="1">
      <alignment horizontal="right"/>
    </xf>
    <xf numFmtId="2" fontId="0" fillId="40" borderId="0" xfId="0" applyNumberFormat="1" applyFill="1"/>
    <xf numFmtId="2" fontId="4" fillId="40" borderId="0" xfId="0" applyNumberFormat="1" applyFont="1" applyFill="1"/>
    <xf numFmtId="2" fontId="4" fillId="39" borderId="0" xfId="0" applyNumberFormat="1" applyFont="1" applyFill="1"/>
    <xf numFmtId="2" fontId="19" fillId="39" borderId="0" xfId="0" applyNumberFormat="1" applyFont="1" applyFill="1" applyAlignment="1">
      <alignment horizontal="center"/>
    </xf>
    <xf numFmtId="3" fontId="0" fillId="39" borderId="0" xfId="0" applyNumberFormat="1" applyFill="1" applyAlignment="1">
      <alignment horizontal="center"/>
    </xf>
    <xf numFmtId="4" fontId="0" fillId="39" borderId="0" xfId="0" applyNumberFormat="1" applyFill="1" applyAlignment="1">
      <alignment horizontal="center"/>
    </xf>
    <xf numFmtId="2" fontId="4" fillId="40" borderId="0" xfId="0" applyNumberFormat="1" applyFont="1" applyFill="1" applyAlignment="1">
      <alignment horizontal="center"/>
    </xf>
    <xf numFmtId="2" fontId="4" fillId="25" borderId="0" xfId="0" applyNumberFormat="1" applyFont="1" applyFill="1"/>
    <xf numFmtId="2" fontId="4" fillId="26" borderId="0" xfId="0" applyNumberFormat="1" applyFont="1" applyFill="1"/>
    <xf numFmtId="2" fontId="4" fillId="26" borderId="0" xfId="0" applyNumberFormat="1" applyFont="1" applyFill="1" applyAlignment="1">
      <alignment horizontal="center"/>
    </xf>
    <xf numFmtId="3" fontId="0" fillId="26" borderId="0" xfId="0" applyNumberFormat="1" applyFill="1" applyAlignment="1">
      <alignment horizontal="center"/>
    </xf>
    <xf numFmtId="4" fontId="0" fillId="26" borderId="0" xfId="0" applyNumberFormat="1" applyFill="1" applyAlignment="1">
      <alignment horizontal="center"/>
    </xf>
    <xf numFmtId="0" fontId="4" fillId="40" borderId="0" xfId="0" applyFont="1" applyFill="1"/>
    <xf numFmtId="17" fontId="4" fillId="40" borderId="0" xfId="0" applyNumberFormat="1" applyFont="1" applyFill="1"/>
    <xf numFmtId="0" fontId="4" fillId="25" borderId="0" xfId="0" applyFont="1" applyFill="1"/>
    <xf numFmtId="17" fontId="4" fillId="25" borderId="0" xfId="0" applyNumberFormat="1" applyFont="1" applyFill="1"/>
    <xf numFmtId="0" fontId="1" fillId="39" borderId="0" xfId="0" quotePrefix="1" applyFont="1" applyFill="1"/>
    <xf numFmtId="17" fontId="0" fillId="40" borderId="0" xfId="0" quotePrefix="1" applyNumberFormat="1" applyFill="1" applyAlignment="1">
      <alignment horizontal="center"/>
    </xf>
    <xf numFmtId="17" fontId="1" fillId="40" borderId="0" xfId="0" quotePrefix="1" applyNumberFormat="1" applyFont="1" applyFill="1" applyAlignment="1">
      <alignment horizontal="center"/>
    </xf>
    <xf numFmtId="17" fontId="1" fillId="40" borderId="0" xfId="0" quotePrefix="1" applyNumberFormat="1" applyFont="1" applyFill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3" fontId="6" fillId="39" borderId="0" xfId="1" applyNumberFormat="1" applyFont="1" applyFill="1" applyAlignment="1">
      <alignment horizontal="center"/>
    </xf>
    <xf numFmtId="17" fontId="1" fillId="37" borderId="0" xfId="0" quotePrefix="1" applyNumberFormat="1" applyFont="1" applyFill="1" applyAlignment="1">
      <alignment horizontal="center"/>
    </xf>
    <xf numFmtId="0" fontId="1" fillId="37" borderId="0" xfId="0" applyFont="1" applyFill="1" applyAlignment="1">
      <alignment horizontal="center"/>
    </xf>
    <xf numFmtId="17" fontId="0" fillId="37" borderId="0" xfId="0" quotePrefix="1" applyNumberFormat="1" applyFill="1" applyAlignment="1">
      <alignment horizontal="center"/>
    </xf>
    <xf numFmtId="2" fontId="4" fillId="40" borderId="0" xfId="0" quotePrefix="1" applyNumberFormat="1" applyFont="1" applyFill="1" applyAlignment="1">
      <alignment horizontal="center"/>
    </xf>
    <xf numFmtId="2" fontId="4" fillId="25" borderId="0" xfId="0" applyNumberFormat="1" applyFont="1" applyFill="1" applyAlignment="1">
      <alignment horizontal="center"/>
    </xf>
    <xf numFmtId="2" fontId="1" fillId="39" borderId="0" xfId="0" applyNumberFormat="1" applyFont="1" applyFill="1"/>
    <xf numFmtId="0" fontId="1" fillId="39" borderId="0" xfId="0" applyFont="1" applyFill="1"/>
    <xf numFmtId="165" fontId="6" fillId="36" borderId="0" xfId="1" quotePrefix="1" applyNumberFormat="1" applyFont="1" applyFill="1" applyAlignment="1">
      <alignment horizontal="center"/>
    </xf>
    <xf numFmtId="165" fontId="6" fillId="39" borderId="0" xfId="1" quotePrefix="1" applyNumberFormat="1" applyFont="1" applyFill="1" applyAlignment="1">
      <alignment horizontal="center"/>
    </xf>
    <xf numFmtId="2" fontId="5" fillId="39" borderId="0" xfId="0" quotePrefix="1" applyNumberFormat="1" applyFont="1" applyFill="1" applyAlignment="1">
      <alignment horizontal="center"/>
    </xf>
    <xf numFmtId="4" fontId="6" fillId="36" borderId="0" xfId="1" applyNumberFormat="1" applyFont="1" applyFill="1" applyAlignment="1">
      <alignment horizontal="center"/>
    </xf>
    <xf numFmtId="165" fontId="3" fillId="36" borderId="0" xfId="1" applyNumberFormat="1" applyFont="1" applyFill="1" applyAlignment="1">
      <alignment horizontal="center"/>
    </xf>
    <xf numFmtId="165" fontId="6" fillId="36" borderId="0" xfId="1" applyNumberFormat="1" applyFont="1" applyFill="1" applyAlignment="1">
      <alignment horizontal="center"/>
    </xf>
    <xf numFmtId="2" fontId="5" fillId="36" borderId="0" xfId="0" applyNumberFormat="1" applyFont="1" applyFill="1" applyAlignment="1">
      <alignment horizontal="center"/>
    </xf>
    <xf numFmtId="17" fontId="0" fillId="38" borderId="0" xfId="0" applyNumberFormat="1" applyFill="1" applyAlignment="1">
      <alignment horizontal="center"/>
    </xf>
    <xf numFmtId="17" fontId="1" fillId="38" borderId="0" xfId="0" applyNumberFormat="1" applyFont="1" applyFill="1" applyAlignment="1">
      <alignment horizontal="center"/>
    </xf>
    <xf numFmtId="2" fontId="5" fillId="36" borderId="0" xfId="0" quotePrefix="1" applyNumberFormat="1" applyFont="1" applyFill="1" applyAlignment="1">
      <alignment horizontal="center"/>
    </xf>
    <xf numFmtId="2" fontId="5" fillId="39" borderId="0" xfId="0" quotePrefix="1" applyNumberFormat="1" applyFont="1" applyFill="1" applyAlignment="1">
      <alignment horizontal="right"/>
    </xf>
    <xf numFmtId="3" fontId="1" fillId="26" borderId="0" xfId="0" applyNumberFormat="1" applyFont="1" applyFill="1" applyAlignment="1">
      <alignment horizontal="right"/>
    </xf>
    <xf numFmtId="2" fontId="4" fillId="25" borderId="0" xfId="0" quotePrefix="1" applyNumberFormat="1" applyFont="1" applyFill="1" applyAlignment="1">
      <alignment horizontal="center"/>
    </xf>
    <xf numFmtId="0" fontId="0" fillId="39" borderId="0" xfId="0" quotePrefix="1" applyFill="1"/>
    <xf numFmtId="165" fontId="1" fillId="39" borderId="0" xfId="1" applyNumberFormat="1" applyFont="1" applyFill="1" applyAlignment="1">
      <alignment horizontal="center"/>
    </xf>
    <xf numFmtId="165" fontId="1" fillId="39" borderId="0" xfId="1" applyNumberFormat="1" applyFont="1" applyFill="1"/>
    <xf numFmtId="0" fontId="1" fillId="38" borderId="0" xfId="0" applyFont="1" applyFill="1" applyAlignment="1">
      <alignment horizontal="center"/>
    </xf>
    <xf numFmtId="2" fontId="5" fillId="36" borderId="0" xfId="0" applyNumberFormat="1" applyFont="1" applyFill="1" applyAlignment="1">
      <alignment horizontal="right"/>
    </xf>
    <xf numFmtId="165" fontId="6" fillId="41" borderId="0" xfId="1" applyNumberFormat="1" applyFont="1" applyFill="1"/>
    <xf numFmtId="2" fontId="19" fillId="39" borderId="0" xfId="0" quotePrefix="1" applyNumberFormat="1" applyFont="1" applyFill="1" applyAlignment="1">
      <alignment horizontal="center"/>
    </xf>
    <xf numFmtId="165" fontId="21" fillId="26" borderId="0" xfId="1" applyNumberFormat="1" applyFont="1" applyFill="1"/>
    <xf numFmtId="2" fontId="0" fillId="39" borderId="0" xfId="0" applyNumberFormat="1" applyFill="1"/>
    <xf numFmtId="17" fontId="0" fillId="25" borderId="0" xfId="0" quotePrefix="1" applyNumberFormat="1" applyFill="1" applyAlignment="1">
      <alignment horizontal="center"/>
    </xf>
    <xf numFmtId="165" fontId="4" fillId="41" borderId="0" xfId="1" applyNumberFormat="1" applyFont="1" applyFill="1"/>
    <xf numFmtId="3" fontId="19" fillId="26" borderId="0" xfId="0" applyNumberFormat="1" applyFont="1" applyFill="1" applyAlignment="1">
      <alignment horizontal="center"/>
    </xf>
    <xf numFmtId="2" fontId="1" fillId="39" borderId="0" xfId="0" quotePrefix="1" applyNumberFormat="1" applyFont="1" applyFill="1"/>
    <xf numFmtId="165" fontId="1" fillId="39" borderId="0" xfId="1" quotePrefix="1" applyNumberFormat="1" applyFont="1" applyFill="1" applyAlignment="1">
      <alignment horizontal="center"/>
    </xf>
    <xf numFmtId="17" fontId="22" fillId="38" borderId="0" xfId="0" applyNumberFormat="1" applyFont="1" applyFill="1" applyAlignment="1">
      <alignment horizontal="center"/>
    </xf>
    <xf numFmtId="0" fontId="22" fillId="36" borderId="0" xfId="0" applyFont="1" applyFill="1"/>
    <xf numFmtId="17" fontId="0" fillId="38" borderId="0" xfId="0" quotePrefix="1" applyNumberFormat="1" applyFill="1" applyAlignment="1">
      <alignment horizontal="center"/>
    </xf>
    <xf numFmtId="165" fontId="1" fillId="36" borderId="0" xfId="1" quotePrefix="1" applyNumberFormat="1" applyFont="1" applyFill="1" applyAlignment="1">
      <alignment horizontal="center"/>
    </xf>
    <xf numFmtId="17" fontId="22" fillId="38" borderId="0" xfId="0" quotePrefix="1" applyNumberFormat="1" applyFont="1" applyFill="1" applyAlignment="1">
      <alignment horizontal="center"/>
    </xf>
    <xf numFmtId="17" fontId="1" fillId="25" borderId="0" xfId="0" quotePrefix="1" applyNumberFormat="1" applyFont="1" applyFill="1" applyAlignment="1">
      <alignment horizontal="center"/>
    </xf>
    <xf numFmtId="3" fontId="1" fillId="39" borderId="0" xfId="0" quotePrefix="1" applyNumberFormat="1" applyFont="1" applyFill="1" applyAlignment="1">
      <alignment horizontal="center"/>
    </xf>
    <xf numFmtId="17" fontId="1" fillId="0" borderId="0" xfId="0" quotePrefix="1" applyNumberFormat="1" applyFont="1" applyAlignment="1">
      <alignment horizontal="center"/>
    </xf>
    <xf numFmtId="165" fontId="3" fillId="0" borderId="0" xfId="1" applyNumberFormat="1" applyFont="1" applyFill="1"/>
    <xf numFmtId="165" fontId="14" fillId="0" borderId="0" xfId="1" applyNumberFormat="1" applyFont="1" applyFill="1"/>
    <xf numFmtId="165" fontId="3" fillId="0" borderId="0" xfId="1" applyNumberFormat="1" applyFont="1" applyFill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6" fillId="0" borderId="0" xfId="1" applyNumberFormat="1" applyFont="1" applyFill="1"/>
    <xf numFmtId="3" fontId="4" fillId="0" borderId="0" xfId="0" applyNumberFormat="1" applyFont="1"/>
    <xf numFmtId="3" fontId="0" fillId="0" borderId="0" xfId="0" applyNumberFormat="1"/>
    <xf numFmtId="4" fontId="0" fillId="0" borderId="0" xfId="0" applyNumberFormat="1"/>
    <xf numFmtId="17" fontId="0" fillId="0" borderId="0" xfId="0" quotePrefix="1" applyNumberFormat="1" applyAlignment="1">
      <alignment horizontal="center"/>
    </xf>
    <xf numFmtId="165" fontId="4" fillId="0" borderId="0" xfId="1" applyNumberFormat="1" applyFont="1" applyFill="1"/>
    <xf numFmtId="4" fontId="6" fillId="0" borderId="0" xfId="1" applyNumberFormat="1" applyFont="1" applyFill="1"/>
    <xf numFmtId="3" fontId="4" fillId="30" borderId="0" xfId="0" applyNumberFormat="1" applyFont="1" applyFill="1" applyAlignment="1">
      <alignment horizontal="center"/>
    </xf>
    <xf numFmtId="3" fontId="14" fillId="30" borderId="0" xfId="0" applyNumberFormat="1" applyFont="1" applyFill="1" applyAlignment="1">
      <alignment horizontal="center"/>
    </xf>
    <xf numFmtId="3" fontId="1" fillId="30" borderId="0" xfId="0" applyNumberFormat="1" applyFont="1" applyFill="1" applyAlignment="1">
      <alignment horizontal="center"/>
    </xf>
    <xf numFmtId="3" fontId="6" fillId="30" borderId="0" xfId="0" applyNumberFormat="1" applyFont="1" applyFill="1" applyAlignment="1">
      <alignment horizontal="center"/>
    </xf>
    <xf numFmtId="4" fontId="14" fillId="30" borderId="0" xfId="0" applyNumberFormat="1" applyFont="1" applyFill="1" applyAlignment="1">
      <alignment horizontal="center"/>
    </xf>
    <xf numFmtId="3" fontId="1" fillId="30" borderId="0" xfId="0" quotePrefix="1" applyNumberFormat="1" applyFont="1" applyFill="1" applyAlignment="1">
      <alignment horizontal="center"/>
    </xf>
    <xf numFmtId="166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65" fontId="24" fillId="0" borderId="0" xfId="0" applyNumberFormat="1" applyFont="1" applyAlignment="1">
      <alignment vertical="center"/>
    </xf>
    <xf numFmtId="0" fontId="25" fillId="0" borderId="5" xfId="0" applyFont="1" applyBorder="1" applyAlignment="1">
      <alignment vertical="center"/>
    </xf>
    <xf numFmtId="165" fontId="23" fillId="14" borderId="6" xfId="1" applyNumberFormat="1" applyFont="1" applyFill="1" applyBorder="1" applyAlignment="1">
      <alignment vertical="center"/>
    </xf>
    <xf numFmtId="3" fontId="23" fillId="0" borderId="0" xfId="0" applyNumberFormat="1" applyFont="1" applyAlignment="1">
      <alignment vertical="center"/>
    </xf>
    <xf numFmtId="164" fontId="24" fillId="0" borderId="0" xfId="0" applyNumberFormat="1" applyFont="1" applyAlignment="1">
      <alignment vertical="center"/>
    </xf>
    <xf numFmtId="165" fontId="26" fillId="14" borderId="6" xfId="1" applyNumberFormat="1" applyFont="1" applyFill="1" applyBorder="1" applyAlignment="1">
      <alignment vertical="center"/>
    </xf>
  </cellXfs>
  <cellStyles count="6">
    <cellStyle name="Comma" xfId="1" builtinId="3"/>
    <cellStyle name="Comma 2" xfId="2" xr:uid="{00000000-0005-0000-0000-000001000000}"/>
    <cellStyle name="Comma 2 2" xfId="5" xr:uid="{8843EB42-0B9D-4416-B211-2EA685016F15}"/>
    <cellStyle name="Comma 3" xfId="4" xr:uid="{0738EB20-BDA6-4A20-8170-D50822CC7C3B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19;&#3634;&#3618;&#3648;&#3604;&#3639;&#3629;&#3609;\Mar%2061\2014%20&#3619;&#3606;&#3592;&#3633;&#3585;&#3619;&#3618;&#3634;&#3609;&#3618;&#3609;&#3605;&#366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cycle "/>
      <sheetName val="ไตรมาส"/>
      <sheetName val="สะสม"/>
    </sheetNames>
    <sheetDataSet>
      <sheetData sheetId="0">
        <row r="90">
          <cell r="B90">
            <v>142929</v>
          </cell>
        </row>
        <row r="91">
          <cell r="B91">
            <v>72825</v>
          </cell>
        </row>
        <row r="92">
          <cell r="B92">
            <v>50706</v>
          </cell>
        </row>
        <row r="93">
          <cell r="B93">
            <v>19398</v>
          </cell>
        </row>
        <row r="145">
          <cell r="B145">
            <v>72431</v>
          </cell>
        </row>
        <row r="146">
          <cell r="B146">
            <v>27357</v>
          </cell>
        </row>
        <row r="147">
          <cell r="B147">
            <v>45074</v>
          </cell>
        </row>
        <row r="148">
          <cell r="B148">
            <v>3738.22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56"/>
  <sheetViews>
    <sheetView tabSelected="1" view="pageBreakPreview" topLeftCell="A10" zoomScaleSheetLayoutView="100" workbookViewId="0">
      <selection activeCell="D16" sqref="D16"/>
    </sheetView>
  </sheetViews>
  <sheetFormatPr defaultRowHeight="21.75" x14ac:dyDescent="0.5"/>
  <cols>
    <col min="2" max="2" width="21.28515625" customWidth="1"/>
    <col min="3" max="3" width="17.28515625" customWidth="1"/>
    <col min="10" max="10" width="21.28515625" customWidth="1"/>
    <col min="18" max="18" width="21.7109375" customWidth="1"/>
    <col min="26" max="26" width="22" customWidth="1"/>
    <col min="34" max="34" width="22.5703125" customWidth="1"/>
    <col min="42" max="42" width="22.5703125" customWidth="1"/>
    <col min="50" max="50" width="24.28515625" customWidth="1"/>
    <col min="51" max="51" width="9.140625" customWidth="1"/>
    <col min="59" max="59" width="22.5703125" customWidth="1"/>
    <col min="63" max="63" width="9.140625" customWidth="1"/>
    <col min="77" max="77" width="12.42578125" customWidth="1"/>
    <col min="79" max="79" width="10.28515625" bestFit="1" customWidth="1"/>
    <col min="81" max="81" width="11" bestFit="1" customWidth="1"/>
    <col min="82" max="82" width="11.28515625" customWidth="1"/>
    <col min="84" max="84" width="9.140625" customWidth="1"/>
    <col min="85" max="85" width="8.28515625" customWidth="1"/>
    <col min="86" max="86" width="12.42578125" customWidth="1"/>
    <col min="93" max="93" width="9.140625" customWidth="1"/>
    <col min="95" max="95" width="12.42578125" customWidth="1"/>
    <col min="97" max="97" width="10.28515625" bestFit="1" customWidth="1"/>
    <col min="100" max="100" width="11.28515625" customWidth="1"/>
    <col min="102" max="102" width="9.140625" customWidth="1"/>
    <col min="104" max="104" width="12.42578125" customWidth="1"/>
    <col min="106" max="106" width="10.28515625" bestFit="1" customWidth="1"/>
    <col min="109" max="109" width="11.28515625" customWidth="1"/>
    <col min="111" max="111" width="9.140625" customWidth="1"/>
    <col min="113" max="113" width="12.42578125" customWidth="1"/>
    <col min="115" max="115" width="10.140625" bestFit="1" customWidth="1"/>
    <col min="120" max="120" width="9.140625" customWidth="1"/>
    <col min="122" max="122" width="12.42578125" customWidth="1"/>
    <col min="129" max="129" width="9.140625" customWidth="1"/>
    <col min="131" max="131" width="12.42578125" customWidth="1"/>
    <col min="138" max="138" width="9.140625" customWidth="1"/>
    <col min="140" max="140" width="12.42578125" customWidth="1"/>
    <col min="147" max="147" width="9.140625" customWidth="1"/>
    <col min="158" max="158" width="10" bestFit="1" customWidth="1"/>
  </cols>
  <sheetData>
    <row r="1" spans="1:170" x14ac:dyDescent="0.5">
      <c r="C1" s="62" t="s">
        <v>853</v>
      </c>
      <c r="K1" s="62" t="s">
        <v>804</v>
      </c>
      <c r="S1" s="62" t="s">
        <v>756</v>
      </c>
      <c r="AA1" s="62" t="s">
        <v>713</v>
      </c>
      <c r="AI1" s="62" t="s">
        <v>663</v>
      </c>
      <c r="AQ1" s="62" t="s">
        <v>620</v>
      </c>
      <c r="AY1" s="62" t="s">
        <v>572</v>
      </c>
      <c r="BG1" s="62" t="s">
        <v>531</v>
      </c>
      <c r="BP1" s="62" t="s">
        <v>473</v>
      </c>
      <c r="BY1" s="62" t="s">
        <v>417</v>
      </c>
      <c r="CH1" s="171" t="s">
        <v>369</v>
      </c>
      <c r="CQ1" s="171" t="s">
        <v>323</v>
      </c>
      <c r="CZ1" t="s">
        <v>281</v>
      </c>
      <c r="DI1" t="s">
        <v>240</v>
      </c>
      <c r="DR1" t="s">
        <v>203</v>
      </c>
      <c r="EA1" t="s">
        <v>166</v>
      </c>
      <c r="EJ1" t="s">
        <v>130</v>
      </c>
      <c r="ES1" t="s">
        <v>78</v>
      </c>
      <c r="FA1" s="33" t="s">
        <v>40</v>
      </c>
      <c r="FH1" s="33" t="s">
        <v>42</v>
      </c>
    </row>
    <row r="2" spans="1:170" x14ac:dyDescent="0.5">
      <c r="A2" s="257"/>
      <c r="B2" s="257"/>
      <c r="C2" s="323" t="s">
        <v>891</v>
      </c>
      <c r="D2" s="323" t="s">
        <v>892</v>
      </c>
      <c r="E2" s="262" t="s">
        <v>3</v>
      </c>
      <c r="F2" s="323" t="s">
        <v>854</v>
      </c>
      <c r="G2" s="323" t="s">
        <v>892</v>
      </c>
      <c r="H2" s="262" t="s">
        <v>3</v>
      </c>
      <c r="I2" s="257"/>
      <c r="J2" s="257"/>
      <c r="K2" s="323" t="s">
        <v>806</v>
      </c>
      <c r="L2" s="323" t="s">
        <v>807</v>
      </c>
      <c r="M2" s="262" t="s">
        <v>3</v>
      </c>
      <c r="N2" s="323" t="s">
        <v>755</v>
      </c>
      <c r="O2" s="323" t="s">
        <v>807</v>
      </c>
      <c r="P2" s="262" t="s">
        <v>3</v>
      </c>
      <c r="Q2" s="257"/>
      <c r="R2" s="257"/>
      <c r="S2" s="323" t="s">
        <v>754</v>
      </c>
      <c r="T2" s="323" t="s">
        <v>755</v>
      </c>
      <c r="U2" s="262" t="s">
        <v>3</v>
      </c>
      <c r="V2" s="323" t="s">
        <v>716</v>
      </c>
      <c r="W2" s="323" t="s">
        <v>755</v>
      </c>
      <c r="X2" s="262" t="s">
        <v>3</v>
      </c>
      <c r="Y2" s="257"/>
      <c r="Z2" s="257"/>
      <c r="AA2" s="323" t="s">
        <v>715</v>
      </c>
      <c r="AB2" s="323" t="s">
        <v>716</v>
      </c>
      <c r="AC2" s="262" t="s">
        <v>3</v>
      </c>
      <c r="AD2" s="323" t="s">
        <v>666</v>
      </c>
      <c r="AE2" s="323" t="s">
        <v>716</v>
      </c>
      <c r="AF2" s="262" t="s">
        <v>3</v>
      </c>
      <c r="AG2" s="257"/>
      <c r="AH2" s="257"/>
      <c r="AI2" s="323" t="s">
        <v>665</v>
      </c>
      <c r="AJ2" s="323" t="s">
        <v>666</v>
      </c>
      <c r="AK2" s="262" t="s">
        <v>3</v>
      </c>
      <c r="AL2" s="323" t="s">
        <v>623</v>
      </c>
      <c r="AM2" s="323" t="s">
        <v>666</v>
      </c>
      <c r="AN2" s="262" t="s">
        <v>3</v>
      </c>
      <c r="AO2" s="257"/>
      <c r="AP2" s="257"/>
      <c r="AQ2" s="323" t="s">
        <v>622</v>
      </c>
      <c r="AR2" s="323" t="s">
        <v>623</v>
      </c>
      <c r="AS2" s="262" t="s">
        <v>3</v>
      </c>
      <c r="AT2" s="323" t="s">
        <v>574</v>
      </c>
      <c r="AU2" s="323" t="s">
        <v>623</v>
      </c>
      <c r="AV2" s="262" t="s">
        <v>3</v>
      </c>
      <c r="AW2" s="257"/>
      <c r="AX2" s="257"/>
      <c r="AY2" s="323" t="s">
        <v>573</v>
      </c>
      <c r="AZ2" s="323" t="s">
        <v>574</v>
      </c>
      <c r="BA2" s="262" t="s">
        <v>3</v>
      </c>
      <c r="BB2" s="323" t="s">
        <v>534</v>
      </c>
      <c r="BC2" s="323" t="s">
        <v>574</v>
      </c>
      <c r="BD2" s="262" t="s">
        <v>3</v>
      </c>
      <c r="BE2" s="257"/>
      <c r="BF2" s="257"/>
      <c r="BG2" s="322" t="s">
        <v>533</v>
      </c>
      <c r="BH2" s="323" t="s">
        <v>534</v>
      </c>
      <c r="BI2" s="262" t="s">
        <v>3</v>
      </c>
      <c r="BJ2" s="323" t="s">
        <v>476</v>
      </c>
      <c r="BK2" s="323" t="s">
        <v>534</v>
      </c>
      <c r="BL2" s="262" t="s">
        <v>3</v>
      </c>
      <c r="BN2" s="257"/>
      <c r="BO2" s="257"/>
      <c r="BP2" s="322" t="s">
        <v>475</v>
      </c>
      <c r="BQ2" s="323" t="s">
        <v>476</v>
      </c>
      <c r="BR2" s="262" t="s">
        <v>3</v>
      </c>
      <c r="BS2" s="323" t="s">
        <v>477</v>
      </c>
      <c r="BT2" s="323" t="s">
        <v>476</v>
      </c>
      <c r="BU2" s="262" t="s">
        <v>3</v>
      </c>
      <c r="BW2" s="257"/>
      <c r="BX2" s="257"/>
      <c r="BY2" s="260" t="s">
        <v>415</v>
      </c>
      <c r="BZ2" s="301" t="s">
        <v>418</v>
      </c>
      <c r="CA2" s="262" t="s">
        <v>3</v>
      </c>
      <c r="CB2" s="301" t="s">
        <v>372</v>
      </c>
      <c r="CC2" s="301" t="s">
        <v>418</v>
      </c>
      <c r="CD2" s="262" t="s">
        <v>3</v>
      </c>
      <c r="CE2" s="262"/>
      <c r="CF2" s="257"/>
      <c r="CG2" s="257"/>
      <c r="CH2" s="260" t="s">
        <v>371</v>
      </c>
      <c r="CI2" s="261" t="s">
        <v>372</v>
      </c>
      <c r="CJ2" s="262" t="s">
        <v>3</v>
      </c>
      <c r="CK2" s="261" t="s">
        <v>325</v>
      </c>
      <c r="CL2" s="261" t="s">
        <v>372</v>
      </c>
      <c r="CM2" s="262" t="s">
        <v>3</v>
      </c>
      <c r="CN2" s="62"/>
      <c r="CO2" s="236"/>
      <c r="CP2" s="236"/>
      <c r="CQ2" s="237" t="s">
        <v>321</v>
      </c>
      <c r="CR2" s="245" t="s">
        <v>325</v>
      </c>
      <c r="CS2" s="236" t="s">
        <v>3</v>
      </c>
      <c r="CT2" s="245" t="s">
        <v>282</v>
      </c>
      <c r="CU2" s="245" t="s">
        <v>326</v>
      </c>
      <c r="CV2" s="236" t="s">
        <v>3</v>
      </c>
      <c r="CW2" s="62"/>
      <c r="CX2" s="179"/>
      <c r="CY2" s="179"/>
      <c r="CZ2" s="180" t="s">
        <v>280</v>
      </c>
      <c r="DA2" s="197" t="s">
        <v>284</v>
      </c>
      <c r="DB2" s="179" t="s">
        <v>3</v>
      </c>
      <c r="DC2" s="197" t="s">
        <v>242</v>
      </c>
      <c r="DD2" s="197" t="s">
        <v>282</v>
      </c>
      <c r="DE2" s="179" t="s">
        <v>3</v>
      </c>
      <c r="DF2" s="62"/>
      <c r="DG2" s="98"/>
      <c r="DH2" s="98"/>
      <c r="DI2" s="143" t="s">
        <v>238</v>
      </c>
      <c r="DJ2" s="143" t="s">
        <v>241</v>
      </c>
      <c r="DK2" s="98" t="s">
        <v>3</v>
      </c>
      <c r="DL2" s="145" t="s">
        <v>205</v>
      </c>
      <c r="DM2" s="143" t="s">
        <v>242</v>
      </c>
      <c r="DN2" s="98" t="s">
        <v>3</v>
      </c>
      <c r="DO2" s="62"/>
      <c r="DP2" s="118"/>
      <c r="DQ2" s="118"/>
      <c r="DR2" s="131" t="s">
        <v>202</v>
      </c>
      <c r="DS2" s="131" t="s">
        <v>205</v>
      </c>
      <c r="DT2" s="118" t="s">
        <v>3</v>
      </c>
      <c r="DU2" s="119" t="s">
        <v>168</v>
      </c>
      <c r="DV2" s="119" t="s">
        <v>205</v>
      </c>
      <c r="DW2" s="118" t="s">
        <v>3</v>
      </c>
      <c r="DX2" s="62"/>
      <c r="DY2" s="98"/>
      <c r="DZ2" s="98"/>
      <c r="EA2" s="99" t="s">
        <v>165</v>
      </c>
      <c r="EB2" s="99" t="s">
        <v>168</v>
      </c>
      <c r="EC2" s="98" t="s">
        <v>3</v>
      </c>
      <c r="ED2" s="99" t="s">
        <v>128</v>
      </c>
      <c r="EE2" s="99" t="s">
        <v>168</v>
      </c>
      <c r="EF2" s="98" t="s">
        <v>3</v>
      </c>
      <c r="EG2" s="62"/>
      <c r="EH2" s="84"/>
      <c r="EI2" s="84"/>
      <c r="EJ2" s="85" t="s">
        <v>127</v>
      </c>
      <c r="EK2" s="85" t="s">
        <v>128</v>
      </c>
      <c r="EL2" s="84" t="s">
        <v>3</v>
      </c>
      <c r="EM2" s="85" t="s">
        <v>129</v>
      </c>
      <c r="EN2" s="85" t="s">
        <v>128</v>
      </c>
      <c r="EO2" s="84" t="s">
        <v>3</v>
      </c>
      <c r="EP2" s="62"/>
      <c r="EQ2" s="54"/>
      <c r="ER2" s="54"/>
      <c r="ES2" s="55">
        <v>18568</v>
      </c>
      <c r="ET2" s="55">
        <v>18598</v>
      </c>
      <c r="EU2" s="54" t="s">
        <v>3</v>
      </c>
      <c r="EV2" s="55">
        <v>18233</v>
      </c>
      <c r="EW2" s="55">
        <v>18598</v>
      </c>
      <c r="EX2" s="54" t="s">
        <v>3</v>
      </c>
      <c r="EY2" s="62"/>
      <c r="EZ2" s="29"/>
      <c r="FA2" s="30">
        <v>18203</v>
      </c>
      <c r="FB2" s="30">
        <v>18233</v>
      </c>
      <c r="FC2" s="29" t="s">
        <v>3</v>
      </c>
      <c r="FD2" s="30">
        <v>17868</v>
      </c>
      <c r="FE2" s="30">
        <v>18233</v>
      </c>
      <c r="FF2" s="29" t="s">
        <v>3</v>
      </c>
      <c r="FH2" s="38"/>
      <c r="FI2" s="39">
        <v>17838</v>
      </c>
      <c r="FJ2" s="39">
        <v>17868</v>
      </c>
      <c r="FK2" s="38" t="s">
        <v>3</v>
      </c>
      <c r="FL2" s="39">
        <v>17502</v>
      </c>
      <c r="FM2" s="39">
        <v>17868</v>
      </c>
      <c r="FN2" s="38" t="s">
        <v>3</v>
      </c>
    </row>
    <row r="3" spans="1:170" x14ac:dyDescent="0.5">
      <c r="A3" s="247" t="s">
        <v>0</v>
      </c>
      <c r="B3" s="247"/>
      <c r="C3" s="230">
        <v>146167</v>
      </c>
      <c r="D3" s="380">
        <v>161304</v>
      </c>
      <c r="E3" s="268">
        <f t="shared" ref="E3:E8" si="0">((D3-C3)/C3)*100</f>
        <v>10.355962700199086</v>
      </c>
      <c r="F3" s="267">
        <v>153702</v>
      </c>
      <c r="G3" s="380">
        <v>161304</v>
      </c>
      <c r="H3" s="249">
        <f t="shared" ref="H3:H8" si="1">((G3-F3)/F3)*100</f>
        <v>4.9459343404770273</v>
      </c>
      <c r="I3" s="247" t="s">
        <v>0</v>
      </c>
      <c r="J3" s="247"/>
      <c r="K3" s="230">
        <v>178045</v>
      </c>
      <c r="L3" s="267">
        <v>164528</v>
      </c>
      <c r="M3" s="268">
        <f t="shared" ref="M3:M8" si="2">((L3-K3)/K3)*100</f>
        <v>-7.5919009239237276</v>
      </c>
      <c r="N3" s="267">
        <v>180474</v>
      </c>
      <c r="O3" s="267">
        <v>164528</v>
      </c>
      <c r="P3" s="249">
        <f t="shared" ref="P3:P8" si="3">((O3-N3)/N3)*100</f>
        <v>-8.8356217516096507</v>
      </c>
      <c r="Q3" s="247" t="s">
        <v>0</v>
      </c>
      <c r="R3" s="247"/>
      <c r="S3" s="267">
        <v>189040</v>
      </c>
      <c r="T3" s="267">
        <v>180474</v>
      </c>
      <c r="U3" s="268">
        <f>((T3-S3)/S3)*100</f>
        <v>-4.531316123571731</v>
      </c>
      <c r="V3" s="267">
        <v>167823</v>
      </c>
      <c r="W3" s="267">
        <v>180474</v>
      </c>
      <c r="X3" s="249">
        <f t="shared" ref="X3:X8" si="4">((W3-V3)/V3)*100</f>
        <v>7.5382992795981485</v>
      </c>
      <c r="Y3" s="247" t="s">
        <v>0</v>
      </c>
      <c r="Z3" s="247"/>
      <c r="AA3" s="267">
        <v>188493</v>
      </c>
      <c r="AB3" s="267">
        <v>167823</v>
      </c>
      <c r="AC3" s="268">
        <f>((AB3-AA3)/AA3)*100</f>
        <v>-10.965924464038453</v>
      </c>
      <c r="AD3" s="267">
        <v>159099</v>
      </c>
      <c r="AE3" s="267">
        <v>167823</v>
      </c>
      <c r="AF3" s="249">
        <f t="shared" ref="AF3:AF8" si="5">((AE3-AD3)/AD3)*100</f>
        <v>5.4833782739049273</v>
      </c>
      <c r="AG3" s="247" t="s">
        <v>0</v>
      </c>
      <c r="AH3" s="247"/>
      <c r="AI3" s="267">
        <v>175569</v>
      </c>
      <c r="AJ3" s="267">
        <v>159099</v>
      </c>
      <c r="AK3" s="268">
        <f>((AJ3-AI3)/AI3)*100</f>
        <v>-9.3809271568443187</v>
      </c>
      <c r="AL3" s="267">
        <v>158839</v>
      </c>
      <c r="AM3" s="267">
        <v>159099</v>
      </c>
      <c r="AN3" s="249">
        <f t="shared" ref="AN3:AN8" si="6">((AM3-AL3)/AL3)*100</f>
        <v>0.16368775930344562</v>
      </c>
      <c r="AO3" s="247" t="s">
        <v>0</v>
      </c>
      <c r="AP3" s="247"/>
      <c r="AQ3" s="267">
        <v>171799</v>
      </c>
      <c r="AR3" s="267">
        <v>158839</v>
      </c>
      <c r="AS3" s="268">
        <f>((AR3-AQ3)/AQ3)*100</f>
        <v>-7.5436993230461171</v>
      </c>
      <c r="AT3" s="267">
        <v>148791</v>
      </c>
      <c r="AU3" s="267">
        <v>158839</v>
      </c>
      <c r="AV3" s="249">
        <f t="shared" ref="AV3:AV8" si="7">((AU3-AT3)/AT3)*100</f>
        <v>6.753096625467939</v>
      </c>
      <c r="AW3" s="247" t="s">
        <v>0</v>
      </c>
      <c r="AX3" s="247"/>
      <c r="AY3" s="267">
        <v>189690</v>
      </c>
      <c r="AZ3" s="267">
        <v>148791</v>
      </c>
      <c r="BA3" s="268">
        <f>((AZ3-AY3)/AY3)*100</f>
        <v>-21.560967894986558</v>
      </c>
      <c r="BB3" s="267">
        <v>152315</v>
      </c>
      <c r="BC3" s="267">
        <v>148791</v>
      </c>
      <c r="BD3" s="249">
        <f t="shared" ref="BD3:BD14" si="8">((BC3-BB3)/BB3)*100</f>
        <v>-2.3136263664117127</v>
      </c>
      <c r="BE3" s="247" t="s">
        <v>0</v>
      </c>
      <c r="BF3" s="247"/>
      <c r="BG3" s="267">
        <v>192451</v>
      </c>
      <c r="BH3" s="267">
        <v>152315</v>
      </c>
      <c r="BI3" s="268">
        <f>((BH3-BG3)/BG3)*100</f>
        <v>-20.855178720817246</v>
      </c>
      <c r="BJ3" s="267">
        <v>140147</v>
      </c>
      <c r="BK3" s="267">
        <v>152315</v>
      </c>
      <c r="BL3" s="249">
        <f>((BK3-BJ3)/BJ3)*100</f>
        <v>8.6823121436777111</v>
      </c>
      <c r="BN3" s="247" t="s">
        <v>0</v>
      </c>
      <c r="BO3" s="247"/>
      <c r="BP3" s="267">
        <v>163400</v>
      </c>
      <c r="BQ3" s="267">
        <v>140147</v>
      </c>
      <c r="BR3" s="268">
        <f>((BQ3-BP3)/BP3)*100</f>
        <v>-14.230722154222766</v>
      </c>
      <c r="BS3" s="267">
        <v>144736</v>
      </c>
      <c r="BT3" s="267">
        <v>140147</v>
      </c>
      <c r="BU3" s="249">
        <f t="shared" ref="BU3:BU18" si="9">((BT3-BS3)/BS3)*100</f>
        <v>-3.1706002653106342</v>
      </c>
      <c r="BW3" s="247" t="s">
        <v>0</v>
      </c>
      <c r="BX3" s="247"/>
      <c r="BY3" s="267" t="e">
        <f>'พ.ย. '!CK3</f>
        <v>#REF!</v>
      </c>
      <c r="BZ3" s="267" t="e">
        <f>#REF!</f>
        <v>#REF!</v>
      </c>
      <c r="CA3" s="268" t="e">
        <f>((BZ3-BY3)/BY3)*100</f>
        <v>#REF!</v>
      </c>
      <c r="CB3" s="267" t="e">
        <f>#REF!</f>
        <v>#REF!</v>
      </c>
      <c r="CC3" s="267" t="e">
        <f t="shared" ref="CC3:CC18" si="10">BZ3</f>
        <v>#REF!</v>
      </c>
      <c r="CD3" s="249" t="e">
        <f t="shared" ref="CD3:CD18" si="11">((CC3-CB3)/CB3)*100</f>
        <v>#REF!</v>
      </c>
      <c r="CE3" s="249"/>
      <c r="CF3" s="247" t="s">
        <v>0</v>
      </c>
      <c r="CG3" s="247"/>
      <c r="CH3" s="267">
        <v>149526</v>
      </c>
      <c r="CI3" s="267">
        <v>153187</v>
      </c>
      <c r="CJ3" s="268">
        <f>((CI3-CH3)/CH3)*100</f>
        <v>2.4484036221125423</v>
      </c>
      <c r="CK3" s="267">
        <f>SUM(CK4:CK5)</f>
        <v>143872</v>
      </c>
      <c r="CL3" s="267">
        <v>153187</v>
      </c>
      <c r="CM3" s="249">
        <f>((CL3-CK3)/CK3)*100</f>
        <v>6.4745051156583635</v>
      </c>
      <c r="CN3" s="73"/>
      <c r="CO3" s="229" t="s">
        <v>0</v>
      </c>
      <c r="CP3" s="229"/>
      <c r="CQ3" s="230">
        <v>164466</v>
      </c>
      <c r="CR3" s="230">
        <v>143872</v>
      </c>
      <c r="CS3" s="231">
        <f>((CR3-CQ3)/CQ3)*100</f>
        <v>-12.521737015553366</v>
      </c>
      <c r="CT3" s="230">
        <v>183384</v>
      </c>
      <c r="CU3" s="230">
        <v>143872</v>
      </c>
      <c r="CV3" s="231">
        <f>((CU3-CT3)/CT3)*100</f>
        <v>-21.546045456528379</v>
      </c>
      <c r="CW3" s="73"/>
      <c r="CX3" s="199" t="s">
        <v>0</v>
      </c>
      <c r="CY3" s="199"/>
      <c r="CZ3" s="200">
        <f>SUM(CZ4:CZ5)</f>
        <v>196615</v>
      </c>
      <c r="DA3" s="200">
        <f>SUM(DA4:DA5)</f>
        <v>183384</v>
      </c>
      <c r="DB3" s="201">
        <f>((DA3-CZ3)/CZ3)*100</f>
        <v>-6.7293950105536195</v>
      </c>
      <c r="DC3" s="200">
        <f>SUM(DC4:DC5)</f>
        <v>151185</v>
      </c>
      <c r="DD3" s="200">
        <f>SUM(DD4:DD5)</f>
        <v>183384</v>
      </c>
      <c r="DE3" s="201">
        <f>((DD3-DC3)/DC3)*100</f>
        <v>21.297747792439726</v>
      </c>
      <c r="DF3" s="73"/>
      <c r="DG3" s="100" t="s">
        <v>0</v>
      </c>
      <c r="DH3" s="100"/>
      <c r="DI3" s="101">
        <f>SUM(DI4:DI5)</f>
        <v>33424</v>
      </c>
      <c r="DJ3" s="101">
        <f>SUM(DJ4:DJ5)</f>
        <v>151185</v>
      </c>
      <c r="DK3" s="102">
        <f>((DJ3-DI3)/DI3)*100</f>
        <v>352.32467687888942</v>
      </c>
      <c r="DL3" s="101">
        <v>160982</v>
      </c>
      <c r="DM3" s="101">
        <f>SUM(DM4:DM5)</f>
        <v>151185</v>
      </c>
      <c r="DN3" s="102">
        <f>((DM3-DL3)/DL3)*100</f>
        <v>-6.0857735647463693</v>
      </c>
      <c r="DO3" s="73"/>
      <c r="DP3" s="120" t="s">
        <v>0</v>
      </c>
      <c r="DQ3" s="120"/>
      <c r="DR3" s="133">
        <f>SUM(DR4:DR5)</f>
        <v>175866</v>
      </c>
      <c r="DS3" s="133">
        <f>SUM(DS4:DS5)</f>
        <v>160982</v>
      </c>
      <c r="DT3" s="125">
        <f t="shared" ref="DT3:DT18" si="12">((DS3-DR3)/DR3)*100</f>
        <v>-8.4632618015989447</v>
      </c>
      <c r="DU3" s="121">
        <v>141402</v>
      </c>
      <c r="DV3" s="133">
        <v>160982</v>
      </c>
      <c r="DW3" s="125">
        <f>((DV3-DU3)/DU3)*100</f>
        <v>13.847046010664629</v>
      </c>
      <c r="DX3" s="127"/>
      <c r="DY3" s="100" t="s">
        <v>0</v>
      </c>
      <c r="DZ3" s="100"/>
      <c r="EA3" s="101">
        <f>SUM(EA4:EA5)</f>
        <v>165557</v>
      </c>
      <c r="EB3" s="101">
        <f>SUM(EB4:EB5)</f>
        <v>141402</v>
      </c>
      <c r="EC3" s="102">
        <f>((EB3-EA3)/EA3)*100</f>
        <v>-14.590141159842229</v>
      </c>
      <c r="ED3" s="101">
        <v>136066</v>
      </c>
      <c r="EE3" s="101">
        <f>SUM(EE4:EE5)</f>
        <v>141402</v>
      </c>
      <c r="EF3" s="102">
        <f>((EE3-ED3)/ED3)*100</f>
        <v>3.9216262696044564</v>
      </c>
      <c r="EG3" s="73"/>
      <c r="EH3" s="74" t="s">
        <v>0</v>
      </c>
      <c r="EI3" s="74"/>
      <c r="EJ3" s="75">
        <f>SUM(EJ4:EJ5)</f>
        <v>173782</v>
      </c>
      <c r="EK3" s="75">
        <f>SUM(EK4:EK5)</f>
        <v>136066</v>
      </c>
      <c r="EL3" s="76">
        <f>((EK3-EJ3)/EJ3)*100</f>
        <v>-21.703053250624347</v>
      </c>
      <c r="EM3" s="75">
        <f>SUM(EM4:EM5)</f>
        <v>133039</v>
      </c>
      <c r="EN3" s="75">
        <v>136066</v>
      </c>
      <c r="EO3" s="76">
        <f>((EN3-EM3)/EM3)*100</f>
        <v>2.2752726644066779</v>
      </c>
      <c r="EP3" s="73"/>
      <c r="EQ3" s="63" t="s">
        <v>0</v>
      </c>
      <c r="ER3" s="63"/>
      <c r="ES3" s="64">
        <f>SUM(ES4:ES5)</f>
        <v>138998</v>
      </c>
      <c r="ET3" s="64">
        <f>ET4+ET5</f>
        <v>133039</v>
      </c>
      <c r="EU3" s="65">
        <f t="shared" ref="EU3:EU18" si="13">(ET3-ES3)/ES3*100</f>
        <v>-4.2871120447776221</v>
      </c>
      <c r="EV3" s="64">
        <f>SUM(EV4:EV5)</f>
        <v>152582</v>
      </c>
      <c r="EW3" s="64">
        <f>EW4+EW5</f>
        <v>133039</v>
      </c>
      <c r="EX3" s="65">
        <f t="shared" ref="EX3:EX18" si="14">(EW3-EV3)/EV3*100</f>
        <v>-12.808194937803934</v>
      </c>
      <c r="EY3" s="73"/>
      <c r="EZ3" s="24" t="s">
        <v>0</v>
      </c>
      <c r="FA3" s="25">
        <v>155646</v>
      </c>
      <c r="FB3" s="50">
        <v>152582</v>
      </c>
      <c r="FC3" s="32">
        <f>((FB3-FA3)/FA3)*100</f>
        <v>-1.968569703044087</v>
      </c>
      <c r="FD3" s="27">
        <v>192093</v>
      </c>
      <c r="FE3" s="25">
        <f>FB3</f>
        <v>152582</v>
      </c>
      <c r="FF3" s="32">
        <f>((FE3-FD3)/FD3)*100</f>
        <v>-20.568682877564513</v>
      </c>
      <c r="FH3" s="4" t="s">
        <v>0</v>
      </c>
      <c r="FI3" s="5">
        <v>225594</v>
      </c>
      <c r="FJ3" s="5">
        <v>192093</v>
      </c>
      <c r="FK3" s="36">
        <f>(FJ3-FI3)/FI3*100</f>
        <v>-14.85012899279236</v>
      </c>
      <c r="FL3" s="46">
        <v>254396</v>
      </c>
      <c r="FM3" s="5">
        <v>192093</v>
      </c>
      <c r="FN3" s="47">
        <f>((FM3-FL3)/FL3)*100</f>
        <v>-24.490558027641942</v>
      </c>
    </row>
    <row r="4" spans="1:170" x14ac:dyDescent="0.5">
      <c r="A4" s="250"/>
      <c r="B4" s="250" t="s">
        <v>57</v>
      </c>
      <c r="C4" s="233">
        <v>119855</v>
      </c>
      <c r="D4" s="381">
        <v>130481</v>
      </c>
      <c r="E4" s="268">
        <f t="shared" si="0"/>
        <v>8.8657127362229353</v>
      </c>
      <c r="F4" s="266">
        <v>123007</v>
      </c>
      <c r="G4" s="381">
        <v>130481</v>
      </c>
      <c r="H4" s="249">
        <f t="shared" si="1"/>
        <v>6.0760769712292797</v>
      </c>
      <c r="I4" s="250"/>
      <c r="J4" s="250" t="s">
        <v>57</v>
      </c>
      <c r="K4" s="233">
        <v>135391</v>
      </c>
      <c r="L4" s="266">
        <v>130636</v>
      </c>
      <c r="M4" s="268">
        <f t="shared" si="2"/>
        <v>-3.5120502839922891</v>
      </c>
      <c r="N4" s="266">
        <v>142067</v>
      </c>
      <c r="O4" s="266">
        <v>130636</v>
      </c>
      <c r="P4" s="249">
        <f t="shared" si="3"/>
        <v>-8.0462035518452559</v>
      </c>
      <c r="Q4" s="250"/>
      <c r="R4" s="250" t="s">
        <v>57</v>
      </c>
      <c r="S4" s="266">
        <v>147360</v>
      </c>
      <c r="T4" s="266">
        <v>142067</v>
      </c>
      <c r="U4" s="268">
        <f>((T4-S4)/S4)*100</f>
        <v>-3.5918838219326821</v>
      </c>
      <c r="V4" s="266">
        <v>131804</v>
      </c>
      <c r="W4" s="266">
        <v>142067</v>
      </c>
      <c r="X4" s="249">
        <f t="shared" si="4"/>
        <v>7.7865618645868109</v>
      </c>
      <c r="Y4" s="250"/>
      <c r="Z4" s="250" t="s">
        <v>57</v>
      </c>
      <c r="AA4" s="266">
        <v>147555</v>
      </c>
      <c r="AB4" s="266">
        <v>131804</v>
      </c>
      <c r="AC4" s="268">
        <f>((AB4-AA4)/AA4)*100</f>
        <v>-10.674663684727728</v>
      </c>
      <c r="AD4" s="266">
        <v>121636</v>
      </c>
      <c r="AE4" s="266">
        <v>131804</v>
      </c>
      <c r="AF4" s="249">
        <f t="shared" si="5"/>
        <v>8.3593672925778559</v>
      </c>
      <c r="AG4" s="250"/>
      <c r="AH4" s="250" t="s">
        <v>57</v>
      </c>
      <c r="AI4" s="266">
        <v>137471</v>
      </c>
      <c r="AJ4" s="266">
        <v>121636</v>
      </c>
      <c r="AK4" s="268">
        <f>((AJ4-AI4)/AI4)*100</f>
        <v>-11.518793054535138</v>
      </c>
      <c r="AL4" s="266">
        <v>126010</v>
      </c>
      <c r="AM4" s="266">
        <v>121636</v>
      </c>
      <c r="AN4" s="249">
        <f t="shared" si="6"/>
        <v>-3.4711530830886441</v>
      </c>
      <c r="AO4" s="250"/>
      <c r="AP4" s="250" t="s">
        <v>57</v>
      </c>
      <c r="AQ4" s="266">
        <v>143103</v>
      </c>
      <c r="AR4" s="266">
        <v>126010</v>
      </c>
      <c r="AS4" s="268">
        <f>((AR4-AQ4)/AQ4)*100</f>
        <v>-11.944543440738489</v>
      </c>
      <c r="AT4" s="266">
        <v>115075</v>
      </c>
      <c r="AU4" s="266">
        <v>126010</v>
      </c>
      <c r="AV4" s="249">
        <f t="shared" si="7"/>
        <v>9.5024983706278512</v>
      </c>
      <c r="AW4" s="250"/>
      <c r="AX4" s="250" t="s">
        <v>57</v>
      </c>
      <c r="AY4" s="266">
        <v>148502</v>
      </c>
      <c r="AZ4" s="266">
        <v>115075</v>
      </c>
      <c r="BA4" s="268">
        <f>((AZ4-AY4)/AY4)*100</f>
        <v>-22.509461152038355</v>
      </c>
      <c r="BB4" s="266">
        <v>113842</v>
      </c>
      <c r="BC4" s="266">
        <v>115075</v>
      </c>
      <c r="BD4" s="249">
        <f t="shared" si="8"/>
        <v>1.0830800583264526</v>
      </c>
      <c r="BE4" s="250"/>
      <c r="BF4" s="250" t="s">
        <v>57</v>
      </c>
      <c r="BG4" s="266">
        <v>146474</v>
      </c>
      <c r="BH4" s="266">
        <v>113842</v>
      </c>
      <c r="BI4" s="268">
        <f>((BH4-BG4)/BG4)*100</f>
        <v>-22.278356568401218</v>
      </c>
      <c r="BJ4" s="266">
        <v>97926</v>
      </c>
      <c r="BK4" s="266">
        <v>113842</v>
      </c>
      <c r="BL4" s="249">
        <f>((BK4-BJ4)/BJ4)*100</f>
        <v>16.253089067254866</v>
      </c>
      <c r="BN4" s="250"/>
      <c r="BO4" s="250" t="s">
        <v>57</v>
      </c>
      <c r="BP4" s="266">
        <v>122861</v>
      </c>
      <c r="BQ4" s="266">
        <v>97926</v>
      </c>
      <c r="BR4" s="268">
        <f>((BQ4-BP4)/BP4)*100</f>
        <v>-20.295293054752932</v>
      </c>
      <c r="BS4" s="266">
        <v>109508</v>
      </c>
      <c r="BT4" s="266">
        <v>97926</v>
      </c>
      <c r="BU4" s="249">
        <f t="shared" si="9"/>
        <v>-10.576396245023195</v>
      </c>
      <c r="BW4" s="250"/>
      <c r="BX4" s="250" t="s">
        <v>57</v>
      </c>
      <c r="BY4" s="266" t="e">
        <f>'พ.ย. '!CK4</f>
        <v>#REF!</v>
      </c>
      <c r="BZ4" s="266" t="e">
        <f>#REF!</f>
        <v>#REF!</v>
      </c>
      <c r="CA4" s="268" t="e">
        <f>((BZ4-BY4)/BY4)*100</f>
        <v>#REF!</v>
      </c>
      <c r="CB4" s="266" t="e">
        <f>#REF!</f>
        <v>#REF!</v>
      </c>
      <c r="CC4" s="266" t="e">
        <f t="shared" si="10"/>
        <v>#REF!</v>
      </c>
      <c r="CD4" s="249" t="e">
        <f t="shared" si="11"/>
        <v>#REF!</v>
      </c>
      <c r="CE4" s="249"/>
      <c r="CF4" s="250"/>
      <c r="CG4" s="250" t="s">
        <v>57</v>
      </c>
      <c r="CH4" s="266">
        <v>120551</v>
      </c>
      <c r="CI4" s="266">
        <v>118902</v>
      </c>
      <c r="CJ4" s="268">
        <f>((CI4-CH4)/CH4)*100</f>
        <v>-1.3678857910759761</v>
      </c>
      <c r="CK4" s="266">
        <v>124495</v>
      </c>
      <c r="CL4" s="266">
        <v>118902</v>
      </c>
      <c r="CM4" s="249">
        <f>((CL4-CK4)/CK4)*100</f>
        <v>-4.4925499016024739</v>
      </c>
      <c r="CN4" s="73"/>
      <c r="CO4" s="232"/>
      <c r="CP4" s="232" t="s">
        <v>57</v>
      </c>
      <c r="CQ4" s="233">
        <v>133675</v>
      </c>
      <c r="CR4" s="233">
        <v>124495</v>
      </c>
      <c r="CS4" s="231">
        <f t="shared" ref="CS4:CS18" si="15">((CR4-CQ4)/CQ4)*100</f>
        <v>-6.8674022816532636</v>
      </c>
      <c r="CT4" s="233">
        <v>164370</v>
      </c>
      <c r="CU4" s="233">
        <v>124495</v>
      </c>
      <c r="CV4" s="231">
        <f t="shared" ref="CV4:CV18" si="16">((CU4-CT4)/CT4)*100</f>
        <v>-24.259293058343982</v>
      </c>
      <c r="CW4" s="73"/>
      <c r="CX4" s="202"/>
      <c r="CY4" s="202" t="s">
        <v>57</v>
      </c>
      <c r="CZ4" s="203">
        <v>173288</v>
      </c>
      <c r="DA4" s="203">
        <v>164370</v>
      </c>
      <c r="DB4" s="201">
        <f t="shared" ref="DB4:DB18" si="17">((DA4-CZ4)/CZ4)*100</f>
        <v>-5.1463459674068606</v>
      </c>
      <c r="DC4" s="203">
        <v>138488</v>
      </c>
      <c r="DD4" s="203">
        <v>164370</v>
      </c>
      <c r="DE4" s="201">
        <f t="shared" ref="DE4:DE18" si="18">((DD4-DC4)/DC4)*100</f>
        <v>18.688983883080123</v>
      </c>
      <c r="DF4" s="73"/>
      <c r="DG4" s="103"/>
      <c r="DH4" s="103" t="s">
        <v>57</v>
      </c>
      <c r="DI4" s="104">
        <v>31492</v>
      </c>
      <c r="DJ4" s="104">
        <v>138488</v>
      </c>
      <c r="DK4" s="102">
        <f t="shared" ref="DK4:DK18" si="19">((DJ4-DI4)/DI4)*100</f>
        <v>339.7561285405817</v>
      </c>
      <c r="DL4" s="104">
        <v>148407</v>
      </c>
      <c r="DM4" s="104">
        <v>138488</v>
      </c>
      <c r="DN4" s="102">
        <f t="shared" ref="DN4:DN18" si="20">((DM4-DL4)/DL4)*100</f>
        <v>-6.6836469977831232</v>
      </c>
      <c r="DO4" s="73"/>
      <c r="DP4" s="24"/>
      <c r="DQ4" s="24" t="s">
        <v>57</v>
      </c>
      <c r="DR4" s="50">
        <f>163686+177</f>
        <v>163863</v>
      </c>
      <c r="DS4" s="50">
        <v>148407</v>
      </c>
      <c r="DT4" s="128">
        <f t="shared" si="12"/>
        <v>-9.4322696398820955</v>
      </c>
      <c r="DU4" s="123">
        <v>130952</v>
      </c>
      <c r="DV4" s="50">
        <v>148407</v>
      </c>
      <c r="DW4" s="128">
        <f t="shared" ref="DW4:DW18" si="21">((DV4-DU4)/DU4)*100</f>
        <v>13.329311503451645</v>
      </c>
      <c r="DX4" s="130"/>
      <c r="DY4" s="103"/>
      <c r="DZ4" s="103" t="s">
        <v>57</v>
      </c>
      <c r="EA4" s="104">
        <v>155123</v>
      </c>
      <c r="EB4" s="104">
        <v>130952</v>
      </c>
      <c r="EC4" s="112">
        <f t="shared" ref="EC4:EC18" si="22">((EB4-EA4)/EA4)*100</f>
        <v>-15.581828613422896</v>
      </c>
      <c r="ED4" s="104">
        <v>120295</v>
      </c>
      <c r="EE4" s="104">
        <v>130952</v>
      </c>
      <c r="EF4" s="112">
        <f t="shared" ref="EF4:EF18" si="23">((EE4-ED4)/ED4)*100</f>
        <v>8.8590548235587505</v>
      </c>
      <c r="EG4" s="61"/>
      <c r="EH4" s="77"/>
      <c r="EI4" s="77" t="s">
        <v>57</v>
      </c>
      <c r="EJ4" s="78">
        <v>154637</v>
      </c>
      <c r="EK4" s="78">
        <v>120295</v>
      </c>
      <c r="EL4" s="79">
        <f t="shared" ref="EL4:EL18" si="24">((EK4-EJ4)/EJ4)*100</f>
        <v>-22.208139061156125</v>
      </c>
      <c r="EM4" s="80">
        <v>123958</v>
      </c>
      <c r="EN4" s="78">
        <v>120295</v>
      </c>
      <c r="EO4" s="79">
        <f t="shared" ref="EO4:EO18" si="25">((EN4-EM4)/EM4)*100</f>
        <v>-2.9550331563916812</v>
      </c>
      <c r="EP4" s="61"/>
      <c r="EQ4" s="42"/>
      <c r="ER4" s="42" t="s">
        <v>57</v>
      </c>
      <c r="ES4" s="58">
        <v>134728</v>
      </c>
      <c r="ET4" s="58">
        <v>123958</v>
      </c>
      <c r="EU4" s="44">
        <f t="shared" si="13"/>
        <v>-7.9938839736357696</v>
      </c>
      <c r="EV4" s="43">
        <v>148005</v>
      </c>
      <c r="EW4" s="58">
        <v>123958</v>
      </c>
      <c r="EX4" s="44">
        <f t="shared" si="14"/>
        <v>-16.247424073511031</v>
      </c>
      <c r="EY4" s="61"/>
      <c r="EZ4" s="24" t="s">
        <v>1</v>
      </c>
      <c r="FA4" s="25">
        <v>159737</v>
      </c>
      <c r="FB4" s="50">
        <v>163197</v>
      </c>
      <c r="FC4" s="32">
        <f>((FB4-FA4)/FA4)*100</f>
        <v>2.1660604618842219</v>
      </c>
      <c r="FD4" s="27">
        <v>179958</v>
      </c>
      <c r="FE4" s="25">
        <v>163197</v>
      </c>
      <c r="FF4" s="32">
        <f>((FE4-FD4)/FD4)*100</f>
        <v>-9.3138398959757271</v>
      </c>
      <c r="FH4" s="4" t="s">
        <v>1</v>
      </c>
      <c r="FI4" s="5">
        <v>197728</v>
      </c>
      <c r="FJ4" s="5">
        <v>179958</v>
      </c>
      <c r="FK4" s="36">
        <f>(FJ4-FI4)/FI4*100</f>
        <v>-8.9870933808059554</v>
      </c>
      <c r="FL4" s="37">
        <v>188496</v>
      </c>
      <c r="FM4" s="5">
        <v>179958</v>
      </c>
      <c r="FN4" s="47">
        <f>((FM4-FL4)/FL4)*100</f>
        <v>-4.5295390883626174</v>
      </c>
    </row>
    <row r="5" spans="1:170" x14ac:dyDescent="0.5">
      <c r="A5" s="250"/>
      <c r="B5" s="250" t="s">
        <v>58</v>
      </c>
      <c r="C5" s="233">
        <v>23324</v>
      </c>
      <c r="D5" s="381">
        <v>25964</v>
      </c>
      <c r="E5" s="268">
        <f t="shared" si="0"/>
        <v>11.318813239581548</v>
      </c>
      <c r="F5" s="266">
        <v>25130</v>
      </c>
      <c r="G5" s="381">
        <v>25964</v>
      </c>
      <c r="H5" s="249">
        <f>((G5-F5)/F5)*100</f>
        <v>3.3187425387982494</v>
      </c>
      <c r="I5" s="250"/>
      <c r="J5" s="250" t="s">
        <v>58</v>
      </c>
      <c r="K5" s="233">
        <v>42554</v>
      </c>
      <c r="L5" s="266">
        <v>33792</v>
      </c>
      <c r="M5" s="268">
        <f t="shared" si="2"/>
        <v>-20.5903087841331</v>
      </c>
      <c r="N5" s="266">
        <v>38407</v>
      </c>
      <c r="O5" s="266">
        <v>33792</v>
      </c>
      <c r="P5" s="249">
        <f t="shared" si="3"/>
        <v>-12.016038742937486</v>
      </c>
      <c r="Q5" s="250"/>
      <c r="R5" s="250" t="s">
        <v>58</v>
      </c>
      <c r="S5" s="266">
        <v>41680</v>
      </c>
      <c r="T5" s="266">
        <v>38407</v>
      </c>
      <c r="U5" s="268">
        <f>((T5-S5)/S5)*100</f>
        <v>-7.8526871401151634</v>
      </c>
      <c r="V5" s="266">
        <v>36019</v>
      </c>
      <c r="W5" s="266">
        <v>38407</v>
      </c>
      <c r="X5" s="249">
        <f t="shared" si="4"/>
        <v>6.6298342541436464</v>
      </c>
      <c r="Y5" s="250"/>
      <c r="Z5" s="250" t="s">
        <v>58</v>
      </c>
      <c r="AA5" s="266">
        <v>40938</v>
      </c>
      <c r="AB5" s="266">
        <v>36019</v>
      </c>
      <c r="AC5" s="268">
        <f>((AB5-AA5)/AA5)*100</f>
        <v>-12.015731105574282</v>
      </c>
      <c r="AD5" s="266">
        <v>37463</v>
      </c>
      <c r="AE5" s="266">
        <v>36019</v>
      </c>
      <c r="AF5" s="249">
        <f t="shared" si="5"/>
        <v>-3.8544697434802337</v>
      </c>
      <c r="AG5" s="250"/>
      <c r="AH5" s="250" t="s">
        <v>58</v>
      </c>
      <c r="AI5" s="266">
        <v>38098</v>
      </c>
      <c r="AJ5" s="266">
        <v>37463</v>
      </c>
      <c r="AK5" s="268">
        <f>((AJ5-AI5)/AI5)*100</f>
        <v>-1.6667541603233766</v>
      </c>
      <c r="AL5" s="266">
        <v>32829</v>
      </c>
      <c r="AM5" s="266">
        <v>37463</v>
      </c>
      <c r="AN5" s="249">
        <f t="shared" si="6"/>
        <v>14.115568552194707</v>
      </c>
      <c r="AO5" s="250"/>
      <c r="AP5" s="250" t="s">
        <v>58</v>
      </c>
      <c r="AQ5" s="266">
        <v>28696</v>
      </c>
      <c r="AR5" s="266">
        <v>32829</v>
      </c>
      <c r="AS5" s="268">
        <f>((AR5-AQ5)/AQ5)*100</f>
        <v>14.402704209645945</v>
      </c>
      <c r="AT5" s="266">
        <v>33716</v>
      </c>
      <c r="AU5" s="266">
        <v>32829</v>
      </c>
      <c r="AV5" s="249">
        <f t="shared" si="7"/>
        <v>-2.6307984339779331</v>
      </c>
      <c r="AW5" s="250"/>
      <c r="AX5" s="250" t="s">
        <v>58</v>
      </c>
      <c r="AY5" s="266">
        <v>41188</v>
      </c>
      <c r="AZ5" s="266">
        <v>33716</v>
      </c>
      <c r="BA5" s="268">
        <f>((AZ5-AY5)/AY5)*100</f>
        <v>-18.141206176556281</v>
      </c>
      <c r="BB5" s="266">
        <v>38473</v>
      </c>
      <c r="BC5" s="266">
        <v>33716</v>
      </c>
      <c r="BD5" s="249">
        <f t="shared" si="8"/>
        <v>-12.364515374418424</v>
      </c>
      <c r="BE5" s="250"/>
      <c r="BF5" s="250" t="s">
        <v>58</v>
      </c>
      <c r="BG5" s="266">
        <v>45977</v>
      </c>
      <c r="BH5" s="266">
        <v>38473</v>
      </c>
      <c r="BI5" s="268">
        <f>((BH5-BG5)/BG5)*100</f>
        <v>-16.321204080301019</v>
      </c>
      <c r="BJ5" s="266">
        <v>42221</v>
      </c>
      <c r="BK5" s="266">
        <v>38473</v>
      </c>
      <c r="BL5" s="249">
        <f>((BK5-BJ5)/BJ5)*100</f>
        <v>-8.8770990739205615</v>
      </c>
      <c r="BN5" s="250"/>
      <c r="BO5" s="250" t="s">
        <v>58</v>
      </c>
      <c r="BP5" s="266">
        <v>40539</v>
      </c>
      <c r="BQ5" s="266">
        <v>42221</v>
      </c>
      <c r="BR5" s="268">
        <f>((BQ5-BP5)/BP5)*100</f>
        <v>4.1490909987912872</v>
      </c>
      <c r="BS5" s="266">
        <v>35228</v>
      </c>
      <c r="BT5" s="266">
        <v>42221</v>
      </c>
      <c r="BU5" s="249">
        <f t="shared" si="9"/>
        <v>19.850686953559666</v>
      </c>
      <c r="BW5" s="250"/>
      <c r="BX5" s="250" t="s">
        <v>58</v>
      </c>
      <c r="BY5" s="266" t="e">
        <f>'พ.ย. '!CK5</f>
        <v>#REF!</v>
      </c>
      <c r="BZ5" s="266" t="e">
        <f>#REF!</f>
        <v>#REF!</v>
      </c>
      <c r="CA5" s="268" t="e">
        <f>((BZ5-BY5)/BY5)*100</f>
        <v>#REF!</v>
      </c>
      <c r="CB5" s="266" t="e">
        <f>#REF!</f>
        <v>#REF!</v>
      </c>
      <c r="CC5" s="266" t="e">
        <f t="shared" si="10"/>
        <v>#REF!</v>
      </c>
      <c r="CD5" s="249" t="e">
        <f t="shared" si="11"/>
        <v>#REF!</v>
      </c>
      <c r="CE5" s="249"/>
      <c r="CF5" s="250"/>
      <c r="CG5" s="250" t="s">
        <v>58</v>
      </c>
      <c r="CH5" s="266">
        <v>28975</v>
      </c>
      <c r="CI5" s="266">
        <v>34285</v>
      </c>
      <c r="CJ5" s="268">
        <f>((CI5-CH5)/CH5)*100</f>
        <v>18.326143226919758</v>
      </c>
      <c r="CK5" s="266">
        <v>19377</v>
      </c>
      <c r="CL5" s="266">
        <v>34285</v>
      </c>
      <c r="CM5" s="249">
        <f>((CL5-CK5)/CK5)*100</f>
        <v>76.936574289105636</v>
      </c>
      <c r="CN5" s="73"/>
      <c r="CO5" s="232"/>
      <c r="CP5" s="232" t="s">
        <v>58</v>
      </c>
      <c r="CQ5" s="233">
        <v>30791</v>
      </c>
      <c r="CR5" s="233">
        <v>19377</v>
      </c>
      <c r="CS5" s="231">
        <f t="shared" si="15"/>
        <v>-37.069273489006527</v>
      </c>
      <c r="CT5" s="233">
        <v>19014</v>
      </c>
      <c r="CU5" s="233">
        <v>19377</v>
      </c>
      <c r="CV5" s="231">
        <f t="shared" si="16"/>
        <v>1.9091195960870937</v>
      </c>
      <c r="CW5" s="73"/>
      <c r="CX5" s="202"/>
      <c r="CY5" s="202" t="s">
        <v>58</v>
      </c>
      <c r="CZ5" s="203">
        <v>23327</v>
      </c>
      <c r="DA5" s="203">
        <v>19014</v>
      </c>
      <c r="DB5" s="201">
        <f t="shared" si="17"/>
        <v>-18.489304239722209</v>
      </c>
      <c r="DC5" s="203">
        <v>12697</v>
      </c>
      <c r="DD5" s="203">
        <v>19014</v>
      </c>
      <c r="DE5" s="201">
        <f t="shared" si="18"/>
        <v>49.751909899976368</v>
      </c>
      <c r="DF5" s="73"/>
      <c r="DG5" s="103"/>
      <c r="DH5" s="103" t="s">
        <v>58</v>
      </c>
      <c r="DI5" s="104">
        <v>1932</v>
      </c>
      <c r="DJ5" s="104">
        <v>12697</v>
      </c>
      <c r="DK5" s="102">
        <f t="shared" si="19"/>
        <v>557.19461697722568</v>
      </c>
      <c r="DL5" s="104">
        <v>12575</v>
      </c>
      <c r="DM5" s="104">
        <v>12697</v>
      </c>
      <c r="DN5" s="102">
        <f t="shared" si="20"/>
        <v>0.97017892644135195</v>
      </c>
      <c r="DO5" s="73"/>
      <c r="DP5" s="24"/>
      <c r="DQ5" s="24" t="s">
        <v>58</v>
      </c>
      <c r="DR5" s="50">
        <f>11999+4</f>
        <v>12003</v>
      </c>
      <c r="DS5" s="50">
        <v>12575</v>
      </c>
      <c r="DT5" s="128">
        <f t="shared" si="12"/>
        <v>4.7654752978422064</v>
      </c>
      <c r="DU5" s="123">
        <v>10450</v>
      </c>
      <c r="DV5" s="50">
        <v>12575</v>
      </c>
      <c r="DW5" s="128">
        <f t="shared" si="21"/>
        <v>20.334928229665074</v>
      </c>
      <c r="DX5" s="130"/>
      <c r="DY5" s="103"/>
      <c r="DZ5" s="103" t="s">
        <v>58</v>
      </c>
      <c r="EA5" s="104">
        <v>10434</v>
      </c>
      <c r="EB5" s="104">
        <v>10450</v>
      </c>
      <c r="EC5" s="112">
        <f t="shared" si="22"/>
        <v>0.15334483419589803</v>
      </c>
      <c r="ED5" s="104">
        <v>15771</v>
      </c>
      <c r="EE5" s="104">
        <v>10450</v>
      </c>
      <c r="EF5" s="112">
        <f t="shared" si="23"/>
        <v>-33.739141462177415</v>
      </c>
      <c r="EG5" s="61"/>
      <c r="EH5" s="77"/>
      <c r="EI5" s="77" t="s">
        <v>58</v>
      </c>
      <c r="EJ5" s="78">
        <v>19145</v>
      </c>
      <c r="EK5" s="78">
        <v>15771</v>
      </c>
      <c r="EL5" s="79">
        <f t="shared" si="24"/>
        <v>-17.623400365630712</v>
      </c>
      <c r="EM5" s="80">
        <v>9081</v>
      </c>
      <c r="EN5" s="78">
        <v>15771</v>
      </c>
      <c r="EO5" s="79">
        <f t="shared" si="25"/>
        <v>73.670300627684171</v>
      </c>
      <c r="EP5" s="61"/>
      <c r="EQ5" s="42"/>
      <c r="ER5" s="42" t="s">
        <v>58</v>
      </c>
      <c r="ES5" s="58">
        <v>4270</v>
      </c>
      <c r="ET5" s="58">
        <v>9081</v>
      </c>
      <c r="EU5" s="44">
        <f t="shared" si="13"/>
        <v>112.66978922716629</v>
      </c>
      <c r="EV5" s="45">
        <v>4577</v>
      </c>
      <c r="EW5" s="58">
        <v>9081</v>
      </c>
      <c r="EX5" s="44">
        <f t="shared" si="14"/>
        <v>98.405068822372726</v>
      </c>
      <c r="EY5" s="61"/>
      <c r="EZ5" s="24" t="s">
        <v>2</v>
      </c>
      <c r="FA5" s="25">
        <v>6149</v>
      </c>
      <c r="FB5" s="50">
        <v>4734</v>
      </c>
      <c r="FC5" s="32">
        <f>((FB5-FA5)/FA5)*100</f>
        <v>-23.01187184908115</v>
      </c>
      <c r="FD5" s="27">
        <v>11037</v>
      </c>
      <c r="FE5" s="25">
        <f>FB5</f>
        <v>4734</v>
      </c>
      <c r="FF5" s="32">
        <f>((FE5-FD5)/FD5)*100</f>
        <v>-57.107909758086436</v>
      </c>
      <c r="FH5" s="4" t="s">
        <v>2</v>
      </c>
      <c r="FI5" s="5">
        <v>119929</v>
      </c>
      <c r="FJ5" s="5">
        <v>119173</v>
      </c>
      <c r="FK5" s="36">
        <f>(FJ5-FI5)/FI5*100</f>
        <v>-0.63037297067431564</v>
      </c>
      <c r="FL5" s="46">
        <v>67682</v>
      </c>
      <c r="FM5" s="5">
        <v>119173</v>
      </c>
      <c r="FN5" s="47">
        <f>((FM5-FL5)/FL5)*100</f>
        <v>76.077834579356406</v>
      </c>
    </row>
    <row r="6" spans="1:170" x14ac:dyDescent="0.5">
      <c r="A6" s="250"/>
      <c r="B6" s="250" t="s">
        <v>795</v>
      </c>
      <c r="C6" s="364">
        <v>1541</v>
      </c>
      <c r="D6" s="385">
        <v>2248</v>
      </c>
      <c r="E6" s="268">
        <f t="shared" si="0"/>
        <v>45.879299156391951</v>
      </c>
      <c r="F6" s="367">
        <v>100</v>
      </c>
      <c r="G6" s="385">
        <v>2248</v>
      </c>
      <c r="H6" s="249">
        <f t="shared" si="1"/>
        <v>2148</v>
      </c>
      <c r="I6" s="250"/>
      <c r="J6" s="250" t="s">
        <v>795</v>
      </c>
      <c r="K6" s="233">
        <v>100</v>
      </c>
      <c r="L6" s="266">
        <v>100</v>
      </c>
      <c r="M6" s="268">
        <f t="shared" si="2"/>
        <v>0</v>
      </c>
      <c r="N6" s="266"/>
      <c r="O6" s="266">
        <v>100</v>
      </c>
      <c r="P6" s="249" t="e">
        <f t="shared" si="3"/>
        <v>#DIV/0!</v>
      </c>
      <c r="Q6" s="250"/>
      <c r="R6" s="250"/>
      <c r="S6" s="266"/>
      <c r="T6" s="266"/>
      <c r="U6" s="268"/>
      <c r="V6" s="266"/>
      <c r="W6" s="266"/>
      <c r="X6" s="249"/>
      <c r="Y6" s="250"/>
      <c r="Z6" s="250"/>
      <c r="AA6" s="266"/>
      <c r="AB6" s="266"/>
      <c r="AC6" s="268"/>
      <c r="AD6" s="266"/>
      <c r="AE6" s="266"/>
      <c r="AF6" s="249"/>
      <c r="AG6" s="250"/>
      <c r="AH6" s="250"/>
      <c r="AI6" s="266"/>
      <c r="AJ6" s="266"/>
      <c r="AK6" s="268"/>
      <c r="AL6" s="266"/>
      <c r="AM6" s="266"/>
      <c r="AN6" s="249"/>
      <c r="AO6" s="250"/>
      <c r="AP6" s="250"/>
      <c r="AQ6" s="266"/>
      <c r="AR6" s="266"/>
      <c r="AS6" s="268"/>
      <c r="AT6" s="266"/>
      <c r="AU6" s="266"/>
      <c r="AV6" s="249"/>
      <c r="AW6" s="250"/>
      <c r="AX6" s="250"/>
      <c r="AY6" s="266"/>
      <c r="AZ6" s="266"/>
      <c r="BA6" s="268"/>
      <c r="BB6" s="266"/>
      <c r="BC6" s="266"/>
      <c r="BD6" s="249"/>
      <c r="BE6" s="250"/>
      <c r="BF6" s="250"/>
      <c r="BG6" s="266"/>
      <c r="BH6" s="266"/>
      <c r="BI6" s="268"/>
      <c r="BJ6" s="266"/>
      <c r="BK6" s="266"/>
      <c r="BL6" s="249"/>
      <c r="BN6" s="250"/>
      <c r="BO6" s="250"/>
      <c r="BP6" s="266"/>
      <c r="BQ6" s="266"/>
      <c r="BR6" s="268"/>
      <c r="BS6" s="266"/>
      <c r="BT6" s="266"/>
      <c r="BU6" s="249"/>
      <c r="BW6" s="250"/>
      <c r="BX6" s="250"/>
      <c r="BY6" s="266"/>
      <c r="BZ6" s="266"/>
      <c r="CA6" s="268"/>
      <c r="CB6" s="266"/>
      <c r="CC6" s="266"/>
      <c r="CD6" s="249"/>
      <c r="CE6" s="249"/>
      <c r="CF6" s="250"/>
      <c r="CG6" s="250"/>
      <c r="CH6" s="266"/>
      <c r="CI6" s="266"/>
      <c r="CJ6" s="268"/>
      <c r="CK6" s="266"/>
      <c r="CL6" s="266"/>
      <c r="CM6" s="249"/>
      <c r="CN6" s="73"/>
      <c r="CO6" s="232"/>
      <c r="CP6" s="232"/>
      <c r="CQ6" s="233"/>
      <c r="CR6" s="233"/>
      <c r="CS6" s="231"/>
      <c r="CT6" s="233"/>
      <c r="CU6" s="233"/>
      <c r="CV6" s="231"/>
      <c r="CW6" s="73"/>
      <c r="CX6" s="202"/>
      <c r="CY6" s="202"/>
      <c r="CZ6" s="203"/>
      <c r="DA6" s="203"/>
      <c r="DB6" s="201"/>
      <c r="DC6" s="203"/>
      <c r="DD6" s="203"/>
      <c r="DE6" s="201"/>
      <c r="DF6" s="73"/>
      <c r="DG6" s="103"/>
      <c r="DH6" s="103"/>
      <c r="DI6" s="104"/>
      <c r="DJ6" s="104"/>
      <c r="DK6" s="102"/>
      <c r="DL6" s="104"/>
      <c r="DM6" s="104"/>
      <c r="DN6" s="102"/>
      <c r="DO6" s="73"/>
      <c r="DP6" s="24"/>
      <c r="DQ6" s="24"/>
      <c r="DR6" s="50"/>
      <c r="DS6" s="50"/>
      <c r="DT6" s="128"/>
      <c r="DU6" s="123"/>
      <c r="DV6" s="50"/>
      <c r="DW6" s="128"/>
      <c r="DX6" s="130"/>
      <c r="DY6" s="103"/>
      <c r="DZ6" s="103"/>
      <c r="EA6" s="104"/>
      <c r="EB6" s="104"/>
      <c r="EC6" s="112"/>
      <c r="ED6" s="104"/>
      <c r="EE6" s="104"/>
      <c r="EF6" s="112"/>
      <c r="EG6" s="61"/>
      <c r="EH6" s="77"/>
      <c r="EI6" s="77"/>
      <c r="EJ6" s="78"/>
      <c r="EK6" s="78"/>
      <c r="EL6" s="79"/>
      <c r="EM6" s="80"/>
      <c r="EN6" s="78"/>
      <c r="EO6" s="79"/>
      <c r="EP6" s="61"/>
      <c r="EQ6" s="42"/>
      <c r="ER6" s="42"/>
      <c r="ES6" s="58"/>
      <c r="ET6" s="58"/>
      <c r="EU6" s="44"/>
      <c r="EV6" s="45"/>
      <c r="EW6" s="58"/>
      <c r="EX6" s="44"/>
      <c r="EY6" s="61"/>
      <c r="EZ6" s="24"/>
      <c r="FA6" s="25"/>
      <c r="FB6" s="50"/>
      <c r="FC6" s="32"/>
      <c r="FD6" s="27"/>
      <c r="FE6" s="25"/>
      <c r="FF6" s="32"/>
      <c r="FH6" s="4"/>
      <c r="FI6" s="5"/>
      <c r="FJ6" s="5"/>
      <c r="FK6" s="36"/>
      <c r="FL6" s="46"/>
      <c r="FM6" s="5"/>
      <c r="FN6" s="47"/>
    </row>
    <row r="7" spans="1:170" x14ac:dyDescent="0.5">
      <c r="A7" s="250"/>
      <c r="B7" s="250" t="s">
        <v>808</v>
      </c>
      <c r="C7" s="266">
        <v>1447</v>
      </c>
      <c r="D7" s="381">
        <v>2611</v>
      </c>
      <c r="E7" s="268">
        <f t="shared" si="0"/>
        <v>80.442294402211473</v>
      </c>
      <c r="F7" s="266">
        <v>5465</v>
      </c>
      <c r="G7" s="381">
        <v>2611</v>
      </c>
      <c r="H7" s="249">
        <f t="shared" si="1"/>
        <v>-52.223238792314731</v>
      </c>
      <c r="I7" s="250"/>
      <c r="J7" s="250" t="s">
        <v>808</v>
      </c>
      <c r="K7" s="266"/>
      <c r="L7" s="266">
        <v>6201</v>
      </c>
      <c r="M7" s="268" t="e">
        <f t="shared" si="2"/>
        <v>#DIV/0!</v>
      </c>
      <c r="N7" s="266"/>
      <c r="O7" s="266">
        <v>6201</v>
      </c>
      <c r="P7" s="249" t="e">
        <f t="shared" si="3"/>
        <v>#DIV/0!</v>
      </c>
      <c r="Q7" s="250"/>
      <c r="R7" s="250"/>
      <c r="S7" s="266"/>
      <c r="T7" s="266"/>
      <c r="U7" s="268"/>
      <c r="V7" s="266"/>
      <c r="W7" s="266"/>
      <c r="X7" s="249"/>
      <c r="Y7" s="250"/>
      <c r="Z7" s="250"/>
      <c r="AA7" s="266"/>
      <c r="AB7" s="266"/>
      <c r="AC7" s="268"/>
      <c r="AD7" s="266"/>
      <c r="AE7" s="266"/>
      <c r="AF7" s="249"/>
      <c r="AG7" s="250"/>
      <c r="AH7" s="250"/>
      <c r="AI7" s="266"/>
      <c r="AJ7" s="266"/>
      <c r="AK7" s="268"/>
      <c r="AL7" s="266"/>
      <c r="AM7" s="266"/>
      <c r="AN7" s="249"/>
      <c r="AO7" s="250"/>
      <c r="AP7" s="250"/>
      <c r="AQ7" s="266"/>
      <c r="AR7" s="266"/>
      <c r="AS7" s="268"/>
      <c r="AT7" s="266"/>
      <c r="AU7" s="266"/>
      <c r="AV7" s="249"/>
      <c r="AW7" s="250"/>
      <c r="AX7" s="250"/>
      <c r="AY7" s="266"/>
      <c r="AZ7" s="266"/>
      <c r="BA7" s="268"/>
      <c r="BB7" s="266"/>
      <c r="BC7" s="266"/>
      <c r="BD7" s="249"/>
      <c r="BE7" s="250"/>
      <c r="BF7" s="250"/>
      <c r="BG7" s="266"/>
      <c r="BH7" s="266"/>
      <c r="BI7" s="268"/>
      <c r="BJ7" s="266"/>
      <c r="BK7" s="266"/>
      <c r="BL7" s="249"/>
      <c r="BN7" s="250"/>
      <c r="BO7" s="250"/>
      <c r="BP7" s="266"/>
      <c r="BQ7" s="266"/>
      <c r="BR7" s="268"/>
      <c r="BS7" s="266"/>
      <c r="BT7" s="266"/>
      <c r="BU7" s="249"/>
      <c r="BW7" s="250"/>
      <c r="BX7" s="250"/>
      <c r="BY7" s="266"/>
      <c r="BZ7" s="266"/>
      <c r="CA7" s="268"/>
      <c r="CB7" s="266"/>
      <c r="CC7" s="266"/>
      <c r="CD7" s="249"/>
      <c r="CE7" s="249"/>
      <c r="CF7" s="250"/>
      <c r="CG7" s="250"/>
      <c r="CH7" s="266"/>
      <c r="CI7" s="266"/>
      <c r="CJ7" s="268"/>
      <c r="CK7" s="266"/>
      <c r="CL7" s="266"/>
      <c r="CM7" s="249"/>
      <c r="CN7" s="73"/>
      <c r="CO7" s="232"/>
      <c r="CP7" s="232"/>
      <c r="CQ7" s="233"/>
      <c r="CR7" s="233"/>
      <c r="CS7" s="231"/>
      <c r="CT7" s="233"/>
      <c r="CU7" s="233"/>
      <c r="CV7" s="231"/>
      <c r="CW7" s="73"/>
      <c r="CX7" s="202"/>
      <c r="CY7" s="202"/>
      <c r="CZ7" s="203"/>
      <c r="DA7" s="203"/>
      <c r="DB7" s="201"/>
      <c r="DC7" s="203"/>
      <c r="DD7" s="203"/>
      <c r="DE7" s="201"/>
      <c r="DF7" s="73"/>
      <c r="DG7" s="103"/>
      <c r="DH7" s="103"/>
      <c r="DI7" s="104"/>
      <c r="DJ7" s="104"/>
      <c r="DK7" s="102"/>
      <c r="DL7" s="104"/>
      <c r="DM7" s="104"/>
      <c r="DN7" s="102"/>
      <c r="DO7" s="73"/>
      <c r="DP7" s="24"/>
      <c r="DQ7" s="24"/>
      <c r="DR7" s="50"/>
      <c r="DS7" s="50"/>
      <c r="DT7" s="128"/>
      <c r="DU7" s="123"/>
      <c r="DV7" s="50"/>
      <c r="DW7" s="128"/>
      <c r="DX7" s="130"/>
      <c r="DY7" s="103"/>
      <c r="DZ7" s="103"/>
      <c r="EA7" s="104"/>
      <c r="EB7" s="104"/>
      <c r="EC7" s="112"/>
      <c r="ED7" s="104"/>
      <c r="EE7" s="104"/>
      <c r="EF7" s="112"/>
      <c r="EG7" s="61"/>
      <c r="EH7" s="77"/>
      <c r="EI7" s="77"/>
      <c r="EJ7" s="78"/>
      <c r="EK7" s="78"/>
      <c r="EL7" s="79"/>
      <c r="EM7" s="80"/>
      <c r="EN7" s="78"/>
      <c r="EO7" s="79"/>
      <c r="EP7" s="61"/>
      <c r="EQ7" s="42"/>
      <c r="ER7" s="42"/>
      <c r="ES7" s="58"/>
      <c r="ET7" s="58"/>
      <c r="EU7" s="44"/>
      <c r="EV7" s="45"/>
      <c r="EW7" s="58"/>
      <c r="EX7" s="44"/>
      <c r="EY7" s="61"/>
      <c r="EZ7" s="24"/>
      <c r="FA7" s="25"/>
      <c r="FB7" s="50"/>
      <c r="FC7" s="32"/>
      <c r="FD7" s="27"/>
      <c r="FE7" s="25"/>
      <c r="FF7" s="32"/>
      <c r="FH7" s="4"/>
      <c r="FI7" s="5"/>
      <c r="FJ7" s="5"/>
      <c r="FK7" s="36"/>
      <c r="FL7" s="46"/>
      <c r="FM7" s="5"/>
      <c r="FN7" s="47"/>
    </row>
    <row r="8" spans="1:170" x14ac:dyDescent="0.5">
      <c r="A8" s="247" t="s">
        <v>1</v>
      </c>
      <c r="B8" s="247"/>
      <c r="C8" s="230">
        <v>128430</v>
      </c>
      <c r="D8" s="380">
        <v>134364</v>
      </c>
      <c r="E8" s="268">
        <f t="shared" si="0"/>
        <v>4.6204157907031069</v>
      </c>
      <c r="F8" s="267">
        <v>124793</v>
      </c>
      <c r="G8" s="380">
        <v>134364</v>
      </c>
      <c r="H8" s="249">
        <f t="shared" si="1"/>
        <v>7.6695006931478531</v>
      </c>
      <c r="I8" s="247" t="s">
        <v>1</v>
      </c>
      <c r="J8" s="247"/>
      <c r="K8" s="230">
        <v>143121</v>
      </c>
      <c r="L8" s="267">
        <v>132377</v>
      </c>
      <c r="M8" s="268">
        <f t="shared" si="2"/>
        <v>-7.5069346916245703</v>
      </c>
      <c r="N8" s="267">
        <v>144445</v>
      </c>
      <c r="O8" s="267">
        <v>132377</v>
      </c>
      <c r="P8" s="249">
        <f t="shared" si="3"/>
        <v>-8.3547370971650103</v>
      </c>
      <c r="Q8" s="247" t="s">
        <v>1</v>
      </c>
      <c r="R8" s="247"/>
      <c r="S8" s="267">
        <v>150980</v>
      </c>
      <c r="T8" s="267">
        <v>144445</v>
      </c>
      <c r="U8" s="268">
        <f>((T8-S8)/S8)*100</f>
        <v>-4.328387865942509</v>
      </c>
      <c r="V8" s="267">
        <v>145343</v>
      </c>
      <c r="W8" s="267">
        <v>144445</v>
      </c>
      <c r="X8" s="249">
        <f t="shared" si="4"/>
        <v>-0.61784881280832238</v>
      </c>
      <c r="Y8" s="247" t="s">
        <v>1</v>
      </c>
      <c r="Z8" s="247"/>
      <c r="AA8" s="267">
        <v>144648</v>
      </c>
      <c r="AB8" s="267">
        <v>145343</v>
      </c>
      <c r="AC8" s="268">
        <f>((AB8-AA8)/AA8)*100</f>
        <v>0.48047674354294562</v>
      </c>
      <c r="AD8" s="267">
        <v>123844</v>
      </c>
      <c r="AE8" s="267">
        <v>145343</v>
      </c>
      <c r="AF8" s="249">
        <f t="shared" si="5"/>
        <v>17.359742902361035</v>
      </c>
      <c r="AG8" s="247" t="s">
        <v>1</v>
      </c>
      <c r="AH8" s="247"/>
      <c r="AI8" s="267">
        <v>120062</v>
      </c>
      <c r="AJ8" s="267">
        <v>123844</v>
      </c>
      <c r="AK8" s="268">
        <f>((AJ8-AI8)/AI8)*100</f>
        <v>3.1500391464410056</v>
      </c>
      <c r="AL8" s="267">
        <v>113615</v>
      </c>
      <c r="AM8" s="267">
        <v>123844</v>
      </c>
      <c r="AN8" s="249">
        <f t="shared" si="6"/>
        <v>9.0032126039695459</v>
      </c>
      <c r="AO8" s="247" t="s">
        <v>1</v>
      </c>
      <c r="AP8" s="247"/>
      <c r="AQ8" s="267">
        <v>135458</v>
      </c>
      <c r="AR8" s="267">
        <v>113615</v>
      </c>
      <c r="AS8" s="268">
        <f>((AR8-AQ8)/AQ8)*100</f>
        <v>-16.12529344889191</v>
      </c>
      <c r="AT8" s="267">
        <v>137300</v>
      </c>
      <c r="AU8" s="267">
        <v>113615</v>
      </c>
      <c r="AV8" s="249">
        <f t="shared" si="7"/>
        <v>-17.250546249089584</v>
      </c>
      <c r="AW8" s="247" t="s">
        <v>1</v>
      </c>
      <c r="AX8" s="247"/>
      <c r="AY8" s="267">
        <v>145633</v>
      </c>
      <c r="AZ8" s="267">
        <v>137300</v>
      </c>
      <c r="BA8" s="268">
        <f>((AZ8-AY8)/AY8)*100</f>
        <v>-5.7219174225621945</v>
      </c>
      <c r="BB8" s="267">
        <v>131523</v>
      </c>
      <c r="BC8" s="267">
        <v>137300</v>
      </c>
      <c r="BD8" s="249">
        <f t="shared" si="8"/>
        <v>4.3923876432258995</v>
      </c>
      <c r="BE8" s="247" t="s">
        <v>1</v>
      </c>
      <c r="BF8" s="247"/>
      <c r="BG8" s="267">
        <v>153058</v>
      </c>
      <c r="BH8" s="267">
        <v>131523</v>
      </c>
      <c r="BI8" s="268">
        <f>((BH8-BG8)/BG8)*100</f>
        <v>-14.069829737746476</v>
      </c>
      <c r="BJ8" s="267">
        <v>124667</v>
      </c>
      <c r="BK8" s="267">
        <v>131523</v>
      </c>
      <c r="BL8" s="249">
        <f>((BK8-BJ8)/BJ8)*100</f>
        <v>5.4994505362285127</v>
      </c>
      <c r="BN8" s="247" t="s">
        <v>1</v>
      </c>
      <c r="BO8" s="247"/>
      <c r="BP8" s="267">
        <v>137291</v>
      </c>
      <c r="BQ8" s="267">
        <v>124667</v>
      </c>
      <c r="BR8" s="268">
        <f>((BQ8-BP8)/BP8)*100</f>
        <v>-9.1950674115564741</v>
      </c>
      <c r="BS8" s="267">
        <v>122720</v>
      </c>
      <c r="BT8" s="267">
        <v>124667</v>
      </c>
      <c r="BU8" s="249">
        <f t="shared" si="9"/>
        <v>1.5865384615384615</v>
      </c>
      <c r="BW8" s="247" t="s">
        <v>1</v>
      </c>
      <c r="BX8" s="247"/>
      <c r="BY8" s="267" t="e">
        <f>'พ.ย. '!CK8</f>
        <v>#REF!</v>
      </c>
      <c r="BZ8" s="267" t="e">
        <f>#REF!</f>
        <v>#REF!</v>
      </c>
      <c r="CA8" s="268" t="e">
        <f>((BZ8-BY8)/BY8)*100</f>
        <v>#REF!</v>
      </c>
      <c r="CB8" s="267" t="e">
        <f>#REF!</f>
        <v>#REF!</v>
      </c>
      <c r="CC8" s="267" t="e">
        <f t="shared" si="10"/>
        <v>#REF!</v>
      </c>
      <c r="CD8" s="249" t="e">
        <f t="shared" si="11"/>
        <v>#REF!</v>
      </c>
      <c r="CE8" s="249"/>
      <c r="CF8" s="247" t="s">
        <v>1</v>
      </c>
      <c r="CG8" s="247"/>
      <c r="CH8" s="267">
        <f>CH9+CH10+CH11</f>
        <v>121025</v>
      </c>
      <c r="CI8" s="267">
        <f>CI9+CI10+CI11</f>
        <v>120001</v>
      </c>
      <c r="CJ8" s="268">
        <f>((CI8-CH8)/CH8)*100</f>
        <v>-0.84610617640983266</v>
      </c>
      <c r="CK8" s="267">
        <f>SUM(CK9:CK11)</f>
        <v>126752</v>
      </c>
      <c r="CL8" s="267">
        <f>CL9+CL10+CL11</f>
        <v>120001</v>
      </c>
      <c r="CM8" s="249">
        <f>((CL8-CK8)/CK8)*100</f>
        <v>-5.3261486998232774</v>
      </c>
      <c r="CN8" s="73"/>
      <c r="CO8" s="229" t="s">
        <v>1</v>
      </c>
      <c r="CP8" s="229"/>
      <c r="CQ8" s="230">
        <v>138750</v>
      </c>
      <c r="CR8" s="230">
        <v>126852</v>
      </c>
      <c r="CS8" s="231">
        <f t="shared" si="15"/>
        <v>-8.5751351351351346</v>
      </c>
      <c r="CT8" s="230">
        <v>152894</v>
      </c>
      <c r="CU8" s="230">
        <v>126852</v>
      </c>
      <c r="CV8" s="231">
        <f t="shared" si="16"/>
        <v>-17.032715476081467</v>
      </c>
      <c r="CW8" s="73"/>
      <c r="CX8" s="199" t="s">
        <v>1</v>
      </c>
      <c r="CY8" s="199"/>
      <c r="CZ8" s="200">
        <f>SUM(CZ9:CZ11)</f>
        <v>165774</v>
      </c>
      <c r="DA8" s="200">
        <f>SUM(DA9:DA11)</f>
        <v>152894</v>
      </c>
      <c r="DB8" s="201">
        <f t="shared" si="17"/>
        <v>-7.7696140528671558</v>
      </c>
      <c r="DC8" s="200">
        <f>SUM(DC9:DC11)</f>
        <v>122377</v>
      </c>
      <c r="DD8" s="200">
        <f>SUM(DD9:DD11)</f>
        <v>152894</v>
      </c>
      <c r="DE8" s="201">
        <f t="shared" si="18"/>
        <v>24.936875393252002</v>
      </c>
      <c r="DF8" s="73"/>
      <c r="DG8" s="100" t="s">
        <v>1</v>
      </c>
      <c r="DH8" s="100"/>
      <c r="DI8" s="101">
        <f>SUM(DI9:DI11)</f>
        <v>128324</v>
      </c>
      <c r="DJ8" s="101">
        <f>SUM(DJ9:DJ11)</f>
        <v>122377</v>
      </c>
      <c r="DK8" s="102">
        <f t="shared" si="19"/>
        <v>-4.6343630186091458</v>
      </c>
      <c r="DL8" s="101">
        <v>158006</v>
      </c>
      <c r="DM8" s="101">
        <f>SUM(DM9:DM11)</f>
        <v>122377</v>
      </c>
      <c r="DN8" s="102">
        <f t="shared" si="20"/>
        <v>-22.549143703403669</v>
      </c>
      <c r="DO8" s="73"/>
      <c r="DP8" s="120" t="s">
        <v>1</v>
      </c>
      <c r="DQ8" s="120"/>
      <c r="DR8" s="133">
        <f>SUM(DR9:DR11)</f>
        <v>144220</v>
      </c>
      <c r="DS8" s="133">
        <f>SUM(DS9:DS11)</f>
        <v>158006</v>
      </c>
      <c r="DT8" s="125">
        <f t="shared" si="12"/>
        <v>9.5590070725280825</v>
      </c>
      <c r="DU8" s="121">
        <v>147424</v>
      </c>
      <c r="DV8" s="133">
        <v>158006</v>
      </c>
      <c r="DW8" s="125">
        <f t="shared" si="21"/>
        <v>7.1779357499457355</v>
      </c>
      <c r="DX8" s="127"/>
      <c r="DY8" s="100" t="s">
        <v>1</v>
      </c>
      <c r="DZ8" s="100"/>
      <c r="EA8" s="101">
        <f>SUM(EA9:EA11)</f>
        <v>130264</v>
      </c>
      <c r="EB8" s="101">
        <f>SUM(EB9:EB11)</f>
        <v>147424</v>
      </c>
      <c r="EC8" s="102">
        <f t="shared" si="22"/>
        <v>13.173248172941104</v>
      </c>
      <c r="ED8" s="101">
        <v>116026</v>
      </c>
      <c r="EE8" s="101">
        <f>SUM(EE9:EE11)</f>
        <v>147424</v>
      </c>
      <c r="EF8" s="102">
        <f t="shared" si="23"/>
        <v>27.061175943323047</v>
      </c>
      <c r="EG8" s="73"/>
      <c r="EH8" s="74" t="s">
        <v>1</v>
      </c>
      <c r="EI8" s="74"/>
      <c r="EJ8" s="75">
        <f>SUM(EJ9:EJ11)</f>
        <v>125323</v>
      </c>
      <c r="EK8" s="75">
        <f>SUM(EK9:EK11)</f>
        <v>116026</v>
      </c>
      <c r="EL8" s="76">
        <f t="shared" si="24"/>
        <v>-7.4184307748777156</v>
      </c>
      <c r="EM8" s="75">
        <f>SUM(EM9:EM11)</f>
        <v>103218</v>
      </c>
      <c r="EN8" s="75">
        <v>116026</v>
      </c>
      <c r="EO8" s="76">
        <f t="shared" si="25"/>
        <v>12.408688407060783</v>
      </c>
      <c r="EP8" s="73"/>
      <c r="EQ8" s="63" t="s">
        <v>1</v>
      </c>
      <c r="ER8" s="63"/>
      <c r="ES8" s="64">
        <f>SUM(ES9:ES11)</f>
        <v>129608</v>
      </c>
      <c r="ET8" s="64">
        <f>SUM(ET9:ET11)</f>
        <v>103218</v>
      </c>
      <c r="EU8" s="65">
        <f t="shared" si="13"/>
        <v>-20.361397444602186</v>
      </c>
      <c r="EV8" s="64">
        <f>SUM(EV9:EV11)</f>
        <v>163197</v>
      </c>
      <c r="EW8" s="64">
        <f>SUM(EW9:EW11)</f>
        <v>103218</v>
      </c>
      <c r="EX8" s="65">
        <f t="shared" si="14"/>
        <v>-36.75251383297487</v>
      </c>
      <c r="EY8" s="73"/>
    </row>
    <row r="9" spans="1:170" x14ac:dyDescent="0.5">
      <c r="A9" s="250"/>
      <c r="B9" s="250" t="s">
        <v>521</v>
      </c>
      <c r="C9" s="339">
        <v>0</v>
      </c>
      <c r="D9" s="381">
        <v>0</v>
      </c>
      <c r="E9" s="336" t="s">
        <v>530</v>
      </c>
      <c r="F9" s="266">
        <v>0</v>
      </c>
      <c r="G9" s="381">
        <v>0</v>
      </c>
      <c r="H9" s="344" t="s">
        <v>530</v>
      </c>
      <c r="I9" s="250"/>
      <c r="J9" s="250" t="s">
        <v>521</v>
      </c>
      <c r="K9" s="339">
        <v>0</v>
      </c>
      <c r="L9" s="266">
        <v>0</v>
      </c>
      <c r="M9" s="336" t="s">
        <v>530</v>
      </c>
      <c r="N9" s="266">
        <v>0</v>
      </c>
      <c r="O9" s="266">
        <v>0</v>
      </c>
      <c r="P9" s="344" t="s">
        <v>530</v>
      </c>
      <c r="Q9" s="250"/>
      <c r="R9" s="250" t="s">
        <v>521</v>
      </c>
      <c r="S9" s="266">
        <v>0</v>
      </c>
      <c r="T9" s="266">
        <v>0</v>
      </c>
      <c r="U9" s="336" t="s">
        <v>530</v>
      </c>
      <c r="V9" s="266" t="s">
        <v>530</v>
      </c>
      <c r="W9" s="266">
        <v>0</v>
      </c>
      <c r="X9" s="344" t="s">
        <v>530</v>
      </c>
      <c r="Y9" s="250"/>
      <c r="Z9" s="250" t="s">
        <v>521</v>
      </c>
      <c r="AA9" s="266" t="s">
        <v>530</v>
      </c>
      <c r="AB9" s="266" t="s">
        <v>530</v>
      </c>
      <c r="AC9" s="336" t="s">
        <v>530</v>
      </c>
      <c r="AD9" s="266" t="s">
        <v>530</v>
      </c>
      <c r="AE9" s="266" t="s">
        <v>530</v>
      </c>
      <c r="AF9" s="344" t="s">
        <v>530</v>
      </c>
      <c r="AG9" s="250"/>
      <c r="AH9" s="250" t="s">
        <v>521</v>
      </c>
      <c r="AI9" s="266" t="s">
        <v>530</v>
      </c>
      <c r="AJ9" s="266" t="s">
        <v>530</v>
      </c>
      <c r="AK9" s="336" t="s">
        <v>530</v>
      </c>
      <c r="AL9" s="266" t="s">
        <v>530</v>
      </c>
      <c r="AM9" s="266" t="s">
        <v>530</v>
      </c>
      <c r="AN9" s="344" t="s">
        <v>530</v>
      </c>
      <c r="AO9" s="250"/>
      <c r="AP9" s="250" t="s">
        <v>521</v>
      </c>
      <c r="AQ9" s="266" t="s">
        <v>530</v>
      </c>
      <c r="AR9" s="266" t="s">
        <v>530</v>
      </c>
      <c r="AS9" s="336" t="s">
        <v>530</v>
      </c>
      <c r="AT9" s="266" t="s">
        <v>530</v>
      </c>
      <c r="AU9" s="266" t="s">
        <v>530</v>
      </c>
      <c r="AV9" s="344" t="s">
        <v>530</v>
      </c>
      <c r="AW9" s="250"/>
      <c r="AX9" s="250" t="s">
        <v>521</v>
      </c>
      <c r="AY9" s="266" t="s">
        <v>530</v>
      </c>
      <c r="AZ9" s="266" t="s">
        <v>530</v>
      </c>
      <c r="BA9" s="336" t="s">
        <v>530</v>
      </c>
      <c r="BB9" s="266">
        <v>0</v>
      </c>
      <c r="BC9" s="266" t="s">
        <v>530</v>
      </c>
      <c r="BD9" s="344" t="s">
        <v>530</v>
      </c>
      <c r="BE9" s="250"/>
      <c r="BF9" s="250" t="s">
        <v>521</v>
      </c>
      <c r="BG9" s="266">
        <v>1</v>
      </c>
      <c r="BH9" s="266">
        <v>0</v>
      </c>
      <c r="BI9" s="268">
        <f t="shared" ref="BI9:BI18" si="26">((BH9-BG9)/BG9)*100</f>
        <v>-100</v>
      </c>
      <c r="BJ9" s="266"/>
      <c r="BK9" s="266">
        <v>0</v>
      </c>
      <c r="BL9" s="249"/>
      <c r="BN9" s="250"/>
      <c r="BO9" s="250" t="s">
        <v>435</v>
      </c>
      <c r="BP9" s="266">
        <v>8</v>
      </c>
      <c r="BQ9" s="266">
        <v>9</v>
      </c>
      <c r="BR9" s="268">
        <f t="shared" ref="BR9:BR18" si="27">((BQ9-BP9)/BP9)*100</f>
        <v>12.5</v>
      </c>
      <c r="BS9" s="266"/>
      <c r="BT9" s="266">
        <v>9</v>
      </c>
      <c r="BU9" s="249"/>
      <c r="BW9" s="250"/>
      <c r="BX9" s="250" t="s">
        <v>57</v>
      </c>
      <c r="BY9" s="266" t="e">
        <f>'พ.ย. '!CK9</f>
        <v>#REF!</v>
      </c>
      <c r="BZ9" s="266" t="e">
        <f>#REF!</f>
        <v>#REF!</v>
      </c>
      <c r="CA9" s="268" t="e">
        <f t="shared" ref="CA9:CA18" si="28">((BZ9-BY9)/BY9)*100</f>
        <v>#REF!</v>
      </c>
      <c r="CB9" s="266" t="e">
        <f>#REF!</f>
        <v>#REF!</v>
      </c>
      <c r="CC9" s="266" t="e">
        <f t="shared" si="10"/>
        <v>#REF!</v>
      </c>
      <c r="CD9" s="249" t="e">
        <f t="shared" si="11"/>
        <v>#REF!</v>
      </c>
      <c r="CE9" s="249"/>
      <c r="CF9" s="250"/>
      <c r="CG9" s="250" t="s">
        <v>57</v>
      </c>
      <c r="CH9" s="266">
        <v>61747</v>
      </c>
      <c r="CI9" s="266">
        <v>61058</v>
      </c>
      <c r="CJ9" s="268">
        <f t="shared" ref="CJ9:CJ18" si="29">((CI9-CH9)/CH9)*100</f>
        <v>-1.1158436847134272</v>
      </c>
      <c r="CK9" s="266">
        <v>62927</v>
      </c>
      <c r="CL9" s="266">
        <v>61058</v>
      </c>
      <c r="CM9" s="249">
        <f t="shared" ref="CM9:CM18" si="30">((CL9-CK9)/CK9)*100</f>
        <v>-2.970108220636611</v>
      </c>
      <c r="CN9" s="73"/>
      <c r="CO9" s="232"/>
      <c r="CP9" s="232" t="s">
        <v>57</v>
      </c>
      <c r="CQ9" s="234">
        <v>68128</v>
      </c>
      <c r="CR9" s="234">
        <v>62927</v>
      </c>
      <c r="CS9" s="231">
        <f t="shared" si="15"/>
        <v>-7.6341592296852987</v>
      </c>
      <c r="CT9" s="234">
        <v>71024</v>
      </c>
      <c r="CU9" s="234">
        <v>62927</v>
      </c>
      <c r="CV9" s="231">
        <f t="shared" si="16"/>
        <v>-11.40037170533904</v>
      </c>
      <c r="CW9" s="73"/>
      <c r="CX9" s="202"/>
      <c r="CY9" s="202" t="s">
        <v>57</v>
      </c>
      <c r="CZ9" s="204">
        <v>73163</v>
      </c>
      <c r="DA9" s="204">
        <v>71024</v>
      </c>
      <c r="DB9" s="201">
        <f t="shared" si="17"/>
        <v>-2.9236089280100597</v>
      </c>
      <c r="DC9" s="204">
        <v>50657</v>
      </c>
      <c r="DD9" s="204">
        <v>71024</v>
      </c>
      <c r="DE9" s="201">
        <f t="shared" si="18"/>
        <v>40.205697139585844</v>
      </c>
      <c r="DF9" s="73"/>
      <c r="DG9" s="103"/>
      <c r="DH9" s="103" t="s">
        <v>57</v>
      </c>
      <c r="DI9" s="105">
        <v>57995</v>
      </c>
      <c r="DJ9" s="105">
        <v>50657</v>
      </c>
      <c r="DK9" s="102">
        <f t="shared" si="19"/>
        <v>-12.65281489783602</v>
      </c>
      <c r="DL9" s="105">
        <v>71313</v>
      </c>
      <c r="DM9" s="105">
        <v>50657</v>
      </c>
      <c r="DN9" s="102">
        <f t="shared" si="20"/>
        <v>-28.965265800064504</v>
      </c>
      <c r="DO9" s="73"/>
      <c r="DP9" s="24"/>
      <c r="DQ9" s="24" t="s">
        <v>57</v>
      </c>
      <c r="DR9" s="50">
        <v>66767</v>
      </c>
      <c r="DS9" s="50">
        <v>71313</v>
      </c>
      <c r="DT9" s="128">
        <f t="shared" si="12"/>
        <v>6.8087528269953719</v>
      </c>
      <c r="DU9" s="25">
        <v>71790</v>
      </c>
      <c r="DV9" s="50">
        <v>71313</v>
      </c>
      <c r="DW9" s="128">
        <f t="shared" si="21"/>
        <v>-0.664437944003343</v>
      </c>
      <c r="DX9" s="130"/>
      <c r="DY9" s="103"/>
      <c r="DZ9" s="103" t="s">
        <v>57</v>
      </c>
      <c r="EA9" s="105">
        <v>63240</v>
      </c>
      <c r="EB9" s="105">
        <v>71790</v>
      </c>
      <c r="EC9" s="112">
        <f t="shared" si="22"/>
        <v>13.519924098671726</v>
      </c>
      <c r="ED9" s="105">
        <v>56426</v>
      </c>
      <c r="EE9" s="105">
        <v>71790</v>
      </c>
      <c r="EF9" s="112">
        <f t="shared" si="23"/>
        <v>27.22858256831957</v>
      </c>
      <c r="EG9" s="61"/>
      <c r="EH9" s="77"/>
      <c r="EI9" s="77" t="s">
        <v>57</v>
      </c>
      <c r="EJ9" s="80">
        <v>66671</v>
      </c>
      <c r="EK9" s="80">
        <v>60171</v>
      </c>
      <c r="EL9" s="79">
        <f t="shared" si="24"/>
        <v>-9.7493662911910715</v>
      </c>
      <c r="EM9" s="81">
        <v>53110</v>
      </c>
      <c r="EN9" s="80">
        <v>60171</v>
      </c>
      <c r="EO9" s="79">
        <f t="shared" si="25"/>
        <v>13.295048013556768</v>
      </c>
      <c r="EP9" s="61"/>
      <c r="EQ9" s="42"/>
      <c r="ER9" s="42" t="s">
        <v>57</v>
      </c>
      <c r="ES9" s="43">
        <v>67453</v>
      </c>
      <c r="ET9" s="43">
        <v>53110</v>
      </c>
      <c r="EU9" s="44">
        <f t="shared" si="13"/>
        <v>-21.263694720768537</v>
      </c>
      <c r="EV9" s="45">
        <v>85217</v>
      </c>
      <c r="EW9" s="43">
        <v>53110</v>
      </c>
      <c r="EX9" s="44">
        <f t="shared" si="14"/>
        <v>-37.676754638159053</v>
      </c>
      <c r="EY9" s="61"/>
      <c r="FA9" s="34" t="s">
        <v>41</v>
      </c>
      <c r="FH9" s="34" t="s">
        <v>6</v>
      </c>
    </row>
    <row r="10" spans="1:170" x14ac:dyDescent="0.5">
      <c r="A10" s="250"/>
      <c r="B10" s="250" t="s">
        <v>522</v>
      </c>
      <c r="C10" s="234">
        <v>40214</v>
      </c>
      <c r="D10" s="381">
        <v>40786</v>
      </c>
      <c r="E10" s="268">
        <f t="shared" ref="E10:E18" si="31">((D10-C10)/C10)*100</f>
        <v>1.4223902123638534</v>
      </c>
      <c r="F10" s="266">
        <v>43663</v>
      </c>
      <c r="G10" s="381">
        <v>40786</v>
      </c>
      <c r="H10" s="249">
        <f t="shared" ref="H10:H14" si="32">((G10-F10)/F10)*100</f>
        <v>-6.5891029017703771</v>
      </c>
      <c r="I10" s="250"/>
      <c r="J10" s="250" t="s">
        <v>522</v>
      </c>
      <c r="K10" s="234">
        <v>53291</v>
      </c>
      <c r="L10" s="266">
        <v>51549</v>
      </c>
      <c r="M10" s="268">
        <f t="shared" ref="M10:M18" si="33">((L10-K10)/K10)*100</f>
        <v>-3.2688446454373161</v>
      </c>
      <c r="N10" s="266">
        <v>64547</v>
      </c>
      <c r="O10" s="266">
        <v>51549</v>
      </c>
      <c r="P10" s="249">
        <f t="shared" ref="P10:P14" si="34">((O10-N10)/N10)*100</f>
        <v>-20.137264319023348</v>
      </c>
      <c r="Q10" s="250"/>
      <c r="R10" s="250" t="s">
        <v>522</v>
      </c>
      <c r="S10" s="266">
        <v>70688</v>
      </c>
      <c r="T10" s="266">
        <v>64547</v>
      </c>
      <c r="U10" s="268">
        <f t="shared" ref="U10:U18" si="35">((T10-S10)/S10)*100</f>
        <v>-8.6874717066545948</v>
      </c>
      <c r="V10" s="266">
        <v>71294</v>
      </c>
      <c r="W10" s="266">
        <v>64547</v>
      </c>
      <c r="X10" s="249">
        <f t="shared" ref="X10:X14" si="36">((W10-V10)/V10)*100</f>
        <v>-9.4636294779364327</v>
      </c>
      <c r="Y10" s="250"/>
      <c r="Z10" s="250" t="s">
        <v>522</v>
      </c>
      <c r="AA10" s="266">
        <v>66454</v>
      </c>
      <c r="AB10" s="266">
        <v>71294</v>
      </c>
      <c r="AC10" s="268">
        <f t="shared" ref="AC10:AC18" si="37">((AB10-AA10)/AA10)*100</f>
        <v>7.2832335149125713</v>
      </c>
      <c r="AD10" s="266">
        <v>59235</v>
      </c>
      <c r="AE10" s="266">
        <v>71294</v>
      </c>
      <c r="AF10" s="249">
        <f t="shared" ref="AF10:AF14" si="38">((AE10-AD10)/AD10)*100</f>
        <v>20.357896513885372</v>
      </c>
      <c r="AG10" s="250"/>
      <c r="AH10" s="250" t="s">
        <v>522</v>
      </c>
      <c r="AI10" s="266">
        <v>55990</v>
      </c>
      <c r="AJ10" s="266">
        <v>59235</v>
      </c>
      <c r="AK10" s="268">
        <f t="shared" ref="AK10:AK18" si="39">((AJ10-AI10)/AI10)*100</f>
        <v>5.7956777996070725</v>
      </c>
      <c r="AL10" s="266">
        <v>56243</v>
      </c>
      <c r="AM10" s="266">
        <v>59235</v>
      </c>
      <c r="AN10" s="249">
        <f t="shared" ref="AN10:AN14" si="40">((AM10-AL10)/AL10)*100</f>
        <v>5.3197731273225113</v>
      </c>
      <c r="AO10" s="250"/>
      <c r="AP10" s="250" t="s">
        <v>522</v>
      </c>
      <c r="AQ10" s="266">
        <v>68831</v>
      </c>
      <c r="AR10" s="266">
        <v>56243</v>
      </c>
      <c r="AS10" s="268">
        <f t="shared" ref="AS10:AS18" si="41">((AR10-AQ10)/AQ10)*100</f>
        <v>-18.288271273118216</v>
      </c>
      <c r="AT10" s="266">
        <v>74240</v>
      </c>
      <c r="AU10" s="266">
        <v>56243</v>
      </c>
      <c r="AV10" s="249">
        <f t="shared" ref="AV10:AV14" si="42">((AU10-AT10)/AT10)*100</f>
        <v>-24.241648706896552</v>
      </c>
      <c r="AW10" s="250"/>
      <c r="AX10" s="250" t="s">
        <v>522</v>
      </c>
      <c r="AY10" s="266">
        <v>77235</v>
      </c>
      <c r="AZ10" s="266">
        <v>74240</v>
      </c>
      <c r="BA10" s="268">
        <f t="shared" ref="BA10:BA18" si="43">((AZ10-AY10)/AY10)*100</f>
        <v>-3.8777756198614615</v>
      </c>
      <c r="BB10" s="266">
        <v>67983</v>
      </c>
      <c r="BC10" s="266">
        <v>74240</v>
      </c>
      <c r="BD10" s="249">
        <f t="shared" si="8"/>
        <v>9.2037715311180737</v>
      </c>
      <c r="BE10" s="250"/>
      <c r="BF10" s="250" t="s">
        <v>522</v>
      </c>
      <c r="BG10" s="266">
        <v>79895</v>
      </c>
      <c r="BH10" s="266">
        <v>67983</v>
      </c>
      <c r="BI10" s="268">
        <f t="shared" si="26"/>
        <v>-14.909568809061893</v>
      </c>
      <c r="BJ10" s="266"/>
      <c r="BK10" s="266">
        <v>67983</v>
      </c>
      <c r="BL10" s="249"/>
      <c r="BN10" s="250"/>
      <c r="BO10" s="250" t="s">
        <v>436</v>
      </c>
      <c r="BP10" s="266">
        <v>117649</v>
      </c>
      <c r="BQ10" s="266">
        <v>107169</v>
      </c>
      <c r="BR10" s="268">
        <f t="shared" si="27"/>
        <v>-8.9078530204251631</v>
      </c>
      <c r="BS10" s="266"/>
      <c r="BT10" s="266">
        <v>107169</v>
      </c>
      <c r="BU10" s="249"/>
      <c r="BW10" s="250"/>
      <c r="BX10" s="250" t="s">
        <v>59</v>
      </c>
      <c r="BY10" s="266" t="e">
        <f>'พ.ย. '!CK10</f>
        <v>#REF!</v>
      </c>
      <c r="BZ10" s="266" t="e">
        <f>#REF!</f>
        <v>#REF!</v>
      </c>
      <c r="CA10" s="268" t="e">
        <f t="shared" si="28"/>
        <v>#REF!</v>
      </c>
      <c r="CB10" s="266" t="e">
        <f>#REF!</f>
        <v>#REF!</v>
      </c>
      <c r="CC10" s="266" t="e">
        <f t="shared" si="10"/>
        <v>#REF!</v>
      </c>
      <c r="CD10" s="249" t="e">
        <f t="shared" si="11"/>
        <v>#REF!</v>
      </c>
      <c r="CE10" s="249"/>
      <c r="CF10" s="250"/>
      <c r="CG10" s="250" t="s">
        <v>59</v>
      </c>
      <c r="CH10" s="266">
        <v>45455</v>
      </c>
      <c r="CI10" s="266">
        <v>44351</v>
      </c>
      <c r="CJ10" s="268">
        <f t="shared" si="29"/>
        <v>-2.4287757122428775</v>
      </c>
      <c r="CK10" s="266">
        <v>52384</v>
      </c>
      <c r="CL10" s="266">
        <v>44351</v>
      </c>
      <c r="CM10" s="249">
        <f t="shared" si="30"/>
        <v>-15.334835064141721</v>
      </c>
      <c r="CN10" s="73"/>
      <c r="CO10" s="232"/>
      <c r="CP10" s="232" t="s">
        <v>59</v>
      </c>
      <c r="CQ10" s="234">
        <v>57898</v>
      </c>
      <c r="CR10" s="234">
        <v>52484</v>
      </c>
      <c r="CS10" s="231">
        <f t="shared" si="15"/>
        <v>-9.3509274931776574</v>
      </c>
      <c r="CT10" s="234">
        <v>75702</v>
      </c>
      <c r="CU10" s="234">
        <v>52484</v>
      </c>
      <c r="CV10" s="231">
        <f t="shared" si="16"/>
        <v>-30.670259702517765</v>
      </c>
      <c r="CW10" s="73"/>
      <c r="CX10" s="202"/>
      <c r="CY10" s="202" t="s">
        <v>59</v>
      </c>
      <c r="CZ10" s="204">
        <v>85406</v>
      </c>
      <c r="DA10" s="204">
        <v>75702</v>
      </c>
      <c r="DB10" s="201">
        <f t="shared" si="17"/>
        <v>-11.362199377092946</v>
      </c>
      <c r="DC10" s="204">
        <v>66637</v>
      </c>
      <c r="DD10" s="204">
        <v>75702</v>
      </c>
      <c r="DE10" s="201">
        <f t="shared" si="18"/>
        <v>13.603553581343697</v>
      </c>
      <c r="DF10" s="73"/>
      <c r="DG10" s="103"/>
      <c r="DH10" s="103" t="s">
        <v>59</v>
      </c>
      <c r="DI10" s="105">
        <v>63063</v>
      </c>
      <c r="DJ10" s="105">
        <v>66637</v>
      </c>
      <c r="DK10" s="102">
        <f t="shared" si="19"/>
        <v>5.6673485244913815</v>
      </c>
      <c r="DL10" s="105">
        <v>82701</v>
      </c>
      <c r="DM10" s="105">
        <v>66637</v>
      </c>
      <c r="DN10" s="102">
        <f t="shared" si="20"/>
        <v>-19.424190759482958</v>
      </c>
      <c r="DO10" s="73"/>
      <c r="DP10" s="24"/>
      <c r="DQ10" s="24" t="s">
        <v>59</v>
      </c>
      <c r="DR10" s="50">
        <v>75078</v>
      </c>
      <c r="DS10" s="50">
        <v>82701</v>
      </c>
      <c r="DT10" s="128">
        <f t="shared" si="12"/>
        <v>10.153440421961161</v>
      </c>
      <c r="DU10" s="25">
        <v>69200</v>
      </c>
      <c r="DV10" s="50">
        <v>82701</v>
      </c>
      <c r="DW10" s="128">
        <f t="shared" si="21"/>
        <v>19.510115606936417</v>
      </c>
      <c r="DX10" s="130"/>
      <c r="DY10" s="103"/>
      <c r="DZ10" s="103" t="s">
        <v>58</v>
      </c>
      <c r="EA10" s="105">
        <v>61341</v>
      </c>
      <c r="EB10" s="105">
        <v>69200</v>
      </c>
      <c r="EC10" s="112">
        <f t="shared" si="22"/>
        <v>12.811985458339448</v>
      </c>
      <c r="ED10" s="105">
        <v>54846</v>
      </c>
      <c r="EE10" s="105">
        <v>69200</v>
      </c>
      <c r="EF10" s="112">
        <f t="shared" si="23"/>
        <v>26.171461911534116</v>
      </c>
      <c r="EG10" s="61"/>
      <c r="EH10" s="77"/>
      <c r="EI10" s="77" t="s">
        <v>58</v>
      </c>
      <c r="EJ10" s="80">
        <v>1486</v>
      </c>
      <c r="EK10" s="80">
        <v>778</v>
      </c>
      <c r="EL10" s="79">
        <f t="shared" si="24"/>
        <v>-47.644683714670258</v>
      </c>
      <c r="EM10" s="81">
        <v>993</v>
      </c>
      <c r="EN10" s="80">
        <v>778</v>
      </c>
      <c r="EO10" s="79">
        <f t="shared" si="25"/>
        <v>-21.651560926485399</v>
      </c>
      <c r="EP10" s="61"/>
      <c r="EQ10" s="42"/>
      <c r="ER10" s="42" t="s">
        <v>58</v>
      </c>
      <c r="ES10" s="43">
        <v>1320</v>
      </c>
      <c r="ET10" s="43">
        <v>993</v>
      </c>
      <c r="EU10" s="44">
        <f t="shared" si="13"/>
        <v>-24.772727272727273</v>
      </c>
      <c r="EV10" s="45">
        <v>1924</v>
      </c>
      <c r="EW10" s="43">
        <v>993</v>
      </c>
      <c r="EX10" s="44">
        <f t="shared" si="14"/>
        <v>-48.388773388773387</v>
      </c>
      <c r="EY10" s="61"/>
      <c r="EZ10" s="29"/>
      <c r="FA10" s="30">
        <v>18203</v>
      </c>
      <c r="FB10" s="30">
        <v>18233</v>
      </c>
      <c r="FC10" s="29" t="s">
        <v>3</v>
      </c>
      <c r="FD10" s="30">
        <v>17868</v>
      </c>
      <c r="FE10" s="30">
        <v>18233</v>
      </c>
      <c r="FF10" s="29" t="s">
        <v>3</v>
      </c>
      <c r="FH10" s="48"/>
      <c r="FI10" s="49">
        <v>17838</v>
      </c>
      <c r="FJ10" s="49">
        <v>17868</v>
      </c>
      <c r="FK10" s="48" t="s">
        <v>3</v>
      </c>
      <c r="FL10" s="49">
        <v>17502</v>
      </c>
      <c r="FM10" s="49">
        <v>17868</v>
      </c>
      <c r="FN10" s="48" t="s">
        <v>3</v>
      </c>
    </row>
    <row r="11" spans="1:170" x14ac:dyDescent="0.5">
      <c r="A11" s="250"/>
      <c r="B11" s="250" t="s">
        <v>523</v>
      </c>
      <c r="C11" s="234">
        <v>59677</v>
      </c>
      <c r="D11" s="381">
        <v>62974</v>
      </c>
      <c r="E11" s="268">
        <f t="shared" si="31"/>
        <v>5.5247415252107173</v>
      </c>
      <c r="F11" s="266">
        <v>50395</v>
      </c>
      <c r="G11" s="381">
        <v>62974</v>
      </c>
      <c r="H11" s="249">
        <f t="shared" si="32"/>
        <v>24.960809604127395</v>
      </c>
      <c r="I11" s="250"/>
      <c r="J11" s="250" t="s">
        <v>523</v>
      </c>
      <c r="K11" s="234">
        <v>51508</v>
      </c>
      <c r="L11" s="266">
        <v>46306</v>
      </c>
      <c r="M11" s="268">
        <f t="shared" si="33"/>
        <v>-10.099402034635396</v>
      </c>
      <c r="N11" s="266">
        <v>43621</v>
      </c>
      <c r="O11" s="266">
        <v>46306</v>
      </c>
      <c r="P11" s="249">
        <f t="shared" si="34"/>
        <v>6.1552921757868919</v>
      </c>
      <c r="Q11" s="250"/>
      <c r="R11" s="250" t="s">
        <v>523</v>
      </c>
      <c r="S11" s="266">
        <v>43477</v>
      </c>
      <c r="T11" s="266">
        <v>43621</v>
      </c>
      <c r="U11" s="268">
        <f t="shared" si="35"/>
        <v>0.33120960507854724</v>
      </c>
      <c r="V11" s="266">
        <v>38866</v>
      </c>
      <c r="W11" s="266">
        <v>43621</v>
      </c>
      <c r="X11" s="249">
        <f t="shared" si="36"/>
        <v>12.234343642258015</v>
      </c>
      <c r="Y11" s="250"/>
      <c r="Z11" s="250" t="s">
        <v>523</v>
      </c>
      <c r="AA11" s="266">
        <v>41063</v>
      </c>
      <c r="AB11" s="266">
        <v>38866</v>
      </c>
      <c r="AC11" s="268">
        <f t="shared" si="37"/>
        <v>-5.3503153690670437</v>
      </c>
      <c r="AD11" s="266">
        <v>34450</v>
      </c>
      <c r="AE11" s="266">
        <v>38866</v>
      </c>
      <c r="AF11" s="249">
        <f t="shared" si="38"/>
        <v>12.818577648766327</v>
      </c>
      <c r="AG11" s="250"/>
      <c r="AH11" s="250" t="s">
        <v>523</v>
      </c>
      <c r="AI11" s="266">
        <v>34216</v>
      </c>
      <c r="AJ11" s="266">
        <v>34450</v>
      </c>
      <c r="AK11" s="268">
        <f t="shared" si="39"/>
        <v>0.68389057750759874</v>
      </c>
      <c r="AL11" s="266">
        <v>29234</v>
      </c>
      <c r="AM11" s="266">
        <v>34450</v>
      </c>
      <c r="AN11" s="249">
        <f t="shared" si="40"/>
        <v>17.842238489430116</v>
      </c>
      <c r="AO11" s="250"/>
      <c r="AP11" s="250" t="s">
        <v>523</v>
      </c>
      <c r="AQ11" s="266">
        <v>36123</v>
      </c>
      <c r="AR11" s="266">
        <v>29234</v>
      </c>
      <c r="AS11" s="268">
        <f t="shared" si="41"/>
        <v>-19.070952025025605</v>
      </c>
      <c r="AT11" s="266">
        <v>35097</v>
      </c>
      <c r="AU11" s="266">
        <v>29234</v>
      </c>
      <c r="AV11" s="249">
        <f t="shared" si="42"/>
        <v>-16.705131492720177</v>
      </c>
      <c r="AW11" s="250"/>
      <c r="AX11" s="250" t="s">
        <v>523</v>
      </c>
      <c r="AY11" s="266">
        <v>38102</v>
      </c>
      <c r="AZ11" s="266">
        <v>35097</v>
      </c>
      <c r="BA11" s="268">
        <f t="shared" si="43"/>
        <v>-7.8867251062936319</v>
      </c>
      <c r="BB11" s="266">
        <v>39714</v>
      </c>
      <c r="BC11" s="266">
        <v>35097</v>
      </c>
      <c r="BD11" s="249">
        <f t="shared" si="8"/>
        <v>-11.625623205922345</v>
      </c>
      <c r="BE11" s="250"/>
      <c r="BF11" s="250" t="s">
        <v>523</v>
      </c>
      <c r="BG11" s="266">
        <v>44466</v>
      </c>
      <c r="BH11" s="266">
        <v>39714</v>
      </c>
      <c r="BI11" s="268">
        <f t="shared" si="26"/>
        <v>-10.686816893806505</v>
      </c>
      <c r="BJ11" s="266"/>
      <c r="BK11" s="266">
        <v>39714</v>
      </c>
      <c r="BL11" s="249"/>
      <c r="BN11" s="250"/>
      <c r="BO11" s="250" t="s">
        <v>437</v>
      </c>
      <c r="BP11" s="266">
        <v>13144</v>
      </c>
      <c r="BQ11" s="266">
        <v>11591</v>
      </c>
      <c r="BR11" s="268">
        <f t="shared" si="27"/>
        <v>-11.815276932440657</v>
      </c>
      <c r="BS11" s="266"/>
      <c r="BT11" s="266">
        <v>11591</v>
      </c>
      <c r="BU11" s="249"/>
      <c r="BW11" s="250"/>
      <c r="BX11" s="250" t="s">
        <v>58</v>
      </c>
      <c r="BY11" s="266" t="e">
        <f>'พ.ย. '!CK12</f>
        <v>#REF!</v>
      </c>
      <c r="BZ11" s="266" t="e">
        <f>#REF!</f>
        <v>#REF!</v>
      </c>
      <c r="CA11" s="268" t="e">
        <f t="shared" si="28"/>
        <v>#REF!</v>
      </c>
      <c r="CB11" s="266" t="e">
        <f>#REF!</f>
        <v>#REF!</v>
      </c>
      <c r="CC11" s="266" t="e">
        <f t="shared" si="10"/>
        <v>#REF!</v>
      </c>
      <c r="CD11" s="249" t="e">
        <f t="shared" si="11"/>
        <v>#REF!</v>
      </c>
      <c r="CE11" s="249"/>
      <c r="CF11" s="250"/>
      <c r="CG11" s="250" t="s">
        <v>58</v>
      </c>
      <c r="CH11" s="266">
        <v>13823</v>
      </c>
      <c r="CI11" s="266">
        <v>14592</v>
      </c>
      <c r="CJ11" s="268">
        <f t="shared" si="29"/>
        <v>5.5631917818129208</v>
      </c>
      <c r="CK11" s="266">
        <v>11441</v>
      </c>
      <c r="CL11" s="266">
        <v>14592</v>
      </c>
      <c r="CM11" s="249">
        <f t="shared" si="30"/>
        <v>27.541298837514205</v>
      </c>
      <c r="CN11" s="73"/>
      <c r="CO11" s="232"/>
      <c r="CP11" s="232" t="s">
        <v>58</v>
      </c>
      <c r="CQ11" s="234">
        <v>12724</v>
      </c>
      <c r="CR11" s="234">
        <v>11441</v>
      </c>
      <c r="CS11" s="231">
        <f t="shared" si="15"/>
        <v>-10.083307136120718</v>
      </c>
      <c r="CT11" s="234">
        <v>6168</v>
      </c>
      <c r="CU11" s="234">
        <v>11441</v>
      </c>
      <c r="CV11" s="231">
        <f t="shared" si="16"/>
        <v>85.489623865110246</v>
      </c>
      <c r="CW11" s="73"/>
      <c r="CX11" s="202"/>
      <c r="CY11" s="202" t="s">
        <v>58</v>
      </c>
      <c r="CZ11" s="204">
        <v>7205</v>
      </c>
      <c r="DA11" s="204">
        <v>6168</v>
      </c>
      <c r="DB11" s="201">
        <f t="shared" si="17"/>
        <v>-14.392782789729356</v>
      </c>
      <c r="DC11" s="204">
        <v>5083</v>
      </c>
      <c r="DD11" s="204">
        <v>6168</v>
      </c>
      <c r="DE11" s="201">
        <f t="shared" si="18"/>
        <v>21.345662010623649</v>
      </c>
      <c r="DF11" s="73"/>
      <c r="DG11" s="103"/>
      <c r="DH11" s="103" t="s">
        <v>58</v>
      </c>
      <c r="DI11" s="105">
        <v>7266</v>
      </c>
      <c r="DJ11" s="105">
        <v>5083</v>
      </c>
      <c r="DK11" s="102">
        <f t="shared" si="19"/>
        <v>-30.044040737682355</v>
      </c>
      <c r="DL11" s="105">
        <v>3992</v>
      </c>
      <c r="DM11" s="105">
        <v>5083</v>
      </c>
      <c r="DN11" s="102">
        <f t="shared" si="20"/>
        <v>27.329659318637272</v>
      </c>
      <c r="DO11" s="73"/>
      <c r="DP11" s="24"/>
      <c r="DQ11" s="24" t="s">
        <v>58</v>
      </c>
      <c r="DR11" s="50">
        <v>2375</v>
      </c>
      <c r="DS11" s="50">
        <v>3992</v>
      </c>
      <c r="DT11" s="128">
        <f t="shared" si="12"/>
        <v>68.084210526315786</v>
      </c>
      <c r="DU11" s="25">
        <v>6434</v>
      </c>
      <c r="DV11" s="50">
        <v>3992</v>
      </c>
      <c r="DW11" s="128">
        <f t="shared" si="21"/>
        <v>-37.954616101958344</v>
      </c>
      <c r="DX11" s="130"/>
      <c r="DY11" s="103"/>
      <c r="DZ11" s="103" t="s">
        <v>59</v>
      </c>
      <c r="EA11" s="105">
        <v>5683</v>
      </c>
      <c r="EB11" s="105">
        <v>6434</v>
      </c>
      <c r="EC11" s="112">
        <f t="shared" si="22"/>
        <v>13.214851310927328</v>
      </c>
      <c r="ED11" s="105">
        <v>4754</v>
      </c>
      <c r="EE11" s="105">
        <v>6434</v>
      </c>
      <c r="EF11" s="112">
        <f t="shared" si="23"/>
        <v>35.338662179217501</v>
      </c>
      <c r="EG11" s="61"/>
      <c r="EH11" s="77"/>
      <c r="EI11" s="77" t="s">
        <v>59</v>
      </c>
      <c r="EJ11" s="80">
        <v>57166</v>
      </c>
      <c r="EK11" s="80">
        <v>55077</v>
      </c>
      <c r="EL11" s="79">
        <f t="shared" si="24"/>
        <v>-3.6542700206416403</v>
      </c>
      <c r="EM11" s="81">
        <v>49115</v>
      </c>
      <c r="EN11" s="80">
        <v>55077</v>
      </c>
      <c r="EO11" s="79">
        <f t="shared" si="25"/>
        <v>12.13885778275476</v>
      </c>
      <c r="EP11" s="61"/>
      <c r="EQ11" s="42"/>
      <c r="ER11" s="42" t="s">
        <v>59</v>
      </c>
      <c r="ES11" s="43">
        <v>60835</v>
      </c>
      <c r="ET11" s="43">
        <v>49115</v>
      </c>
      <c r="EU11" s="44">
        <f t="shared" si="13"/>
        <v>-19.265225610257254</v>
      </c>
      <c r="EV11" s="45">
        <v>76056</v>
      </c>
      <c r="EW11" s="43">
        <v>49115</v>
      </c>
      <c r="EX11" s="44">
        <f t="shared" si="14"/>
        <v>-35.422583359629748</v>
      </c>
      <c r="EY11" s="61"/>
      <c r="EZ11" s="20" t="s">
        <v>0</v>
      </c>
      <c r="FA11" s="21">
        <v>101117</v>
      </c>
      <c r="FB11" s="51">
        <v>91751</v>
      </c>
      <c r="FC11" s="31">
        <f>((FB11-FA11)/FA11)*100</f>
        <v>-9.2625374566096692</v>
      </c>
      <c r="FD11" s="35">
        <v>99019</v>
      </c>
      <c r="FE11" s="21">
        <v>91751</v>
      </c>
      <c r="FF11" s="31">
        <f>((FE11-FD11)/FD11)*100</f>
        <v>-7.3400054534988239</v>
      </c>
      <c r="FH11" s="42" t="s">
        <v>0</v>
      </c>
      <c r="FI11" s="45">
        <v>108176</v>
      </c>
      <c r="FJ11" s="45">
        <v>99019</v>
      </c>
      <c r="FK11" s="44">
        <f>(FJ11-FI11)/FI11*100</f>
        <v>-8.464909037124686</v>
      </c>
      <c r="FL11" s="45">
        <v>87504</v>
      </c>
      <c r="FM11" s="45">
        <v>99019</v>
      </c>
      <c r="FN11" s="44">
        <f>(FM11-FL11)/FL11*100</f>
        <v>13.159398427500458</v>
      </c>
    </row>
    <row r="12" spans="1:170" x14ac:dyDescent="0.5">
      <c r="A12" s="250"/>
      <c r="B12" s="250" t="s">
        <v>524</v>
      </c>
      <c r="C12" s="234">
        <v>21942</v>
      </c>
      <c r="D12" s="381">
        <v>22406</v>
      </c>
      <c r="E12" s="268">
        <f t="shared" si="31"/>
        <v>2.1146659374715155</v>
      </c>
      <c r="F12" s="266">
        <v>23024</v>
      </c>
      <c r="G12" s="381">
        <v>22406</v>
      </c>
      <c r="H12" s="249">
        <f t="shared" si="32"/>
        <v>-2.6841556636553165</v>
      </c>
      <c r="I12" s="250"/>
      <c r="J12" s="250" t="s">
        <v>524</v>
      </c>
      <c r="K12" s="234">
        <v>29754</v>
      </c>
      <c r="L12" s="266">
        <v>26376</v>
      </c>
      <c r="M12" s="268">
        <f t="shared" si="33"/>
        <v>-11.353095382133494</v>
      </c>
      <c r="N12" s="266">
        <v>29823</v>
      </c>
      <c r="O12" s="266">
        <v>26376</v>
      </c>
      <c r="P12" s="249">
        <f t="shared" si="34"/>
        <v>-11.55819334071019</v>
      </c>
      <c r="Q12" s="250"/>
      <c r="R12" s="250" t="s">
        <v>524</v>
      </c>
      <c r="S12" s="266">
        <v>29652</v>
      </c>
      <c r="T12" s="266">
        <v>29823</v>
      </c>
      <c r="U12" s="268">
        <f t="shared" si="35"/>
        <v>0.57668959935248887</v>
      </c>
      <c r="V12" s="266">
        <v>28669</v>
      </c>
      <c r="W12" s="266">
        <v>29823</v>
      </c>
      <c r="X12" s="249">
        <f t="shared" si="36"/>
        <v>4.0252537584150128</v>
      </c>
      <c r="Y12" s="250"/>
      <c r="Z12" s="250" t="s">
        <v>524</v>
      </c>
      <c r="AA12" s="266">
        <v>28920</v>
      </c>
      <c r="AB12" s="266">
        <v>28669</v>
      </c>
      <c r="AC12" s="268">
        <f t="shared" si="37"/>
        <v>-0.86791147994467499</v>
      </c>
      <c r="AD12" s="266">
        <v>24427</v>
      </c>
      <c r="AE12" s="266">
        <v>28669</v>
      </c>
      <c r="AF12" s="249">
        <f t="shared" si="38"/>
        <v>17.366029393703688</v>
      </c>
      <c r="AG12" s="250"/>
      <c r="AH12" s="250" t="s">
        <v>524</v>
      </c>
      <c r="AI12" s="266">
        <v>24638</v>
      </c>
      <c r="AJ12" s="266">
        <v>24427</v>
      </c>
      <c r="AK12" s="268">
        <f t="shared" si="39"/>
        <v>-0.85640068187352869</v>
      </c>
      <c r="AL12" s="266">
        <v>23251</v>
      </c>
      <c r="AM12" s="266">
        <v>24427</v>
      </c>
      <c r="AN12" s="249">
        <f t="shared" si="40"/>
        <v>5.0578469743236845</v>
      </c>
      <c r="AO12" s="250"/>
      <c r="AP12" s="250" t="s">
        <v>524</v>
      </c>
      <c r="AQ12" s="266">
        <v>24928</v>
      </c>
      <c r="AR12" s="266">
        <v>23251</v>
      </c>
      <c r="AS12" s="268">
        <f t="shared" si="41"/>
        <v>-6.7273748395378696</v>
      </c>
      <c r="AT12" s="266">
        <v>23337</v>
      </c>
      <c r="AU12" s="266">
        <v>23251</v>
      </c>
      <c r="AV12" s="249">
        <f t="shared" si="42"/>
        <v>-0.36851351930410936</v>
      </c>
      <c r="AW12" s="250"/>
      <c r="AX12" s="250" t="s">
        <v>524</v>
      </c>
      <c r="AY12" s="266">
        <v>25136</v>
      </c>
      <c r="AZ12" s="266">
        <v>23337</v>
      </c>
      <c r="BA12" s="268">
        <f t="shared" si="43"/>
        <v>-7.157065563335455</v>
      </c>
      <c r="BB12" s="266">
        <v>19992</v>
      </c>
      <c r="BC12" s="266">
        <v>23337</v>
      </c>
      <c r="BD12" s="249">
        <f t="shared" si="8"/>
        <v>16.731692677070829</v>
      </c>
      <c r="BE12" s="250"/>
      <c r="BF12" s="250" t="s">
        <v>524</v>
      </c>
      <c r="BG12" s="266">
        <v>24240</v>
      </c>
      <c r="BH12" s="266">
        <v>19992</v>
      </c>
      <c r="BI12" s="268">
        <f t="shared" si="26"/>
        <v>-17.524752475247524</v>
      </c>
      <c r="BJ12" s="266"/>
      <c r="BK12" s="266">
        <v>19992</v>
      </c>
      <c r="BL12" s="249"/>
      <c r="BN12" s="250"/>
      <c r="BO12" s="250" t="s">
        <v>438</v>
      </c>
      <c r="BP12" s="266">
        <v>6490</v>
      </c>
      <c r="BQ12" s="266">
        <v>5898</v>
      </c>
      <c r="BR12" s="268">
        <f t="shared" si="27"/>
        <v>-9.1217257318952232</v>
      </c>
      <c r="BS12" s="266"/>
      <c r="BT12" s="266">
        <v>5898</v>
      </c>
      <c r="BU12" s="249"/>
      <c r="BW12" s="250"/>
      <c r="BX12" s="250"/>
      <c r="BY12" s="266"/>
      <c r="BZ12" s="266"/>
      <c r="CA12" s="268"/>
      <c r="CB12" s="266"/>
      <c r="CC12" s="266"/>
      <c r="CD12" s="249"/>
      <c r="CE12" s="249"/>
      <c r="CF12" s="250"/>
      <c r="CG12" s="250"/>
      <c r="CH12" s="266"/>
      <c r="CI12" s="266"/>
      <c r="CJ12" s="268"/>
      <c r="CK12" s="266"/>
      <c r="CL12" s="266"/>
      <c r="CM12" s="249"/>
      <c r="CN12" s="73"/>
      <c r="CO12" s="232"/>
      <c r="CP12" s="232"/>
      <c r="CQ12" s="234"/>
      <c r="CR12" s="234"/>
      <c r="CS12" s="231"/>
      <c r="CT12" s="234"/>
      <c r="CU12" s="234"/>
      <c r="CV12" s="231"/>
      <c r="CW12" s="73"/>
      <c r="CX12" s="202"/>
      <c r="CY12" s="202"/>
      <c r="CZ12" s="204"/>
      <c r="DA12" s="204"/>
      <c r="DB12" s="201"/>
      <c r="DC12" s="204"/>
      <c r="DD12" s="204"/>
      <c r="DE12" s="201"/>
      <c r="DF12" s="73"/>
      <c r="DG12" s="103"/>
      <c r="DH12" s="103"/>
      <c r="DI12" s="105"/>
      <c r="DJ12" s="105"/>
      <c r="DK12" s="102"/>
      <c r="DL12" s="105"/>
      <c r="DM12" s="105"/>
      <c r="DN12" s="102"/>
      <c r="DO12" s="73"/>
      <c r="DP12" s="24"/>
      <c r="DQ12" s="24"/>
      <c r="DR12" s="50"/>
      <c r="DS12" s="50"/>
      <c r="DT12" s="128"/>
      <c r="DU12" s="25"/>
      <c r="DV12" s="50"/>
      <c r="DW12" s="128"/>
      <c r="DX12" s="130"/>
      <c r="DY12" s="103"/>
      <c r="DZ12" s="103"/>
      <c r="EA12" s="105"/>
      <c r="EB12" s="105"/>
      <c r="EC12" s="112"/>
      <c r="ED12" s="105"/>
      <c r="EE12" s="105"/>
      <c r="EF12" s="112"/>
      <c r="EG12" s="61"/>
      <c r="EH12" s="77"/>
      <c r="EI12" s="77"/>
      <c r="EJ12" s="80"/>
      <c r="EK12" s="80"/>
      <c r="EL12" s="79"/>
      <c r="EM12" s="81"/>
      <c r="EN12" s="80"/>
      <c r="EO12" s="79"/>
      <c r="EP12" s="61"/>
      <c r="EQ12" s="42"/>
      <c r="ER12" s="42"/>
      <c r="ES12" s="43"/>
      <c r="ET12" s="43"/>
      <c r="EU12" s="44"/>
      <c r="EV12" s="45"/>
      <c r="EW12" s="43"/>
      <c r="EX12" s="44"/>
      <c r="EY12" s="61"/>
      <c r="EZ12" s="20"/>
      <c r="FA12" s="21"/>
      <c r="FB12" s="51"/>
      <c r="FC12" s="31"/>
      <c r="FD12" s="35"/>
      <c r="FE12" s="21"/>
      <c r="FF12" s="31"/>
      <c r="FH12" s="42"/>
      <c r="FI12" s="45"/>
      <c r="FJ12" s="45"/>
      <c r="FK12" s="44"/>
      <c r="FL12" s="45"/>
      <c r="FM12" s="45"/>
      <c r="FN12" s="44"/>
    </row>
    <row r="13" spans="1:170" x14ac:dyDescent="0.5">
      <c r="A13" s="250"/>
      <c r="B13" s="250" t="s">
        <v>525</v>
      </c>
      <c r="C13" s="234">
        <v>5794</v>
      </c>
      <c r="D13" s="381">
        <v>7419</v>
      </c>
      <c r="E13" s="268">
        <f t="shared" si="31"/>
        <v>28.046254746289268</v>
      </c>
      <c r="F13" s="266">
        <v>6886</v>
      </c>
      <c r="G13" s="381">
        <v>7419</v>
      </c>
      <c r="H13" s="249">
        <f t="shared" si="32"/>
        <v>7.7403427243682836</v>
      </c>
      <c r="I13" s="250"/>
      <c r="J13" s="250" t="s">
        <v>525</v>
      </c>
      <c r="K13" s="234">
        <v>7499</v>
      </c>
      <c r="L13" s="266">
        <v>7035</v>
      </c>
      <c r="M13" s="268">
        <f t="shared" si="33"/>
        <v>-6.1874916655554069</v>
      </c>
      <c r="N13" s="266">
        <v>5205</v>
      </c>
      <c r="O13" s="266">
        <v>7035</v>
      </c>
      <c r="P13" s="249">
        <f t="shared" si="34"/>
        <v>35.158501440922194</v>
      </c>
      <c r="Q13" s="250"/>
      <c r="R13" s="250" t="s">
        <v>525</v>
      </c>
      <c r="S13" s="266">
        <v>5809</v>
      </c>
      <c r="T13" s="266">
        <v>5205</v>
      </c>
      <c r="U13" s="268">
        <f t="shared" si="35"/>
        <v>-10.397658805302118</v>
      </c>
      <c r="V13" s="266">
        <v>5296</v>
      </c>
      <c r="W13" s="266">
        <v>5205</v>
      </c>
      <c r="X13" s="249">
        <f t="shared" si="36"/>
        <v>-1.7182779456193353</v>
      </c>
      <c r="Y13" s="250"/>
      <c r="Z13" s="250" t="s">
        <v>525</v>
      </c>
      <c r="AA13" s="266">
        <v>6886</v>
      </c>
      <c r="AB13" s="266">
        <v>5296</v>
      </c>
      <c r="AC13" s="268">
        <f t="shared" si="37"/>
        <v>-23.090328202149287</v>
      </c>
      <c r="AD13" s="266">
        <v>4250</v>
      </c>
      <c r="AE13" s="266">
        <v>5296</v>
      </c>
      <c r="AF13" s="249">
        <f t="shared" si="38"/>
        <v>24.611764705882351</v>
      </c>
      <c r="AG13" s="250"/>
      <c r="AH13" s="250" t="s">
        <v>525</v>
      </c>
      <c r="AI13" s="266">
        <v>3748</v>
      </c>
      <c r="AJ13" s="266">
        <v>4250</v>
      </c>
      <c r="AK13" s="268">
        <f t="shared" si="39"/>
        <v>13.393810032017075</v>
      </c>
      <c r="AL13" s="266">
        <v>3054</v>
      </c>
      <c r="AM13" s="266">
        <v>4250</v>
      </c>
      <c r="AN13" s="249">
        <f t="shared" si="40"/>
        <v>39.161755075311063</v>
      </c>
      <c r="AO13" s="250"/>
      <c r="AP13" s="250" t="s">
        <v>525</v>
      </c>
      <c r="AQ13" s="266">
        <v>3690</v>
      </c>
      <c r="AR13" s="266">
        <v>3054</v>
      </c>
      <c r="AS13" s="268">
        <f t="shared" si="41"/>
        <v>-17.235772357723576</v>
      </c>
      <c r="AT13" s="266">
        <v>2737</v>
      </c>
      <c r="AU13" s="266">
        <v>3054</v>
      </c>
      <c r="AV13" s="249">
        <f t="shared" si="42"/>
        <v>11.582024113993423</v>
      </c>
      <c r="AW13" s="250"/>
      <c r="AX13" s="250" t="s">
        <v>525</v>
      </c>
      <c r="AY13" s="266">
        <v>2924</v>
      </c>
      <c r="AZ13" s="266">
        <v>2737</v>
      </c>
      <c r="BA13" s="268">
        <f t="shared" si="43"/>
        <v>-6.395348837209303</v>
      </c>
      <c r="BB13" s="266">
        <v>1949</v>
      </c>
      <c r="BC13" s="266">
        <v>2737</v>
      </c>
      <c r="BD13" s="249">
        <f t="shared" si="8"/>
        <v>40.430990251410982</v>
      </c>
      <c r="BE13" s="250"/>
      <c r="BF13" s="250" t="s">
        <v>525</v>
      </c>
      <c r="BG13" s="266">
        <v>2201</v>
      </c>
      <c r="BH13" s="266">
        <v>1949</v>
      </c>
      <c r="BI13" s="268">
        <f t="shared" si="26"/>
        <v>-11.449341208541572</v>
      </c>
      <c r="BJ13" s="266"/>
      <c r="BK13" s="266">
        <v>1949</v>
      </c>
      <c r="BL13" s="249"/>
      <c r="BN13" s="250"/>
      <c r="BO13" s="250"/>
      <c r="BP13" s="266"/>
      <c r="BQ13" s="266"/>
      <c r="BR13" s="268"/>
      <c r="BS13" s="266"/>
      <c r="BT13" s="266"/>
      <c r="BU13" s="249"/>
      <c r="BW13" s="250"/>
      <c r="BX13" s="250"/>
      <c r="BY13" s="266"/>
      <c r="BZ13" s="266"/>
      <c r="CA13" s="268"/>
      <c r="CB13" s="266"/>
      <c r="CC13" s="266"/>
      <c r="CD13" s="249"/>
      <c r="CE13" s="249"/>
      <c r="CF13" s="250"/>
      <c r="CG13" s="250"/>
      <c r="CH13" s="266"/>
      <c r="CI13" s="266"/>
      <c r="CJ13" s="268"/>
      <c r="CK13" s="266"/>
      <c r="CL13" s="266"/>
      <c r="CM13" s="249"/>
      <c r="CN13" s="73"/>
      <c r="CO13" s="232"/>
      <c r="CP13" s="232"/>
      <c r="CQ13" s="234"/>
      <c r="CR13" s="234"/>
      <c r="CS13" s="231"/>
      <c r="CT13" s="234"/>
      <c r="CU13" s="234"/>
      <c r="CV13" s="231"/>
      <c r="CW13" s="73"/>
      <c r="CX13" s="202"/>
      <c r="CY13" s="202"/>
      <c r="CZ13" s="204"/>
      <c r="DA13" s="204"/>
      <c r="DB13" s="201"/>
      <c r="DC13" s="204"/>
      <c r="DD13" s="204"/>
      <c r="DE13" s="201"/>
      <c r="DF13" s="73"/>
      <c r="DG13" s="103"/>
      <c r="DH13" s="103"/>
      <c r="DI13" s="105"/>
      <c r="DJ13" s="105"/>
      <c r="DK13" s="102"/>
      <c r="DL13" s="105"/>
      <c r="DM13" s="105"/>
      <c r="DN13" s="102"/>
      <c r="DO13" s="73"/>
      <c r="DP13" s="24"/>
      <c r="DQ13" s="24"/>
      <c r="DR13" s="50"/>
      <c r="DS13" s="50"/>
      <c r="DT13" s="128"/>
      <c r="DU13" s="25"/>
      <c r="DV13" s="50"/>
      <c r="DW13" s="128"/>
      <c r="DX13" s="130"/>
      <c r="DY13" s="103"/>
      <c r="DZ13" s="103"/>
      <c r="EA13" s="105"/>
      <c r="EB13" s="105"/>
      <c r="EC13" s="112"/>
      <c r="ED13" s="105"/>
      <c r="EE13" s="105"/>
      <c r="EF13" s="112"/>
      <c r="EG13" s="61"/>
      <c r="EH13" s="77"/>
      <c r="EI13" s="77"/>
      <c r="EJ13" s="80"/>
      <c r="EK13" s="80"/>
      <c r="EL13" s="79"/>
      <c r="EM13" s="81"/>
      <c r="EN13" s="80"/>
      <c r="EO13" s="79"/>
      <c r="EP13" s="61"/>
      <c r="EQ13" s="42"/>
      <c r="ER13" s="42"/>
      <c r="ES13" s="43"/>
      <c r="ET13" s="43"/>
      <c r="EU13" s="44"/>
      <c r="EV13" s="45"/>
      <c r="EW13" s="43"/>
      <c r="EX13" s="44"/>
      <c r="EY13" s="61"/>
      <c r="EZ13" s="20"/>
      <c r="FA13" s="21"/>
      <c r="FB13" s="51"/>
      <c r="FC13" s="31"/>
      <c r="FD13" s="35"/>
      <c r="FE13" s="21"/>
      <c r="FF13" s="31"/>
      <c r="FH13" s="42"/>
      <c r="FI13" s="45"/>
      <c r="FJ13" s="45"/>
      <c r="FK13" s="44"/>
      <c r="FL13" s="45"/>
      <c r="FM13" s="45"/>
      <c r="FN13" s="44"/>
    </row>
    <row r="14" spans="1:170" x14ac:dyDescent="0.5">
      <c r="A14" s="250"/>
      <c r="B14" s="250" t="s">
        <v>526</v>
      </c>
      <c r="C14" s="234">
        <v>803</v>
      </c>
      <c r="D14" s="381">
        <v>779</v>
      </c>
      <c r="E14" s="268">
        <f t="shared" si="31"/>
        <v>-2.9887920298879203</v>
      </c>
      <c r="F14" s="266">
        <v>825</v>
      </c>
      <c r="G14" s="381">
        <v>779</v>
      </c>
      <c r="H14" s="249">
        <f t="shared" si="32"/>
        <v>-5.5757575757575752</v>
      </c>
      <c r="I14" s="250"/>
      <c r="J14" s="250" t="s">
        <v>526</v>
      </c>
      <c r="K14" s="234">
        <v>1069</v>
      </c>
      <c r="L14" s="266">
        <v>1111</v>
      </c>
      <c r="M14" s="268">
        <f t="shared" si="33"/>
        <v>3.9289055191768005</v>
      </c>
      <c r="N14" s="266">
        <v>1249</v>
      </c>
      <c r="O14" s="266">
        <v>1111</v>
      </c>
      <c r="P14" s="249">
        <f t="shared" si="34"/>
        <v>-11.048839071257005</v>
      </c>
      <c r="Q14" s="250"/>
      <c r="R14" s="250" t="s">
        <v>526</v>
      </c>
      <c r="S14" s="266">
        <v>1354</v>
      </c>
      <c r="T14" s="266">
        <v>1249</v>
      </c>
      <c r="U14" s="268">
        <f t="shared" si="35"/>
        <v>-7.7548005908419499</v>
      </c>
      <c r="V14" s="266">
        <v>1218</v>
      </c>
      <c r="W14" s="266">
        <v>1249</v>
      </c>
      <c r="X14" s="249">
        <f t="shared" si="36"/>
        <v>2.5451559934318557</v>
      </c>
      <c r="Y14" s="250"/>
      <c r="Z14" s="250" t="s">
        <v>526</v>
      </c>
      <c r="AA14" s="266">
        <v>1325</v>
      </c>
      <c r="AB14" s="266">
        <v>1218</v>
      </c>
      <c r="AC14" s="268">
        <f t="shared" si="37"/>
        <v>-8.0754716981132066</v>
      </c>
      <c r="AD14" s="266">
        <v>1482</v>
      </c>
      <c r="AE14" s="266">
        <v>1218</v>
      </c>
      <c r="AF14" s="249">
        <f t="shared" si="38"/>
        <v>-17.813765182186234</v>
      </c>
      <c r="AG14" s="250"/>
      <c r="AH14" s="250" t="s">
        <v>526</v>
      </c>
      <c r="AI14" s="266">
        <v>1470</v>
      </c>
      <c r="AJ14" s="266">
        <v>1482</v>
      </c>
      <c r="AK14" s="268">
        <f t="shared" si="39"/>
        <v>0.81632653061224492</v>
      </c>
      <c r="AL14" s="266">
        <v>1833</v>
      </c>
      <c r="AM14" s="266">
        <v>1482</v>
      </c>
      <c r="AN14" s="249">
        <f t="shared" si="40"/>
        <v>-19.148936170212767</v>
      </c>
      <c r="AO14" s="250"/>
      <c r="AP14" s="250" t="s">
        <v>526</v>
      </c>
      <c r="AQ14" s="266">
        <v>1886</v>
      </c>
      <c r="AR14" s="266">
        <v>1833</v>
      </c>
      <c r="AS14" s="268">
        <f t="shared" si="41"/>
        <v>-2.8101802757158003</v>
      </c>
      <c r="AT14" s="266">
        <v>1889</v>
      </c>
      <c r="AU14" s="266">
        <v>1833</v>
      </c>
      <c r="AV14" s="249">
        <f t="shared" si="42"/>
        <v>-2.9645314981471675</v>
      </c>
      <c r="AW14" s="250"/>
      <c r="AX14" s="250" t="s">
        <v>526</v>
      </c>
      <c r="AY14" s="266">
        <v>2236</v>
      </c>
      <c r="AZ14" s="266">
        <v>1889</v>
      </c>
      <c r="BA14" s="268">
        <f t="shared" si="43"/>
        <v>-15.518783542039355</v>
      </c>
      <c r="BB14" s="266">
        <v>1885</v>
      </c>
      <c r="BC14" s="266">
        <v>1889</v>
      </c>
      <c r="BD14" s="249">
        <f t="shared" si="8"/>
        <v>0.21220159151193632</v>
      </c>
      <c r="BE14" s="250"/>
      <c r="BF14" s="250" t="s">
        <v>526</v>
      </c>
      <c r="BG14" s="266">
        <v>2255</v>
      </c>
      <c r="BH14" s="266">
        <v>1885</v>
      </c>
      <c r="BI14" s="268">
        <f t="shared" si="26"/>
        <v>-16.4079822616408</v>
      </c>
      <c r="BJ14" s="266"/>
      <c r="BK14" s="266">
        <v>1885</v>
      </c>
      <c r="BL14" s="249"/>
      <c r="BN14" s="250"/>
      <c r="BO14" s="250"/>
      <c r="BP14" s="266"/>
      <c r="BQ14" s="266"/>
      <c r="BR14" s="268"/>
      <c r="BS14" s="266"/>
      <c r="BT14" s="266"/>
      <c r="BU14" s="249"/>
      <c r="BW14" s="250"/>
      <c r="BX14" s="250"/>
      <c r="BY14" s="266"/>
      <c r="BZ14" s="266"/>
      <c r="CA14" s="268"/>
      <c r="CB14" s="266"/>
      <c r="CC14" s="266"/>
      <c r="CD14" s="249"/>
      <c r="CE14" s="249"/>
      <c r="CF14" s="250"/>
      <c r="CG14" s="250"/>
      <c r="CH14" s="266"/>
      <c r="CI14" s="266"/>
      <c r="CJ14" s="268"/>
      <c r="CK14" s="266"/>
      <c r="CL14" s="266"/>
      <c r="CM14" s="249"/>
      <c r="CN14" s="73"/>
      <c r="CO14" s="232"/>
      <c r="CP14" s="232"/>
      <c r="CQ14" s="234"/>
      <c r="CR14" s="234"/>
      <c r="CS14" s="231"/>
      <c r="CT14" s="234"/>
      <c r="CU14" s="234"/>
      <c r="CV14" s="231"/>
      <c r="CW14" s="73"/>
      <c r="CX14" s="202"/>
      <c r="CY14" s="202"/>
      <c r="CZ14" s="204"/>
      <c r="DA14" s="204"/>
      <c r="DB14" s="201"/>
      <c r="DC14" s="204"/>
      <c r="DD14" s="204"/>
      <c r="DE14" s="201"/>
      <c r="DF14" s="73"/>
      <c r="DG14" s="103"/>
      <c r="DH14" s="103"/>
      <c r="DI14" s="105"/>
      <c r="DJ14" s="105"/>
      <c r="DK14" s="102"/>
      <c r="DL14" s="105"/>
      <c r="DM14" s="105"/>
      <c r="DN14" s="102"/>
      <c r="DO14" s="73"/>
      <c r="DP14" s="24"/>
      <c r="DQ14" s="24"/>
      <c r="DR14" s="50"/>
      <c r="DS14" s="50"/>
      <c r="DT14" s="128"/>
      <c r="DU14" s="25"/>
      <c r="DV14" s="50"/>
      <c r="DW14" s="128"/>
      <c r="DX14" s="130"/>
      <c r="DY14" s="103"/>
      <c r="DZ14" s="103"/>
      <c r="EA14" s="105"/>
      <c r="EB14" s="105"/>
      <c r="EC14" s="112"/>
      <c r="ED14" s="105"/>
      <c r="EE14" s="105"/>
      <c r="EF14" s="112"/>
      <c r="EG14" s="61"/>
      <c r="EH14" s="77"/>
      <c r="EI14" s="77"/>
      <c r="EJ14" s="80"/>
      <c r="EK14" s="80"/>
      <c r="EL14" s="79"/>
      <c r="EM14" s="81"/>
      <c r="EN14" s="80"/>
      <c r="EO14" s="79"/>
      <c r="EP14" s="61"/>
      <c r="EQ14" s="42"/>
      <c r="ER14" s="42"/>
      <c r="ES14" s="43"/>
      <c r="ET14" s="43"/>
      <c r="EU14" s="44"/>
      <c r="EV14" s="45"/>
      <c r="EW14" s="43"/>
      <c r="EX14" s="44"/>
      <c r="EY14" s="61"/>
      <c r="EZ14" s="20"/>
      <c r="FA14" s="21"/>
      <c r="FB14" s="51"/>
      <c r="FC14" s="31"/>
      <c r="FD14" s="35"/>
      <c r="FE14" s="21"/>
      <c r="FF14" s="31"/>
      <c r="FH14" s="42"/>
      <c r="FI14" s="45"/>
      <c r="FJ14" s="45"/>
      <c r="FK14" s="44"/>
      <c r="FL14" s="45"/>
      <c r="FM14" s="45"/>
      <c r="FN14" s="44"/>
    </row>
    <row r="15" spans="1:170" x14ac:dyDescent="0.5">
      <c r="A15" s="247" t="s">
        <v>2</v>
      </c>
      <c r="B15" s="247" t="s">
        <v>60</v>
      </c>
      <c r="C15" s="242">
        <v>80554</v>
      </c>
      <c r="D15" s="380">
        <v>77842</v>
      </c>
      <c r="E15" s="268">
        <f t="shared" si="31"/>
        <v>-3.3666857015169951</v>
      </c>
      <c r="F15" s="267">
        <v>81175</v>
      </c>
      <c r="G15" s="380">
        <v>77842</v>
      </c>
      <c r="H15" s="249">
        <f>((G15-F15)/F15)*100</f>
        <v>-4.1059439482599327</v>
      </c>
      <c r="I15" s="247" t="s">
        <v>2</v>
      </c>
      <c r="J15" s="247" t="s">
        <v>60</v>
      </c>
      <c r="K15" s="242">
        <v>76148</v>
      </c>
      <c r="L15" s="267">
        <v>76573</v>
      </c>
      <c r="M15" s="268">
        <f t="shared" si="33"/>
        <v>0.55812365393706986</v>
      </c>
      <c r="N15" s="267">
        <v>91960</v>
      </c>
      <c r="O15" s="267">
        <v>76573</v>
      </c>
      <c r="P15" s="249">
        <f>((O15-N15)/N15)*100</f>
        <v>-16.732274902131362</v>
      </c>
      <c r="Q15" s="247" t="s">
        <v>2</v>
      </c>
      <c r="R15" s="247" t="s">
        <v>60</v>
      </c>
      <c r="S15" s="267">
        <v>89707</v>
      </c>
      <c r="T15" s="267">
        <v>91960</v>
      </c>
      <c r="U15" s="268">
        <f t="shared" si="35"/>
        <v>2.5115096926661242</v>
      </c>
      <c r="V15" s="267">
        <v>85678</v>
      </c>
      <c r="W15" s="267">
        <v>91960</v>
      </c>
      <c r="X15" s="249">
        <f>((W15-V15)/V15)*100</f>
        <v>7.3321039239944916</v>
      </c>
      <c r="Y15" s="247" t="s">
        <v>2</v>
      </c>
      <c r="Z15" s="247" t="s">
        <v>60</v>
      </c>
      <c r="AA15" s="267">
        <v>81029</v>
      </c>
      <c r="AB15" s="267">
        <v>85678</v>
      </c>
      <c r="AC15" s="268">
        <f t="shared" si="37"/>
        <v>5.7374520233496646</v>
      </c>
      <c r="AD15" s="267">
        <v>78429</v>
      </c>
      <c r="AE15" s="267">
        <v>85678</v>
      </c>
      <c r="AF15" s="249">
        <f>((AE15-AD15)/AD15)*100</f>
        <v>9.2427545933264472</v>
      </c>
      <c r="AG15" s="247" t="s">
        <v>2</v>
      </c>
      <c r="AH15" s="247" t="s">
        <v>60</v>
      </c>
      <c r="AI15" s="267">
        <v>67261</v>
      </c>
      <c r="AJ15" s="267">
        <v>78429</v>
      </c>
      <c r="AK15" s="268">
        <f t="shared" si="39"/>
        <v>16.603975557901311</v>
      </c>
      <c r="AL15" s="267">
        <v>97156</v>
      </c>
      <c r="AM15" s="267">
        <v>78429</v>
      </c>
      <c r="AN15" s="249">
        <f>((AM15-AL15)/AL15)*100</f>
        <v>-19.275186298324346</v>
      </c>
      <c r="AO15" s="247" t="s">
        <v>2</v>
      </c>
      <c r="AP15" s="247" t="s">
        <v>60</v>
      </c>
      <c r="AQ15" s="267">
        <v>94167</v>
      </c>
      <c r="AR15" s="267">
        <v>97156</v>
      </c>
      <c r="AS15" s="268">
        <f t="shared" si="41"/>
        <v>3.1741480561130757</v>
      </c>
      <c r="AT15" s="267">
        <v>93520</v>
      </c>
      <c r="AU15" s="267">
        <v>97156</v>
      </c>
      <c r="AV15" s="249">
        <f>((AU15-AT15)/AT15)*100</f>
        <v>3.8879384088964928</v>
      </c>
      <c r="AW15" s="247" t="s">
        <v>2</v>
      </c>
      <c r="AX15" s="247" t="s">
        <v>60</v>
      </c>
      <c r="AY15" s="267">
        <v>86277</v>
      </c>
      <c r="AZ15" s="267">
        <v>93520</v>
      </c>
      <c r="BA15" s="268">
        <f t="shared" si="43"/>
        <v>8.3950531427842883</v>
      </c>
      <c r="BB15" s="267">
        <v>83382</v>
      </c>
      <c r="BC15" s="267">
        <v>93520</v>
      </c>
      <c r="BD15" s="249">
        <f>((BC15-BB15)/BB15)*100</f>
        <v>12.158499436329183</v>
      </c>
      <c r="BE15" s="247" t="s">
        <v>2</v>
      </c>
      <c r="BF15" s="247" t="s">
        <v>60</v>
      </c>
      <c r="BG15" s="267">
        <v>81842</v>
      </c>
      <c r="BH15" s="267">
        <v>83382</v>
      </c>
      <c r="BI15" s="268">
        <f t="shared" si="26"/>
        <v>1.8816744458835317</v>
      </c>
      <c r="BJ15" s="267">
        <v>98465</v>
      </c>
      <c r="BK15" s="267">
        <v>83382</v>
      </c>
      <c r="BL15" s="249">
        <f>((BK15-BJ15)/BJ15)*100</f>
        <v>-15.318133346874523</v>
      </c>
      <c r="BN15" s="247" t="s">
        <v>2</v>
      </c>
      <c r="BO15" s="247" t="s">
        <v>60</v>
      </c>
      <c r="BP15" s="267">
        <v>97248</v>
      </c>
      <c r="BQ15" s="267">
        <v>98465</v>
      </c>
      <c r="BR15" s="268">
        <f t="shared" si="27"/>
        <v>1.2514396182954919</v>
      </c>
      <c r="BS15" s="267">
        <v>92703</v>
      </c>
      <c r="BT15" s="267">
        <v>98465</v>
      </c>
      <c r="BU15" s="249">
        <f t="shared" si="9"/>
        <v>6.2155485798733592</v>
      </c>
      <c r="BW15" s="247" t="s">
        <v>2</v>
      </c>
      <c r="BX15" s="247" t="s">
        <v>60</v>
      </c>
      <c r="BY15" s="267" t="e">
        <f>'พ.ย. '!CK15</f>
        <v>#REF!</v>
      </c>
      <c r="BZ15" s="267" t="e">
        <f>#REF!</f>
        <v>#REF!</v>
      </c>
      <c r="CA15" s="268" t="e">
        <f t="shared" si="28"/>
        <v>#REF!</v>
      </c>
      <c r="CB15" s="267" t="e">
        <f>#REF!</f>
        <v>#REF!</v>
      </c>
      <c r="CC15" s="267" t="e">
        <f t="shared" si="10"/>
        <v>#REF!</v>
      </c>
      <c r="CD15" s="249" t="e">
        <f t="shared" si="11"/>
        <v>#REF!</v>
      </c>
      <c r="CE15" s="249"/>
      <c r="CF15" s="247" t="s">
        <v>2</v>
      </c>
      <c r="CG15" s="247" t="s">
        <v>60</v>
      </c>
      <c r="CH15" s="267">
        <f>CH16+CH17</f>
        <v>74348</v>
      </c>
      <c r="CI15" s="267">
        <f>CI16+CI17</f>
        <v>81947</v>
      </c>
      <c r="CJ15" s="268">
        <f t="shared" si="29"/>
        <v>10.220853284553719</v>
      </c>
      <c r="CK15" s="267">
        <f>SUM(CK16:CK17)</f>
        <v>89399</v>
      </c>
      <c r="CL15" s="267">
        <f>CL16+CL17</f>
        <v>81947</v>
      </c>
      <c r="CM15" s="249">
        <f t="shared" si="30"/>
        <v>-8.3356637098848978</v>
      </c>
      <c r="CN15" s="73"/>
      <c r="CO15" s="229" t="s">
        <v>2</v>
      </c>
      <c r="CP15" s="229" t="s">
        <v>60</v>
      </c>
      <c r="CQ15" s="242">
        <f>SUM(CQ16:CQ17)</f>
        <v>88054</v>
      </c>
      <c r="CR15" s="242">
        <v>89399</v>
      </c>
      <c r="CS15" s="231">
        <f t="shared" si="15"/>
        <v>1.5274717786812637</v>
      </c>
      <c r="CT15" s="230">
        <v>85959</v>
      </c>
      <c r="CU15" s="242">
        <v>89399</v>
      </c>
      <c r="CV15" s="231">
        <f t="shared" si="16"/>
        <v>4.0019078863178956</v>
      </c>
      <c r="CW15" s="73"/>
      <c r="CX15" s="199" t="s">
        <v>2</v>
      </c>
      <c r="CY15" s="199" t="s">
        <v>60</v>
      </c>
      <c r="CZ15" s="200">
        <f>SUM(CZ16:CZ17)</f>
        <v>81595</v>
      </c>
      <c r="DA15" s="200">
        <f>SUM(DA16:DA17)</f>
        <v>85959</v>
      </c>
      <c r="DB15" s="201">
        <f t="shared" si="17"/>
        <v>5.3483669342484221</v>
      </c>
      <c r="DC15" s="200">
        <f>SUM(DC16:DC17)</f>
        <v>120762</v>
      </c>
      <c r="DD15" s="200">
        <f>SUM(DD16:DD17)</f>
        <v>85959</v>
      </c>
      <c r="DE15" s="201">
        <f t="shared" si="18"/>
        <v>-28.819496199135493</v>
      </c>
      <c r="DF15" s="73"/>
      <c r="DG15" s="100" t="s">
        <v>2</v>
      </c>
      <c r="DH15" s="100" t="s">
        <v>60</v>
      </c>
      <c r="DI15" s="101">
        <f>SUM(DI16:DI17)</f>
        <v>37896</v>
      </c>
      <c r="DJ15" s="101">
        <f>SUM(DJ16:DJ17)</f>
        <v>120762</v>
      </c>
      <c r="DK15" s="102">
        <f t="shared" si="19"/>
        <v>218.66687777074097</v>
      </c>
      <c r="DL15" s="101">
        <v>91580</v>
      </c>
      <c r="DM15" s="101">
        <f>SUM(DM16:DM17)</f>
        <v>120762</v>
      </c>
      <c r="DN15" s="102">
        <f t="shared" si="20"/>
        <v>31.865036034068574</v>
      </c>
      <c r="DO15" s="73"/>
      <c r="DP15" s="120" t="s">
        <v>2</v>
      </c>
      <c r="DQ15" s="120" t="s">
        <v>60</v>
      </c>
      <c r="DR15" s="133">
        <f>SUM(DR16:DR17)</f>
        <v>93967</v>
      </c>
      <c r="DS15" s="133">
        <f>SUM(DS16:DS17)</f>
        <v>91580</v>
      </c>
      <c r="DT15" s="125">
        <f t="shared" si="12"/>
        <v>-2.5402534932476293</v>
      </c>
      <c r="DU15" s="121">
        <v>63971</v>
      </c>
      <c r="DV15" s="133">
        <v>91580</v>
      </c>
      <c r="DW15" s="125">
        <f t="shared" si="21"/>
        <v>43.158618749120699</v>
      </c>
      <c r="DX15" s="127"/>
      <c r="DY15" s="100" t="s">
        <v>2</v>
      </c>
      <c r="DZ15" s="100" t="s">
        <v>60</v>
      </c>
      <c r="EA15" s="101">
        <f>SUM(EA16:EA17)</f>
        <v>72299</v>
      </c>
      <c r="EB15" s="101">
        <f>SUM(EB16:EB17)</f>
        <v>63971</v>
      </c>
      <c r="EC15" s="102">
        <f t="shared" si="22"/>
        <v>-11.518831519108149</v>
      </c>
      <c r="ED15" s="101">
        <v>72961</v>
      </c>
      <c r="EE15" s="101">
        <f>SUM(EE16:EE17)</f>
        <v>63971</v>
      </c>
      <c r="EF15" s="102">
        <f t="shared" si="23"/>
        <v>-12.321651293156618</v>
      </c>
      <c r="EG15" s="73"/>
      <c r="EH15" s="74" t="s">
        <v>2</v>
      </c>
      <c r="EI15" s="74" t="s">
        <v>60</v>
      </c>
      <c r="EJ15" s="75">
        <f>SUM(EJ16:EJ17)</f>
        <v>70581</v>
      </c>
      <c r="EK15" s="75">
        <f>SUM(EK16:EK17)</f>
        <v>72961</v>
      </c>
      <c r="EL15" s="76">
        <f t="shared" si="24"/>
        <v>3.3720122979272045</v>
      </c>
      <c r="EM15" s="75">
        <f>SUM(EM16:EM17)</f>
        <v>172027</v>
      </c>
      <c r="EN15" s="75">
        <v>72961</v>
      </c>
      <c r="EO15" s="76">
        <f t="shared" si="25"/>
        <v>-57.587471734088261</v>
      </c>
      <c r="EP15" s="73"/>
      <c r="EQ15" s="63" t="s">
        <v>2</v>
      </c>
      <c r="ER15" s="63" t="s">
        <v>60</v>
      </c>
      <c r="ES15" s="64">
        <f>ES16+ES17</f>
        <v>144852</v>
      </c>
      <c r="ET15" s="64">
        <f>ET16+ET17</f>
        <v>172027</v>
      </c>
      <c r="EU15" s="65">
        <f t="shared" si="13"/>
        <v>18.760527987186922</v>
      </c>
      <c r="EV15" s="64">
        <f>SUM(EV16:EV17)</f>
        <v>150654</v>
      </c>
      <c r="EW15" s="64">
        <f>EW16+EW17</f>
        <v>172027</v>
      </c>
      <c r="EX15" s="65">
        <f t="shared" si="14"/>
        <v>14.186812165624543</v>
      </c>
      <c r="EY15" s="73"/>
      <c r="EZ15" s="20" t="s">
        <v>1</v>
      </c>
      <c r="FA15" s="21">
        <v>57800</v>
      </c>
      <c r="FB15" s="51">
        <v>84521</v>
      </c>
      <c r="FC15" s="31">
        <f>((FB15-FA15)/FA15)*100</f>
        <v>46.230103806228371</v>
      </c>
      <c r="FD15" s="35">
        <v>77856</v>
      </c>
      <c r="FE15" s="21">
        <v>84521</v>
      </c>
      <c r="FF15" s="31">
        <f>((FE15-FD15)/FD15)*100</f>
        <v>8.5606761200164403</v>
      </c>
      <c r="FH15" s="42" t="s">
        <v>1</v>
      </c>
      <c r="FI15" s="45">
        <v>63417</v>
      </c>
      <c r="FJ15" s="45">
        <v>77856</v>
      </c>
      <c r="FK15" s="44">
        <f>(FJ15-FI15)/FI15*100</f>
        <v>22.768342873362034</v>
      </c>
      <c r="FL15" s="45">
        <v>73251</v>
      </c>
      <c r="FM15" s="45">
        <v>77856</v>
      </c>
      <c r="FN15" s="44">
        <f>(FM15-FL15)/FL15*100</f>
        <v>6.2866035958553477</v>
      </c>
    </row>
    <row r="16" spans="1:170" x14ac:dyDescent="0.5">
      <c r="A16" s="250"/>
      <c r="B16" s="250" t="s">
        <v>61</v>
      </c>
      <c r="C16" s="244">
        <v>27081</v>
      </c>
      <c r="D16" s="381">
        <v>30674</v>
      </c>
      <c r="E16" s="268">
        <f t="shared" si="31"/>
        <v>13.267604593626528</v>
      </c>
      <c r="F16" s="266">
        <v>32263</v>
      </c>
      <c r="G16" s="381">
        <v>30674</v>
      </c>
      <c r="H16" s="249">
        <f>((G16-F16)/F16)*100</f>
        <v>-4.9251464525927533</v>
      </c>
      <c r="I16" s="250"/>
      <c r="J16" s="250" t="s">
        <v>61</v>
      </c>
      <c r="K16" s="244">
        <v>43347</v>
      </c>
      <c r="L16" s="266">
        <v>39973</v>
      </c>
      <c r="M16" s="268">
        <f t="shared" si="33"/>
        <v>-7.7836989872424853</v>
      </c>
      <c r="N16" s="266">
        <v>52060</v>
      </c>
      <c r="O16" s="266">
        <v>39973</v>
      </c>
      <c r="P16" s="249">
        <f>((O16-N16)/N16)*100</f>
        <v>-23.217441413753363</v>
      </c>
      <c r="Q16" s="250"/>
      <c r="R16" s="250" t="s">
        <v>61</v>
      </c>
      <c r="S16" s="266">
        <v>40697</v>
      </c>
      <c r="T16" s="266">
        <v>52060</v>
      </c>
      <c r="U16" s="268">
        <f t="shared" si="35"/>
        <v>27.920976976189891</v>
      </c>
      <c r="V16" s="266">
        <v>36078</v>
      </c>
      <c r="W16" s="266">
        <v>52060</v>
      </c>
      <c r="X16" s="249">
        <f>((W16-V16)/V16)*100</f>
        <v>44.298464438161758</v>
      </c>
      <c r="Y16" s="250"/>
      <c r="Z16" s="250" t="s">
        <v>61</v>
      </c>
      <c r="AA16" s="266">
        <v>37890</v>
      </c>
      <c r="AB16" s="266">
        <v>36078</v>
      </c>
      <c r="AC16" s="268">
        <f t="shared" si="37"/>
        <v>-4.7822644497228817</v>
      </c>
      <c r="AD16" s="266">
        <v>33059</v>
      </c>
      <c r="AE16" s="266">
        <v>36078</v>
      </c>
      <c r="AF16" s="249">
        <f>((AE16-AD16)/AD16)*100</f>
        <v>9.1321576575214021</v>
      </c>
      <c r="AG16" s="250"/>
      <c r="AH16" s="250" t="s">
        <v>61</v>
      </c>
      <c r="AI16" s="266">
        <v>28819</v>
      </c>
      <c r="AJ16" s="266">
        <v>33059</v>
      </c>
      <c r="AK16" s="268">
        <f t="shared" si="39"/>
        <v>14.712516048440266</v>
      </c>
      <c r="AL16" s="266">
        <v>37280</v>
      </c>
      <c r="AM16" s="266">
        <v>33059</v>
      </c>
      <c r="AN16" s="249">
        <f>((AM16-AL16)/AL16)*100</f>
        <v>-11.322424892703863</v>
      </c>
      <c r="AO16" s="250"/>
      <c r="AP16" s="250" t="s">
        <v>61</v>
      </c>
      <c r="AQ16" s="266">
        <v>31277</v>
      </c>
      <c r="AR16" s="266">
        <v>37280</v>
      </c>
      <c r="AS16" s="268">
        <f t="shared" si="41"/>
        <v>19.193017233110591</v>
      </c>
      <c r="AT16" s="266">
        <v>38324</v>
      </c>
      <c r="AU16" s="266">
        <v>37280</v>
      </c>
      <c r="AV16" s="249">
        <f>((AU16-AT16)/AT16)*100</f>
        <v>-2.7241415301116794</v>
      </c>
      <c r="AW16" s="250"/>
      <c r="AX16" s="250" t="s">
        <v>61</v>
      </c>
      <c r="AY16" s="266">
        <v>32174</v>
      </c>
      <c r="AZ16" s="266">
        <v>38324</v>
      </c>
      <c r="BA16" s="268">
        <f t="shared" si="43"/>
        <v>19.114813203207561</v>
      </c>
      <c r="BB16" s="266">
        <v>35582</v>
      </c>
      <c r="BC16" s="266">
        <v>38324</v>
      </c>
      <c r="BD16" s="249">
        <f>((BC16-BB16)/BB16)*100</f>
        <v>7.7061435557304252</v>
      </c>
      <c r="BE16" s="250"/>
      <c r="BF16" s="250" t="s">
        <v>61</v>
      </c>
      <c r="BG16" s="266">
        <v>33822</v>
      </c>
      <c r="BH16" s="266">
        <v>35582</v>
      </c>
      <c r="BI16" s="268">
        <f t="shared" si="26"/>
        <v>5.2037135592218089</v>
      </c>
      <c r="BJ16" s="266">
        <v>34466</v>
      </c>
      <c r="BK16" s="266">
        <v>35582</v>
      </c>
      <c r="BL16" s="249">
        <f>((BK16-BJ16)/BJ16)*100</f>
        <v>3.2379736551964253</v>
      </c>
      <c r="BN16" s="250"/>
      <c r="BO16" s="250" t="s">
        <v>61</v>
      </c>
      <c r="BP16" s="266">
        <v>29934</v>
      </c>
      <c r="BQ16" s="266">
        <v>34466</v>
      </c>
      <c r="BR16" s="268">
        <f t="shared" si="27"/>
        <v>15.13997461081045</v>
      </c>
      <c r="BS16" s="266">
        <v>32683</v>
      </c>
      <c r="BT16" s="266">
        <v>34466</v>
      </c>
      <c r="BU16" s="249">
        <f t="shared" si="9"/>
        <v>5.4554355475323568</v>
      </c>
      <c r="BW16" s="250"/>
      <c r="BX16" s="250" t="s">
        <v>61</v>
      </c>
      <c r="BY16" s="266" t="e">
        <f>'พ.ย. '!CK16</f>
        <v>#REF!</v>
      </c>
      <c r="BZ16" s="266" t="e">
        <f>#REF!</f>
        <v>#REF!</v>
      </c>
      <c r="CA16" s="268" t="e">
        <f t="shared" si="28"/>
        <v>#REF!</v>
      </c>
      <c r="CB16" s="266" t="e">
        <f>#REF!</f>
        <v>#REF!</v>
      </c>
      <c r="CC16" s="266" t="e">
        <f t="shared" si="10"/>
        <v>#REF!</v>
      </c>
      <c r="CD16" s="249" t="e">
        <f t="shared" si="11"/>
        <v>#REF!</v>
      </c>
      <c r="CE16" s="249"/>
      <c r="CF16" s="250"/>
      <c r="CG16" s="250" t="s">
        <v>61</v>
      </c>
      <c r="CH16" s="266">
        <v>22872</v>
      </c>
      <c r="CI16" s="266">
        <v>29597</v>
      </c>
      <c r="CJ16" s="268">
        <f t="shared" si="29"/>
        <v>29.402763203917452</v>
      </c>
      <c r="CK16" s="266">
        <v>28300</v>
      </c>
      <c r="CL16" s="266">
        <v>29597</v>
      </c>
      <c r="CM16" s="249">
        <f t="shared" si="30"/>
        <v>4.5830388692579511</v>
      </c>
      <c r="CN16" s="73"/>
      <c r="CO16" s="232"/>
      <c r="CP16" s="232" t="s">
        <v>61</v>
      </c>
      <c r="CQ16" s="244">
        <v>29331</v>
      </c>
      <c r="CR16" s="244">
        <v>28300</v>
      </c>
      <c r="CS16" s="231">
        <f t="shared" si="15"/>
        <v>-3.5150523337083635</v>
      </c>
      <c r="CT16" s="234">
        <v>26449</v>
      </c>
      <c r="CU16" s="244">
        <v>28300</v>
      </c>
      <c r="CV16" s="231">
        <f t="shared" si="16"/>
        <v>6.9983742296495137</v>
      </c>
      <c r="CW16" s="73"/>
      <c r="CX16" s="202"/>
      <c r="CY16" s="202" t="s">
        <v>61</v>
      </c>
      <c r="CZ16" s="204">
        <v>24053</v>
      </c>
      <c r="DA16" s="204">
        <v>26449</v>
      </c>
      <c r="DB16" s="201">
        <f t="shared" si="17"/>
        <v>9.9613353843595398</v>
      </c>
      <c r="DC16" s="204">
        <v>16178</v>
      </c>
      <c r="DD16" s="204">
        <v>26449</v>
      </c>
      <c r="DE16" s="201">
        <f t="shared" si="18"/>
        <v>63.487452095438243</v>
      </c>
      <c r="DF16" s="73"/>
      <c r="DG16" s="103"/>
      <c r="DH16" s="103" t="s">
        <v>61</v>
      </c>
      <c r="DI16" s="105">
        <v>1978</v>
      </c>
      <c r="DJ16" s="105">
        <v>16178</v>
      </c>
      <c r="DK16" s="102">
        <f t="shared" si="19"/>
        <v>717.89686552072794</v>
      </c>
      <c r="DL16" s="105">
        <v>17125</v>
      </c>
      <c r="DM16" s="105">
        <v>16178</v>
      </c>
      <c r="DN16" s="102">
        <f t="shared" si="20"/>
        <v>-5.5299270072992703</v>
      </c>
      <c r="DO16" s="73"/>
      <c r="DP16" s="24"/>
      <c r="DQ16" s="24" t="s">
        <v>61</v>
      </c>
      <c r="DR16" s="50">
        <v>15407</v>
      </c>
      <c r="DS16" s="50">
        <v>17125</v>
      </c>
      <c r="DT16" s="128">
        <f t="shared" si="12"/>
        <v>11.150775621470761</v>
      </c>
      <c r="DU16" s="25">
        <v>8420</v>
      </c>
      <c r="DV16" s="50">
        <v>17125</v>
      </c>
      <c r="DW16" s="128">
        <f t="shared" si="21"/>
        <v>103.38479809976246</v>
      </c>
      <c r="DX16" s="130"/>
      <c r="DY16" s="103"/>
      <c r="DZ16" s="103" t="s">
        <v>61</v>
      </c>
      <c r="EA16" s="105">
        <v>8081</v>
      </c>
      <c r="EB16" s="105">
        <v>8420</v>
      </c>
      <c r="EC16" s="112">
        <f t="shared" si="22"/>
        <v>4.1950253681475065</v>
      </c>
      <c r="ED16" s="105">
        <v>17512</v>
      </c>
      <c r="EE16" s="105">
        <v>8420</v>
      </c>
      <c r="EF16" s="112">
        <f t="shared" si="23"/>
        <v>-51.918684330744632</v>
      </c>
      <c r="EG16" s="61"/>
      <c r="EH16" s="77"/>
      <c r="EI16" s="77" t="s">
        <v>61</v>
      </c>
      <c r="EJ16" s="80">
        <v>16348</v>
      </c>
      <c r="EK16" s="80">
        <v>17512</v>
      </c>
      <c r="EL16" s="79">
        <f t="shared" si="24"/>
        <v>7.1201370198189382</v>
      </c>
      <c r="EM16" s="81">
        <v>9747</v>
      </c>
      <c r="EN16" s="80">
        <v>17512</v>
      </c>
      <c r="EO16" s="79">
        <f t="shared" si="25"/>
        <v>79.665538114291579</v>
      </c>
      <c r="EP16" s="61"/>
      <c r="EQ16" s="42"/>
      <c r="ER16" s="42" t="s">
        <v>61</v>
      </c>
      <c r="ES16" s="43">
        <v>7072</v>
      </c>
      <c r="ET16" s="43">
        <v>9747</v>
      </c>
      <c r="EU16" s="44">
        <f t="shared" si="13"/>
        <v>37.825226244343888</v>
      </c>
      <c r="EV16" s="45">
        <v>4734</v>
      </c>
      <c r="EW16" s="43">
        <v>9747</v>
      </c>
      <c r="EX16" s="44">
        <f t="shared" si="14"/>
        <v>105.89353612167301</v>
      </c>
      <c r="EY16" s="61"/>
      <c r="EZ16" s="20" t="s">
        <v>2</v>
      </c>
      <c r="FA16" s="21">
        <v>44085</v>
      </c>
      <c r="FB16" s="51">
        <v>54896</v>
      </c>
      <c r="FC16" s="31">
        <f>((FB16-FA16)/FA16)*100</f>
        <v>24.523080412838834</v>
      </c>
      <c r="FD16" s="35">
        <v>38303</v>
      </c>
      <c r="FE16" s="21">
        <f>FB16</f>
        <v>54896</v>
      </c>
      <c r="FF16" s="31">
        <f>((FE16-FD16)/FD16)*100</f>
        <v>43.320366550922905</v>
      </c>
      <c r="FH16" s="42" t="s">
        <v>2</v>
      </c>
      <c r="FI16" s="45">
        <v>40952</v>
      </c>
      <c r="FJ16" s="45">
        <v>38303</v>
      </c>
      <c r="FK16" s="44">
        <f>(FJ16-FI16)/FI16*100</f>
        <v>-6.4685485446376241</v>
      </c>
      <c r="FL16" s="45">
        <v>34383</v>
      </c>
      <c r="FM16" s="45">
        <v>38303</v>
      </c>
      <c r="FN16" s="44">
        <f>(FM16-FL16)/FL16*100</f>
        <v>11.400983043946136</v>
      </c>
    </row>
    <row r="17" spans="1:159" x14ac:dyDescent="0.5">
      <c r="A17" s="250"/>
      <c r="B17" s="250" t="s">
        <v>62</v>
      </c>
      <c r="C17" s="244">
        <v>53473</v>
      </c>
      <c r="D17" s="381">
        <v>47168</v>
      </c>
      <c r="E17" s="268">
        <f t="shared" si="31"/>
        <v>-11.790997325753185</v>
      </c>
      <c r="F17" s="266">
        <v>48912</v>
      </c>
      <c r="G17" s="381">
        <v>47168</v>
      </c>
      <c r="H17" s="249">
        <f>((G17-F17)/F17)*100</f>
        <v>-3.5655871769708867</v>
      </c>
      <c r="I17" s="250"/>
      <c r="J17" s="250" t="s">
        <v>62</v>
      </c>
      <c r="K17" s="244">
        <v>32801</v>
      </c>
      <c r="L17" s="266">
        <v>36600</v>
      </c>
      <c r="M17" s="268">
        <f t="shared" si="33"/>
        <v>11.581963964513276</v>
      </c>
      <c r="N17" s="266">
        <v>39900</v>
      </c>
      <c r="O17" s="266">
        <v>36600</v>
      </c>
      <c r="P17" s="249">
        <f>((O17-N17)/N17)*100</f>
        <v>-8.2706766917293226</v>
      </c>
      <c r="Q17" s="250"/>
      <c r="R17" s="250" t="s">
        <v>62</v>
      </c>
      <c r="S17" s="266">
        <v>49010</v>
      </c>
      <c r="T17" s="266">
        <v>39900</v>
      </c>
      <c r="U17" s="268">
        <f t="shared" si="35"/>
        <v>-18.588043256478272</v>
      </c>
      <c r="V17" s="266">
        <v>49600</v>
      </c>
      <c r="W17" s="266">
        <v>39900</v>
      </c>
      <c r="X17" s="249">
        <f>((W17-V17)/V17)*100</f>
        <v>-19.556451612903224</v>
      </c>
      <c r="Y17" s="250"/>
      <c r="Z17" s="250" t="s">
        <v>62</v>
      </c>
      <c r="AA17" s="266">
        <v>43139</v>
      </c>
      <c r="AB17" s="266">
        <v>49600</v>
      </c>
      <c r="AC17" s="268">
        <f t="shared" si="37"/>
        <v>14.977166832796311</v>
      </c>
      <c r="AD17" s="266">
        <v>45370</v>
      </c>
      <c r="AE17" s="266">
        <v>49600</v>
      </c>
      <c r="AF17" s="249">
        <f>((AE17-AD17)/AD17)*100</f>
        <v>9.3233414150319582</v>
      </c>
      <c r="AG17" s="250"/>
      <c r="AH17" s="250" t="s">
        <v>62</v>
      </c>
      <c r="AI17" s="266">
        <v>38442</v>
      </c>
      <c r="AJ17" s="266">
        <v>45370</v>
      </c>
      <c r="AK17" s="268">
        <f t="shared" si="39"/>
        <v>18.021955153217835</v>
      </c>
      <c r="AL17" s="266">
        <v>59876</v>
      </c>
      <c r="AM17" s="266">
        <v>45370</v>
      </c>
      <c r="AN17" s="249">
        <f>((AM17-AL17)/AL17)*100</f>
        <v>-24.226735252855903</v>
      </c>
      <c r="AO17" s="250"/>
      <c r="AP17" s="250" t="s">
        <v>62</v>
      </c>
      <c r="AQ17" s="266">
        <v>62890</v>
      </c>
      <c r="AR17" s="266">
        <v>59876</v>
      </c>
      <c r="AS17" s="268">
        <f t="shared" si="41"/>
        <v>-4.7924948322467795</v>
      </c>
      <c r="AT17" s="266">
        <v>55196</v>
      </c>
      <c r="AU17" s="266">
        <v>59876</v>
      </c>
      <c r="AV17" s="249">
        <f>((AU17-AT17)/AT17)*100</f>
        <v>8.4788752808174515</v>
      </c>
      <c r="AW17" s="250"/>
      <c r="AX17" s="250" t="s">
        <v>62</v>
      </c>
      <c r="AY17" s="266">
        <v>54103</v>
      </c>
      <c r="AZ17" s="266">
        <v>55196</v>
      </c>
      <c r="BA17" s="268">
        <f t="shared" si="43"/>
        <v>2.0202206901650555</v>
      </c>
      <c r="BB17" s="266">
        <v>47800</v>
      </c>
      <c r="BC17" s="266">
        <v>55196</v>
      </c>
      <c r="BD17" s="249">
        <f>((BC17-BB17)/BB17)*100</f>
        <v>15.472803347280333</v>
      </c>
      <c r="BE17" s="250"/>
      <c r="BF17" s="250" t="s">
        <v>62</v>
      </c>
      <c r="BG17" s="266">
        <v>48020</v>
      </c>
      <c r="BH17" s="266">
        <v>47800</v>
      </c>
      <c r="BI17" s="268">
        <f t="shared" si="26"/>
        <v>-0.45814244064972931</v>
      </c>
      <c r="BJ17" s="266">
        <v>63999</v>
      </c>
      <c r="BK17" s="266">
        <v>47800</v>
      </c>
      <c r="BL17" s="249">
        <f>((BK17-BJ17)/BJ17)*100</f>
        <v>-25.311332989577963</v>
      </c>
      <c r="BN17" s="250"/>
      <c r="BO17" s="250" t="s">
        <v>62</v>
      </c>
      <c r="BP17" s="266">
        <v>67314</v>
      </c>
      <c r="BQ17" s="266">
        <v>63999</v>
      </c>
      <c r="BR17" s="268">
        <f t="shared" si="27"/>
        <v>-4.9246813441483202</v>
      </c>
      <c r="BS17" s="266">
        <v>60020</v>
      </c>
      <c r="BT17" s="266">
        <v>63999</v>
      </c>
      <c r="BU17" s="249">
        <f t="shared" si="9"/>
        <v>6.6294568477174272</v>
      </c>
      <c r="BW17" s="250"/>
      <c r="BX17" s="250" t="s">
        <v>62</v>
      </c>
      <c r="BY17" s="266" t="e">
        <f>'พ.ย. '!CK17</f>
        <v>#REF!</v>
      </c>
      <c r="BZ17" s="266" t="e">
        <f>#REF!</f>
        <v>#REF!</v>
      </c>
      <c r="CA17" s="268" t="e">
        <f t="shared" si="28"/>
        <v>#REF!</v>
      </c>
      <c r="CB17" s="266" t="e">
        <f>#REF!</f>
        <v>#REF!</v>
      </c>
      <c r="CC17" s="266" t="e">
        <f t="shared" si="10"/>
        <v>#REF!</v>
      </c>
      <c r="CD17" s="249" t="e">
        <f t="shared" si="11"/>
        <v>#REF!</v>
      </c>
      <c r="CE17" s="249"/>
      <c r="CF17" s="250"/>
      <c r="CG17" s="250" t="s">
        <v>62</v>
      </c>
      <c r="CH17" s="266">
        <v>51476</v>
      </c>
      <c r="CI17" s="266">
        <v>52350</v>
      </c>
      <c r="CJ17" s="268">
        <f t="shared" si="29"/>
        <v>1.6978786230476339</v>
      </c>
      <c r="CK17" s="266">
        <v>61099</v>
      </c>
      <c r="CL17" s="266">
        <v>52350</v>
      </c>
      <c r="CM17" s="249">
        <f t="shared" si="30"/>
        <v>-14.31938329596229</v>
      </c>
      <c r="CN17" s="73"/>
      <c r="CO17" s="232"/>
      <c r="CP17" s="232" t="s">
        <v>62</v>
      </c>
      <c r="CQ17" s="244">
        <v>58723</v>
      </c>
      <c r="CR17" s="244">
        <v>61099</v>
      </c>
      <c r="CS17" s="231">
        <f t="shared" si="15"/>
        <v>4.0461148102106499</v>
      </c>
      <c r="CT17" s="234">
        <v>59510</v>
      </c>
      <c r="CU17" s="244">
        <v>61099</v>
      </c>
      <c r="CV17" s="231">
        <f t="shared" si="16"/>
        <v>2.6701394723575871</v>
      </c>
      <c r="CW17" s="73"/>
      <c r="CX17" s="202"/>
      <c r="CY17" s="202" t="s">
        <v>62</v>
      </c>
      <c r="CZ17" s="204">
        <v>57542</v>
      </c>
      <c r="DA17" s="204">
        <v>59510</v>
      </c>
      <c r="DB17" s="201">
        <f t="shared" si="17"/>
        <v>3.4201105279621844</v>
      </c>
      <c r="DC17" s="204">
        <v>104584</v>
      </c>
      <c r="DD17" s="204">
        <v>59510</v>
      </c>
      <c r="DE17" s="201">
        <f t="shared" si="18"/>
        <v>-43.098370687676891</v>
      </c>
      <c r="DF17" s="73"/>
      <c r="DG17" s="103"/>
      <c r="DH17" s="103" t="s">
        <v>62</v>
      </c>
      <c r="DI17" s="105">
        <v>35918</v>
      </c>
      <c r="DJ17" s="105">
        <v>104584</v>
      </c>
      <c r="DK17" s="102">
        <f t="shared" si="19"/>
        <v>191.17434155576592</v>
      </c>
      <c r="DL17" s="105">
        <v>74455</v>
      </c>
      <c r="DM17" s="105">
        <v>104584</v>
      </c>
      <c r="DN17" s="102">
        <f t="shared" si="20"/>
        <v>40.466053320797798</v>
      </c>
      <c r="DO17" s="73"/>
      <c r="DP17" s="24"/>
      <c r="DQ17" s="24" t="s">
        <v>62</v>
      </c>
      <c r="DR17" s="50">
        <v>78560</v>
      </c>
      <c r="DS17" s="50">
        <v>74455</v>
      </c>
      <c r="DT17" s="128">
        <f t="shared" si="12"/>
        <v>-5.2253054989816698</v>
      </c>
      <c r="DU17" s="25">
        <v>55551</v>
      </c>
      <c r="DV17" s="50">
        <v>74455</v>
      </c>
      <c r="DW17" s="128">
        <f t="shared" si="21"/>
        <v>34.029990459217657</v>
      </c>
      <c r="DX17" s="130"/>
      <c r="DY17" s="103"/>
      <c r="DZ17" s="103" t="s">
        <v>62</v>
      </c>
      <c r="EA17" s="105">
        <v>64218</v>
      </c>
      <c r="EB17" s="105">
        <v>55551</v>
      </c>
      <c r="EC17" s="112">
        <f t="shared" si="22"/>
        <v>-13.496216014201625</v>
      </c>
      <c r="ED17" s="105">
        <v>55449</v>
      </c>
      <c r="EE17" s="105">
        <v>55551</v>
      </c>
      <c r="EF17" s="112">
        <f t="shared" si="23"/>
        <v>0.18395282151165937</v>
      </c>
      <c r="EG17" s="61"/>
      <c r="EH17" s="77"/>
      <c r="EI17" s="77" t="s">
        <v>62</v>
      </c>
      <c r="EJ17" s="80">
        <v>54233</v>
      </c>
      <c r="EK17" s="80">
        <v>55449</v>
      </c>
      <c r="EL17" s="79">
        <f t="shared" si="24"/>
        <v>2.2421772721405784</v>
      </c>
      <c r="EM17" s="81">
        <v>162280</v>
      </c>
      <c r="EN17" s="80">
        <v>55449</v>
      </c>
      <c r="EO17" s="79">
        <f t="shared" si="25"/>
        <v>-65.831279270396848</v>
      </c>
      <c r="EP17" s="61"/>
      <c r="EQ17" s="42"/>
      <c r="ER17" s="42" t="s">
        <v>62</v>
      </c>
      <c r="ES17" s="43">
        <v>137780</v>
      </c>
      <c r="ET17" s="43">
        <v>162280</v>
      </c>
      <c r="EU17" s="44">
        <f t="shared" si="13"/>
        <v>17.781971258528088</v>
      </c>
      <c r="EV17" s="45">
        <v>145920</v>
      </c>
      <c r="EW17" s="43">
        <v>162280</v>
      </c>
      <c r="EX17" s="44">
        <f t="shared" si="14"/>
        <v>11.211622807017543</v>
      </c>
      <c r="EY17" s="61"/>
    </row>
    <row r="18" spans="1:159" x14ac:dyDescent="0.5">
      <c r="A18" s="250"/>
      <c r="B18" s="250" t="s">
        <v>63</v>
      </c>
      <c r="C18" s="243">
        <v>5160.90058391</v>
      </c>
      <c r="D18" s="384">
        <v>5192.1194878352735</v>
      </c>
      <c r="E18" s="268">
        <f t="shared" si="31"/>
        <v>0.60491194158251782</v>
      </c>
      <c r="F18" s="269">
        <v>5361.5808027968496</v>
      </c>
      <c r="G18" s="384">
        <v>5192.1194878352735</v>
      </c>
      <c r="H18" s="249">
        <f>((G18-F18)/F18)*100</f>
        <v>-3.1606595367018855</v>
      </c>
      <c r="I18" s="250"/>
      <c r="J18" s="250" t="s">
        <v>63</v>
      </c>
      <c r="K18" s="243">
        <v>6849.045368946734</v>
      </c>
      <c r="L18" s="269">
        <v>5764.1398906156719</v>
      </c>
      <c r="M18" s="268">
        <f t="shared" si="33"/>
        <v>-15.840243711188936</v>
      </c>
      <c r="N18" s="269">
        <v>7113.9867515640517</v>
      </c>
      <c r="O18" s="269">
        <v>5764.1398906156719</v>
      </c>
      <c r="P18" s="249">
        <f>((O18-N18)/N18)*100</f>
        <v>-18.974548422536884</v>
      </c>
      <c r="Q18" s="250"/>
      <c r="R18" s="250" t="s">
        <v>63</v>
      </c>
      <c r="S18" s="269">
        <v>6595.9880064341178</v>
      </c>
      <c r="T18" s="269">
        <v>7113.9867515640517</v>
      </c>
      <c r="U18" s="268">
        <f t="shared" si="35"/>
        <v>7.8532396454427635</v>
      </c>
      <c r="V18" s="269">
        <v>5629.15</v>
      </c>
      <c r="W18" s="269">
        <v>7113.9867515640517</v>
      </c>
      <c r="X18" s="249">
        <f>((W18-V18)/V18)*100</f>
        <v>26.377636971195511</v>
      </c>
      <c r="Y18" s="250"/>
      <c r="Z18" s="250" t="s">
        <v>63</v>
      </c>
      <c r="AA18" s="269">
        <v>5798.69</v>
      </c>
      <c r="AB18" s="269">
        <v>5629.15</v>
      </c>
      <c r="AC18" s="268">
        <f t="shared" si="37"/>
        <v>-2.9237638156204242</v>
      </c>
      <c r="AD18" s="269">
        <v>32756.806609787302</v>
      </c>
      <c r="AE18" s="269">
        <v>5629.15</v>
      </c>
      <c r="AF18" s="249">
        <f>((AE18-AD18)/AD18)*100</f>
        <v>-82.815327308742965</v>
      </c>
      <c r="AG18" s="250"/>
      <c r="AH18" s="250" t="s">
        <v>63</v>
      </c>
      <c r="AI18" s="269">
        <v>5968.19</v>
      </c>
      <c r="AJ18" s="269">
        <v>32756.806609787302</v>
      </c>
      <c r="AK18" s="268">
        <f t="shared" si="39"/>
        <v>448.85663173905829</v>
      </c>
      <c r="AL18" s="269">
        <v>7121.84</v>
      </c>
      <c r="AM18" s="269">
        <v>32756.806609787302</v>
      </c>
      <c r="AN18" s="249">
        <f>((AM18-AL18)/AL18)*100</f>
        <v>359.9486454313394</v>
      </c>
      <c r="AO18" s="250"/>
      <c r="AP18" s="250" t="s">
        <v>63</v>
      </c>
      <c r="AQ18" s="269">
        <v>6939.76</v>
      </c>
      <c r="AR18" s="269">
        <v>7121.84</v>
      </c>
      <c r="AS18" s="268">
        <f t="shared" si="41"/>
        <v>2.6237218578164074</v>
      </c>
      <c r="AT18" s="269">
        <v>6673.09</v>
      </c>
      <c r="AU18" s="269">
        <v>7121.84</v>
      </c>
      <c r="AV18" s="249">
        <f>((AU18-AT18)/AT18)*100</f>
        <v>6.7247706834464989</v>
      </c>
      <c r="AW18" s="250"/>
      <c r="AX18" s="250" t="s">
        <v>63</v>
      </c>
      <c r="AY18" s="269">
        <v>5886.98</v>
      </c>
      <c r="AZ18" s="269">
        <v>6673.09</v>
      </c>
      <c r="BA18" s="268">
        <f t="shared" si="43"/>
        <v>13.353366242113966</v>
      </c>
      <c r="BB18" s="269">
        <v>5329.61</v>
      </c>
      <c r="BC18" s="269">
        <v>6673.09</v>
      </c>
      <c r="BD18" s="249">
        <f>((BC18-BB18)/BB18)*100</f>
        <v>25.20784822904491</v>
      </c>
      <c r="BE18" s="250"/>
      <c r="BF18" s="250" t="s">
        <v>63</v>
      </c>
      <c r="BG18" s="269">
        <v>5346.67</v>
      </c>
      <c r="BH18" s="269">
        <v>5329.61</v>
      </c>
      <c r="BI18" s="268">
        <f t="shared" si="26"/>
        <v>-0.31907710780729687</v>
      </c>
      <c r="BJ18" s="269">
        <v>4777.3100000000004</v>
      </c>
      <c r="BK18" s="269">
        <v>5329.61</v>
      </c>
      <c r="BL18" s="249">
        <f>((BK18-BJ18)/BJ18)*100</f>
        <v>11.560899334562739</v>
      </c>
      <c r="BN18" s="250"/>
      <c r="BO18" s="250" t="s">
        <v>63</v>
      </c>
      <c r="BP18" s="269">
        <v>4330.1899999999996</v>
      </c>
      <c r="BQ18" s="269">
        <v>4777.3100000000004</v>
      </c>
      <c r="BR18" s="268">
        <f t="shared" si="27"/>
        <v>10.325643909389678</v>
      </c>
      <c r="BS18" s="269">
        <v>4596.3900000000003</v>
      </c>
      <c r="BT18" s="269">
        <v>4777.3100000000004</v>
      </c>
      <c r="BU18" s="249">
        <f t="shared" si="9"/>
        <v>3.9361324865818621</v>
      </c>
      <c r="BW18" s="250"/>
      <c r="BX18" s="250" t="s">
        <v>63</v>
      </c>
      <c r="BY18" s="269" t="e">
        <f>'พ.ย. '!CK18</f>
        <v>#REF!</v>
      </c>
      <c r="BZ18" s="269" t="e">
        <f>#REF!</f>
        <v>#REF!</v>
      </c>
      <c r="CA18" s="268" t="e">
        <f t="shared" si="28"/>
        <v>#REF!</v>
      </c>
      <c r="CB18" s="269" t="e">
        <f>#REF!</f>
        <v>#REF!</v>
      </c>
      <c r="CC18" s="269" t="e">
        <f t="shared" si="10"/>
        <v>#REF!</v>
      </c>
      <c r="CD18" s="249" t="e">
        <f t="shared" si="11"/>
        <v>#REF!</v>
      </c>
      <c r="CE18" s="249"/>
      <c r="CF18" s="250"/>
      <c r="CG18" s="250" t="s">
        <v>63</v>
      </c>
      <c r="CH18" s="269">
        <v>3581.27</v>
      </c>
      <c r="CI18" s="269">
        <v>4400.1499999999996</v>
      </c>
      <c r="CJ18" s="268">
        <f t="shared" si="29"/>
        <v>22.865631465932466</v>
      </c>
      <c r="CK18" s="269">
        <v>4839.41</v>
      </c>
      <c r="CL18" s="269">
        <v>4400.1499999999996</v>
      </c>
      <c r="CM18" s="249">
        <f t="shared" si="30"/>
        <v>-9.0767262951475534</v>
      </c>
      <c r="CN18" s="73"/>
      <c r="CO18" s="232"/>
      <c r="CP18" s="232" t="s">
        <v>63</v>
      </c>
      <c r="CQ18" s="243">
        <v>4758.21</v>
      </c>
      <c r="CR18" s="243">
        <v>4839.41</v>
      </c>
      <c r="CS18" s="231">
        <f t="shared" si="15"/>
        <v>1.7065240920430123</v>
      </c>
      <c r="CT18" s="235">
        <v>2912.95</v>
      </c>
      <c r="CU18" s="243">
        <v>4839.41</v>
      </c>
      <c r="CV18" s="231">
        <f t="shared" si="16"/>
        <v>66.134331176298943</v>
      </c>
      <c r="CW18" s="73"/>
      <c r="CX18" s="202"/>
      <c r="CY18" s="202" t="s">
        <v>63</v>
      </c>
      <c r="CZ18" s="205">
        <v>2594.46</v>
      </c>
      <c r="DA18" s="205">
        <v>2912.95</v>
      </c>
      <c r="DB18" s="201">
        <f t="shared" si="17"/>
        <v>12.275772222350692</v>
      </c>
      <c r="DC18" s="205">
        <v>1614.05</v>
      </c>
      <c r="DD18" s="205">
        <v>2912.95</v>
      </c>
      <c r="DE18" s="201">
        <f t="shared" si="18"/>
        <v>80.474582571791458</v>
      </c>
      <c r="DF18" s="73"/>
      <c r="DG18" s="103"/>
      <c r="DH18" s="103" t="s">
        <v>63</v>
      </c>
      <c r="DI18" s="106">
        <v>336.21</v>
      </c>
      <c r="DJ18" s="106">
        <v>1614.05</v>
      </c>
      <c r="DK18" s="102">
        <f t="shared" si="19"/>
        <v>380.0719788227596</v>
      </c>
      <c r="DL18" s="106">
        <v>2611.31</v>
      </c>
      <c r="DM18" s="106">
        <v>1614.05</v>
      </c>
      <c r="DN18" s="102">
        <f t="shared" si="20"/>
        <v>-38.190027227713294</v>
      </c>
      <c r="DO18" s="73"/>
      <c r="DP18" s="24"/>
      <c r="DQ18" s="24" t="s">
        <v>63</v>
      </c>
      <c r="DR18" s="132">
        <v>2554.63</v>
      </c>
      <c r="DS18" s="132">
        <v>2611.31</v>
      </c>
      <c r="DT18" s="128">
        <f t="shared" si="12"/>
        <v>2.2187166047529323</v>
      </c>
      <c r="DU18" s="124">
        <v>1847.88</v>
      </c>
      <c r="DV18" s="132">
        <v>2611.31</v>
      </c>
      <c r="DW18" s="128">
        <f t="shared" si="21"/>
        <v>41.3138299023746</v>
      </c>
      <c r="DX18" s="130"/>
      <c r="DY18" s="103"/>
      <c r="DZ18" s="103" t="s">
        <v>63</v>
      </c>
      <c r="EA18" s="106">
        <v>1817.36</v>
      </c>
      <c r="EB18" s="106">
        <v>1847.88</v>
      </c>
      <c r="EC18" s="112">
        <f t="shared" si="22"/>
        <v>1.6793590702997871</v>
      </c>
      <c r="ED18" s="106">
        <v>2877.11</v>
      </c>
      <c r="EE18" s="106">
        <v>1847.88</v>
      </c>
      <c r="EF18" s="112">
        <f t="shared" si="23"/>
        <v>-35.773050039796878</v>
      </c>
      <c r="EG18" s="61"/>
      <c r="EH18" s="77"/>
      <c r="EI18" s="77" t="s">
        <v>63</v>
      </c>
      <c r="EJ18" s="82">
        <v>2763.42</v>
      </c>
      <c r="EK18" s="82">
        <v>2877.11</v>
      </c>
      <c r="EL18" s="79">
        <f t="shared" si="24"/>
        <v>4.1141049858508678</v>
      </c>
      <c r="EM18" s="83">
        <v>2291.58</v>
      </c>
      <c r="EN18" s="82">
        <v>2877.11</v>
      </c>
      <c r="EO18" s="79">
        <f t="shared" si="25"/>
        <v>25.551366306216682</v>
      </c>
      <c r="EP18" s="61"/>
      <c r="EQ18" s="42"/>
      <c r="ER18" s="42" t="s">
        <v>63</v>
      </c>
      <c r="ES18" s="66">
        <v>2452.0100000000002</v>
      </c>
      <c r="ET18" s="66">
        <v>2291.58</v>
      </c>
      <c r="EU18" s="44">
        <f t="shared" si="13"/>
        <v>-6.5427955024653359</v>
      </c>
      <c r="EV18" s="67">
        <v>1984.62</v>
      </c>
      <c r="EW18" s="66">
        <v>2291.58</v>
      </c>
      <c r="EX18" s="44">
        <f t="shared" si="14"/>
        <v>15.46694077455634</v>
      </c>
      <c r="EY18" s="61"/>
    </row>
    <row r="19" spans="1:159" x14ac:dyDescent="0.5">
      <c r="FC19" t="s">
        <v>80</v>
      </c>
    </row>
    <row r="20" spans="1:159" x14ac:dyDescent="0.5">
      <c r="C20" s="62" t="s">
        <v>893</v>
      </c>
      <c r="F20" s="375"/>
      <c r="G20" s="375"/>
      <c r="K20" s="62" t="s">
        <v>805</v>
      </c>
      <c r="S20" s="62" t="s">
        <v>757</v>
      </c>
      <c r="AA20" s="62" t="s">
        <v>714</v>
      </c>
      <c r="AI20" s="62" t="s">
        <v>664</v>
      </c>
      <c r="AQ20" s="62" t="s">
        <v>621</v>
      </c>
      <c r="AY20" s="62" t="s">
        <v>575</v>
      </c>
      <c r="BG20" s="62" t="s">
        <v>532</v>
      </c>
      <c r="BP20" s="62" t="s">
        <v>474</v>
      </c>
      <c r="BY20" s="62" t="s">
        <v>419</v>
      </c>
      <c r="CH20" s="171" t="s">
        <v>370</v>
      </c>
      <c r="CQ20" s="171" t="s">
        <v>324</v>
      </c>
      <c r="CZ20" t="s">
        <v>283</v>
      </c>
      <c r="DI20" t="s">
        <v>243</v>
      </c>
      <c r="DR20" t="s">
        <v>204</v>
      </c>
      <c r="EA20" t="s">
        <v>167</v>
      </c>
      <c r="EJ20" t="s">
        <v>131</v>
      </c>
      <c r="ES20" t="s">
        <v>79</v>
      </c>
    </row>
    <row r="21" spans="1:159" ht="22.5" thickBot="1" x14ac:dyDescent="0.55000000000000004">
      <c r="A21" s="163"/>
      <c r="B21" s="163"/>
      <c r="C21" s="356" t="s">
        <v>891</v>
      </c>
      <c r="D21" s="366" t="s">
        <v>892</v>
      </c>
      <c r="E21" s="302" t="s">
        <v>3</v>
      </c>
      <c r="F21" s="366" t="s">
        <v>854</v>
      </c>
      <c r="G21" s="366" t="s">
        <v>892</v>
      </c>
      <c r="H21" s="302" t="s">
        <v>3</v>
      </c>
      <c r="I21" s="163"/>
      <c r="J21" s="163"/>
      <c r="K21" s="263" t="s">
        <v>806</v>
      </c>
      <c r="L21" s="264" t="s">
        <v>807</v>
      </c>
      <c r="M21" s="302" t="s">
        <v>3</v>
      </c>
      <c r="N21" s="264" t="s">
        <v>755</v>
      </c>
      <c r="O21" s="264" t="s">
        <v>807</v>
      </c>
      <c r="P21" s="302" t="s">
        <v>3</v>
      </c>
      <c r="Q21" s="163"/>
      <c r="R21" s="163"/>
      <c r="S21" s="263" t="s">
        <v>754</v>
      </c>
      <c r="T21" s="264" t="s">
        <v>755</v>
      </c>
      <c r="U21" s="302" t="s">
        <v>3</v>
      </c>
      <c r="V21" s="264" t="s">
        <v>716</v>
      </c>
      <c r="W21" s="264" t="s">
        <v>755</v>
      </c>
      <c r="X21" s="302" t="s">
        <v>3</v>
      </c>
      <c r="Y21" s="163"/>
      <c r="Z21" s="163"/>
      <c r="AA21" s="263" t="s">
        <v>715</v>
      </c>
      <c r="AB21" s="264" t="s">
        <v>716</v>
      </c>
      <c r="AC21" s="302" t="s">
        <v>3</v>
      </c>
      <c r="AD21" s="264" t="s">
        <v>666</v>
      </c>
      <c r="AE21" s="264" t="s">
        <v>716</v>
      </c>
      <c r="AF21" s="302" t="s">
        <v>3</v>
      </c>
      <c r="AG21" s="163"/>
      <c r="AH21" s="163"/>
      <c r="AI21" s="263" t="s">
        <v>665</v>
      </c>
      <c r="AJ21" s="264" t="s">
        <v>666</v>
      </c>
      <c r="AK21" s="302" t="s">
        <v>3</v>
      </c>
      <c r="AL21" s="264" t="s">
        <v>623</v>
      </c>
      <c r="AM21" s="264" t="s">
        <v>666</v>
      </c>
      <c r="AN21" s="302" t="s">
        <v>3</v>
      </c>
      <c r="AO21" s="163"/>
      <c r="AP21" s="163"/>
      <c r="AQ21" s="263">
        <v>22951</v>
      </c>
      <c r="AR21" s="264">
        <v>22981</v>
      </c>
      <c r="AS21" s="302" t="s">
        <v>3</v>
      </c>
      <c r="AT21" s="264">
        <v>22616</v>
      </c>
      <c r="AU21" s="264">
        <v>22981</v>
      </c>
      <c r="AV21" s="302" t="s">
        <v>3</v>
      </c>
      <c r="AW21" s="163"/>
      <c r="AX21" s="163"/>
      <c r="AY21" s="263" t="s">
        <v>573</v>
      </c>
      <c r="AZ21" s="264" t="s">
        <v>574</v>
      </c>
      <c r="BA21" s="302" t="s">
        <v>3</v>
      </c>
      <c r="BB21" s="264" t="s">
        <v>534</v>
      </c>
      <c r="BC21" s="264" t="s">
        <v>574</v>
      </c>
      <c r="BD21" s="302" t="s">
        <v>3</v>
      </c>
      <c r="BE21" s="163"/>
      <c r="BF21" s="163"/>
      <c r="BG21" s="263" t="s">
        <v>533</v>
      </c>
      <c r="BH21" s="264" t="s">
        <v>534</v>
      </c>
      <c r="BI21" s="302" t="s">
        <v>3</v>
      </c>
      <c r="BJ21" s="264" t="s">
        <v>476</v>
      </c>
      <c r="BK21" s="264" t="s">
        <v>534</v>
      </c>
      <c r="BL21" s="302" t="s">
        <v>3</v>
      </c>
      <c r="BN21" s="163"/>
      <c r="BO21" s="163"/>
      <c r="BP21" s="263" t="s">
        <v>475</v>
      </c>
      <c r="BQ21" s="264" t="s">
        <v>476</v>
      </c>
      <c r="BR21" s="302" t="s">
        <v>3</v>
      </c>
      <c r="BS21" s="264" t="s">
        <v>477</v>
      </c>
      <c r="BT21" s="264" t="s">
        <v>476</v>
      </c>
      <c r="BU21" s="302" t="s">
        <v>3</v>
      </c>
      <c r="BW21" s="163"/>
      <c r="BX21" s="163"/>
      <c r="BY21" s="263" t="str">
        <f t="shared" ref="BY21:CD21" si="44">BY2</f>
        <v>พย 58</v>
      </c>
      <c r="BZ21" s="264" t="str">
        <f t="shared" si="44"/>
        <v>ธค 58</v>
      </c>
      <c r="CA21" s="302" t="str">
        <f t="shared" si="44"/>
        <v>ร้อยละ</v>
      </c>
      <c r="CB21" s="264" t="str">
        <f t="shared" si="44"/>
        <v>ธค 57</v>
      </c>
      <c r="CC21" s="264" t="str">
        <f t="shared" si="44"/>
        <v>ธค 58</v>
      </c>
      <c r="CD21" s="302" t="str">
        <f t="shared" si="44"/>
        <v>ร้อยละ</v>
      </c>
      <c r="CE21" s="265"/>
      <c r="CF21" s="163"/>
      <c r="CG21" s="163"/>
      <c r="CH21" s="263" t="s">
        <v>371</v>
      </c>
      <c r="CI21" s="264" t="s">
        <v>372</v>
      </c>
      <c r="CJ21" s="265" t="s">
        <v>3</v>
      </c>
      <c r="CK21" s="264" t="s">
        <v>325</v>
      </c>
      <c r="CL21" s="264" t="s">
        <v>372</v>
      </c>
      <c r="CM21" s="265" t="s">
        <v>3</v>
      </c>
      <c r="CN21" s="62"/>
      <c r="CO21" s="239"/>
      <c r="CP21" s="239"/>
      <c r="CQ21" s="240" t="s">
        <v>321</v>
      </c>
      <c r="CR21" s="246" t="s">
        <v>325</v>
      </c>
      <c r="CS21" s="239" t="s">
        <v>3</v>
      </c>
      <c r="CT21" s="241" t="s">
        <v>282</v>
      </c>
      <c r="CU21" s="246" t="s">
        <v>325</v>
      </c>
      <c r="CV21" s="239" t="s">
        <v>3</v>
      </c>
      <c r="CW21" s="62"/>
      <c r="CX21" s="163"/>
      <c r="CY21" s="163"/>
      <c r="CZ21" s="175" t="s">
        <v>280</v>
      </c>
      <c r="DA21" s="172" t="s">
        <v>285</v>
      </c>
      <c r="DB21" s="163" t="s">
        <v>3</v>
      </c>
      <c r="DC21" s="172" t="s">
        <v>242</v>
      </c>
      <c r="DD21" s="172" t="s">
        <v>282</v>
      </c>
      <c r="DE21" s="163" t="s">
        <v>3</v>
      </c>
      <c r="DF21" s="62"/>
      <c r="DG21" s="141"/>
      <c r="DH21" s="141"/>
      <c r="DI21" s="144" t="s">
        <v>239</v>
      </c>
      <c r="DJ21" s="144" t="s">
        <v>244</v>
      </c>
      <c r="DK21" s="141" t="s">
        <v>3</v>
      </c>
      <c r="DL21" s="146" t="s">
        <v>202</v>
      </c>
      <c r="DM21" s="144" t="s">
        <v>242</v>
      </c>
      <c r="DN21" s="141" t="s">
        <v>3</v>
      </c>
      <c r="DO21" s="62"/>
      <c r="DP21" s="95"/>
      <c r="DQ21" s="95"/>
      <c r="DR21" s="96" t="s">
        <v>202</v>
      </c>
      <c r="DS21" s="96" t="s">
        <v>205</v>
      </c>
      <c r="DT21" s="95" t="s">
        <v>3</v>
      </c>
      <c r="DU21" s="96" t="s">
        <v>168</v>
      </c>
      <c r="DV21" s="96" t="s">
        <v>205</v>
      </c>
      <c r="DW21" s="95" t="s">
        <v>3</v>
      </c>
      <c r="DX21" s="62"/>
      <c r="DY21" s="54"/>
      <c r="DZ21" s="54"/>
      <c r="EA21" s="55" t="s">
        <v>165</v>
      </c>
      <c r="EB21" s="55" t="s">
        <v>168</v>
      </c>
      <c r="EC21" s="54" t="s">
        <v>3</v>
      </c>
      <c r="ED21" s="55" t="s">
        <v>128</v>
      </c>
      <c r="EE21" s="55" t="s">
        <v>168</v>
      </c>
      <c r="EF21" s="54" t="s">
        <v>3</v>
      </c>
      <c r="EG21" s="62"/>
      <c r="EH21" s="95"/>
      <c r="EI21" s="95"/>
      <c r="EJ21" s="96">
        <v>18933</v>
      </c>
      <c r="EK21" s="96">
        <v>18963</v>
      </c>
      <c r="EL21" s="95" t="s">
        <v>3</v>
      </c>
      <c r="EM21" s="96" t="s">
        <v>129</v>
      </c>
      <c r="EN21" s="96" t="s">
        <v>128</v>
      </c>
      <c r="EO21" s="95" t="s">
        <v>3</v>
      </c>
      <c r="EP21" s="62"/>
      <c r="EQ21" s="54"/>
      <c r="ER21" s="54"/>
      <c r="ES21" s="55">
        <v>18568</v>
      </c>
      <c r="ET21" s="55">
        <v>18598</v>
      </c>
      <c r="EU21" s="54" t="s">
        <v>3</v>
      </c>
      <c r="EV21" s="55">
        <v>18233</v>
      </c>
      <c r="EW21" s="55">
        <v>18598</v>
      </c>
      <c r="EX21" s="54" t="s">
        <v>3</v>
      </c>
      <c r="EY21" s="62"/>
    </row>
    <row r="22" spans="1:159" x14ac:dyDescent="0.5">
      <c r="A22" s="165" t="s">
        <v>0</v>
      </c>
      <c r="B22" s="165"/>
      <c r="C22" s="238">
        <v>130222</v>
      </c>
      <c r="D22" s="380">
        <v>113855</v>
      </c>
      <c r="E22" s="167">
        <f>((D22-C22)/C22)*100</f>
        <v>-12.568536806376803</v>
      </c>
      <c r="F22" s="292">
        <v>104878</v>
      </c>
      <c r="G22" s="380">
        <v>113855</v>
      </c>
      <c r="H22" s="167">
        <f t="shared" ref="H22:H32" si="45">((G22-F22)/F22)*100</f>
        <v>8.5594690974274865</v>
      </c>
      <c r="I22" s="165" t="s">
        <v>0</v>
      </c>
      <c r="J22" s="165"/>
      <c r="K22" s="238">
        <v>163337</v>
      </c>
      <c r="L22" s="292">
        <v>133621</v>
      </c>
      <c r="M22" s="167">
        <f>((L22-K22)/K22)*100</f>
        <v>-18.193060972100628</v>
      </c>
      <c r="N22" s="292">
        <v>158606</v>
      </c>
      <c r="O22" s="292">
        <v>133621</v>
      </c>
      <c r="P22" s="167">
        <f t="shared" ref="P22:P32" si="46">((O22-N22)/N22)*100</f>
        <v>-15.752871896397361</v>
      </c>
      <c r="Q22" s="165" t="s">
        <v>0</v>
      </c>
      <c r="R22" s="165"/>
      <c r="S22" s="292">
        <v>190155</v>
      </c>
      <c r="T22" s="292">
        <v>158606</v>
      </c>
      <c r="U22" s="167">
        <f>((T22-S22)/S22)*100</f>
        <v>-16.591201914227867</v>
      </c>
      <c r="V22" s="292">
        <v>154368</v>
      </c>
      <c r="W22" s="292">
        <v>158606</v>
      </c>
      <c r="X22" s="167">
        <f t="shared" ref="X22:X32" si="47">((W22-V22)/V22)*100</f>
        <v>2.7453876451077943</v>
      </c>
      <c r="Y22" s="165" t="s">
        <v>0</v>
      </c>
      <c r="Z22" s="165"/>
      <c r="AA22" s="292">
        <v>165353</v>
      </c>
      <c r="AB22" s="292">
        <v>154368</v>
      </c>
      <c r="AC22" s="167">
        <f>((AB22-AA22)/AA22)*100</f>
        <v>-6.6433629870640392</v>
      </c>
      <c r="AD22" s="292">
        <v>143073</v>
      </c>
      <c r="AE22" s="292">
        <v>154368</v>
      </c>
      <c r="AF22" s="167">
        <f t="shared" ref="AF22:AF32" si="48">((AE22-AD22)/AD22)*100</f>
        <v>7.894571302761527</v>
      </c>
      <c r="AG22" s="165" t="s">
        <v>0</v>
      </c>
      <c r="AH22" s="165"/>
      <c r="AI22" s="292">
        <v>172455</v>
      </c>
      <c r="AJ22" s="292">
        <v>143073</v>
      </c>
      <c r="AK22" s="167">
        <f>((AJ22-AI22)/AI22)*100</f>
        <v>-17.037488040358355</v>
      </c>
      <c r="AL22" s="292">
        <v>134208</v>
      </c>
      <c r="AM22" s="292">
        <v>143073</v>
      </c>
      <c r="AN22" s="167">
        <f t="shared" ref="AN22:AN32" si="49">((AM22-AL22)/AL22)*100</f>
        <v>6.6054184549356227</v>
      </c>
      <c r="AO22" s="165" t="s">
        <v>0</v>
      </c>
      <c r="AP22" s="165"/>
      <c r="AQ22" s="292">
        <v>154088</v>
      </c>
      <c r="AR22" s="292">
        <v>134208</v>
      </c>
      <c r="AS22" s="167">
        <f>((AR22-AQ22)/AQ22)*100</f>
        <v>-12.901718498520326</v>
      </c>
      <c r="AT22" s="292">
        <v>169355</v>
      </c>
      <c r="AU22" s="292">
        <v>134208</v>
      </c>
      <c r="AV22" s="167">
        <f t="shared" ref="AV22:AV32" si="50">((AU22-AT22)/AT22)*100</f>
        <v>-20.753446901479141</v>
      </c>
      <c r="AW22" s="165" t="s">
        <v>0</v>
      </c>
      <c r="AX22" s="165"/>
      <c r="AY22" s="292">
        <v>197020</v>
      </c>
      <c r="AZ22" s="292">
        <v>169355</v>
      </c>
      <c r="BA22" s="167">
        <f>((AZ22-AY22)/AY22)*100</f>
        <v>-14.041721652624098</v>
      </c>
      <c r="BB22" s="292">
        <v>157207</v>
      </c>
      <c r="BC22" s="292">
        <v>169355</v>
      </c>
      <c r="BD22" s="167">
        <f t="shared" ref="BD22:BD32" si="51">((BC22-BB22)/BB22)*100</f>
        <v>7.7273912739254618</v>
      </c>
      <c r="BE22" s="165" t="s">
        <v>0</v>
      </c>
      <c r="BF22" s="165"/>
      <c r="BG22" s="292">
        <v>190385</v>
      </c>
      <c r="BH22" s="292">
        <v>157207</v>
      </c>
      <c r="BI22" s="167">
        <f>((BH22-BG22)/BG22)*100</f>
        <v>-17.426793077185703</v>
      </c>
      <c r="BJ22" s="292">
        <v>135792</v>
      </c>
      <c r="BK22" s="292">
        <v>157207</v>
      </c>
      <c r="BL22" s="167">
        <f t="shared" ref="BL22:BL32" si="52">((BK22-BJ22)/BJ22)*100</f>
        <v>15.770443030517262</v>
      </c>
      <c r="BN22" s="165" t="s">
        <v>0</v>
      </c>
      <c r="BO22" s="165"/>
      <c r="BP22" s="292">
        <v>170784</v>
      </c>
      <c r="BQ22" s="292">
        <v>135792</v>
      </c>
      <c r="BR22" s="167">
        <f>((BQ22-BP22)/BP22)*100</f>
        <v>-20.489038785834737</v>
      </c>
      <c r="BS22" s="292">
        <v>152692</v>
      </c>
      <c r="BT22" s="292">
        <v>135792</v>
      </c>
      <c r="BU22" s="167">
        <f t="shared" ref="BU22:BU32" si="53">((BT22-BS22)/BS22)*100</f>
        <v>-11.068032378906558</v>
      </c>
      <c r="BW22" s="165" t="s">
        <v>0</v>
      </c>
      <c r="BX22" s="165"/>
      <c r="BY22" s="292" t="e">
        <f>'พ.ย. '!CK22</f>
        <v>#REF!</v>
      </c>
      <c r="BZ22" s="292" t="e">
        <f>CC22</f>
        <v>#REF!</v>
      </c>
      <c r="CA22" s="167" t="e">
        <f>((BZ22-BY22)/BY22)*100</f>
        <v>#REF!</v>
      </c>
      <c r="CB22" s="292">
        <f t="shared" ref="CB22:CB32" si="54">CI22</f>
        <v>153669</v>
      </c>
      <c r="CC22" s="292" t="e">
        <f>#REF!</f>
        <v>#REF!</v>
      </c>
      <c r="CD22" s="167" t="e">
        <f t="shared" ref="CD22:CD32" si="55">((CC22-CB22)/CB22)*100</f>
        <v>#REF!</v>
      </c>
      <c r="CE22" s="167"/>
      <c r="CF22" s="165" t="s">
        <v>0</v>
      </c>
      <c r="CG22" s="165"/>
      <c r="CH22" s="270">
        <v>158038</v>
      </c>
      <c r="CI22" s="271">
        <v>153669</v>
      </c>
      <c r="CJ22" s="167">
        <f>((CI22-CH22)/CH22)*100</f>
        <v>-2.7645249876611953</v>
      </c>
      <c r="CK22" s="271">
        <f>SUM(CK23:CK25)</f>
        <v>158893</v>
      </c>
      <c r="CL22" s="271">
        <v>153669</v>
      </c>
      <c r="CM22" s="167">
        <f t="shared" ref="CM22:CM32" si="56">((CL22-CK22)/CK22)*100</f>
        <v>-3.2877471002498533</v>
      </c>
      <c r="CN22" s="73"/>
      <c r="CO22" s="224" t="s">
        <v>0</v>
      </c>
      <c r="CP22" s="224"/>
      <c r="CQ22" s="238">
        <v>182818</v>
      </c>
      <c r="CR22" s="238">
        <v>158893</v>
      </c>
      <c r="CS22" s="225">
        <f>((CR22-CQ22)/CQ22)*100</f>
        <v>-13.086785765077838</v>
      </c>
      <c r="CT22" s="238">
        <v>221353</v>
      </c>
      <c r="CU22" s="238">
        <v>158893</v>
      </c>
      <c r="CV22" s="225">
        <f>((CU22-CT22)/CT22)*100</f>
        <v>-28.217372251561983</v>
      </c>
      <c r="CW22" s="73"/>
      <c r="CX22" s="165" t="s">
        <v>0</v>
      </c>
      <c r="CY22" s="165"/>
      <c r="CZ22" s="166">
        <f>SUM(CZ23:CZ25)</f>
        <v>256581</v>
      </c>
      <c r="DA22" s="166">
        <f>SUM(DA23:DA25)</f>
        <v>221353</v>
      </c>
      <c r="DB22" s="167">
        <f>((DA22-CZ22)/CZ22)*100</f>
        <v>-13.729777341268449</v>
      </c>
      <c r="DC22" s="166">
        <f>SUM(DC23:DC25)</f>
        <v>99426</v>
      </c>
      <c r="DD22" s="166">
        <f>SUM(DD23:DD25)</f>
        <v>221353</v>
      </c>
      <c r="DE22" s="167">
        <f>((DD22-DC22)/DC22)*100</f>
        <v>122.6309013738861</v>
      </c>
      <c r="DF22" s="73"/>
      <c r="DG22" s="150" t="s">
        <v>0</v>
      </c>
      <c r="DH22" s="150"/>
      <c r="DI22" s="147">
        <f>SUM(DI23:DI25)</f>
        <v>23695</v>
      </c>
      <c r="DJ22" s="147">
        <f>SUM(DJ23:DJ25)</f>
        <v>99426</v>
      </c>
      <c r="DK22" s="151">
        <f>((DJ22-DI22)/DI22)*100</f>
        <v>319.60751213336147</v>
      </c>
      <c r="DL22" s="147">
        <v>137403</v>
      </c>
      <c r="DM22" s="147">
        <f>SUM(DM23:DM25)</f>
        <v>96426</v>
      </c>
      <c r="DN22" s="151">
        <f>((DM22-DL22)/DL22)*100</f>
        <v>-29.822492958669024</v>
      </c>
      <c r="DO22" s="73"/>
      <c r="DP22" s="86" t="s">
        <v>0</v>
      </c>
      <c r="DQ22" s="86"/>
      <c r="DR22" s="87">
        <f>SUM(DR23:DR25)</f>
        <v>157982</v>
      </c>
      <c r="DS22" s="87">
        <f>SUM(DS23:DS25)</f>
        <v>137403</v>
      </c>
      <c r="DT22" s="126">
        <f>((DS22-DR22)/DR22)*100</f>
        <v>-13.026167538073958</v>
      </c>
      <c r="DU22" s="87">
        <v>111722</v>
      </c>
      <c r="DV22" s="87">
        <f>SUM(DV23:DV25)</f>
        <v>137403</v>
      </c>
      <c r="DW22" s="126">
        <f>((DV22-DU22)/DU22)*100</f>
        <v>22.986520112421903</v>
      </c>
      <c r="DX22" s="127"/>
      <c r="DY22" s="63" t="s">
        <v>0</v>
      </c>
      <c r="DZ22" s="63"/>
      <c r="EA22" s="68">
        <f>SUM(EA23:EA25)</f>
        <v>120985</v>
      </c>
      <c r="EB22" s="114">
        <f>SUM(EB23:EB25)</f>
        <v>111722</v>
      </c>
      <c r="EC22" s="65">
        <f>((EB22-EA22)/EA22)*100</f>
        <v>-7.6563210315328352</v>
      </c>
      <c r="ED22" s="68">
        <v>84602</v>
      </c>
      <c r="EE22" s="114">
        <v>111722</v>
      </c>
      <c r="EF22" s="65">
        <f>((EE22-ED22)/ED22)*100</f>
        <v>32.055979764071772</v>
      </c>
      <c r="EG22" s="73"/>
      <c r="EH22" s="86" t="s">
        <v>0</v>
      </c>
      <c r="EI22" s="86"/>
      <c r="EJ22" s="87">
        <f>SUM(EJ23:EJ25)</f>
        <v>116041</v>
      </c>
      <c r="EK22" s="87">
        <v>84602</v>
      </c>
      <c r="EL22" s="88">
        <f>((EK22-EJ22)/EJ22)*100</f>
        <v>-27.09301022914315</v>
      </c>
      <c r="EM22" s="87">
        <f>SUM(EM23:EM25)</f>
        <v>105024</v>
      </c>
      <c r="EN22" s="87">
        <f>SUM(EN23:EN25)</f>
        <v>84602</v>
      </c>
      <c r="EO22" s="88">
        <f>((EN22-EM22)/EM22)*100</f>
        <v>-19.445079219987811</v>
      </c>
      <c r="EP22" s="73"/>
      <c r="EQ22" s="63" t="s">
        <v>0</v>
      </c>
      <c r="ER22" s="63"/>
      <c r="ES22" s="68">
        <f>SUM(ES23:ES25)</f>
        <v>125071</v>
      </c>
      <c r="ET22" s="68">
        <f>SUM(ET23:ET25)</f>
        <v>105024</v>
      </c>
      <c r="EU22" s="65">
        <f t="shared" ref="EU22:EU32" si="57">(ET22-ES22)/ES22*100</f>
        <v>-16.028495814377433</v>
      </c>
      <c r="EV22" s="68">
        <f>SUM(EV23:EV25)</f>
        <v>91751</v>
      </c>
      <c r="EW22" s="68">
        <f>SUM(EW23:EW25)</f>
        <v>105024</v>
      </c>
      <c r="EX22" s="65">
        <f t="shared" ref="EX22:EX32" si="58">(EW22-EV22)/EV22*100</f>
        <v>14.46632734248128</v>
      </c>
      <c r="EY22" s="73"/>
    </row>
    <row r="23" spans="1:159" x14ac:dyDescent="0.5">
      <c r="A23" s="168"/>
      <c r="B23" s="168" t="s">
        <v>51</v>
      </c>
      <c r="C23" s="227">
        <v>52006</v>
      </c>
      <c r="D23" s="381">
        <v>45087</v>
      </c>
      <c r="E23" s="167">
        <f>((D23-C23)/C23)*100</f>
        <v>-13.304234126831519</v>
      </c>
      <c r="F23" s="272">
        <v>37893</v>
      </c>
      <c r="G23" s="381">
        <v>45087</v>
      </c>
      <c r="H23" s="167">
        <f t="shared" si="45"/>
        <v>18.985036814187318</v>
      </c>
      <c r="I23" s="168"/>
      <c r="J23" s="168" t="s">
        <v>51</v>
      </c>
      <c r="K23" s="227">
        <v>59532</v>
      </c>
      <c r="L23" s="272">
        <v>49422</v>
      </c>
      <c r="M23" s="167">
        <f>((L23-K23)/K23)*100</f>
        <v>-16.982463213061884</v>
      </c>
      <c r="N23" s="272">
        <v>53731</v>
      </c>
      <c r="O23" s="272">
        <v>49422</v>
      </c>
      <c r="P23" s="167">
        <f t="shared" si="46"/>
        <v>-8.0195790139770331</v>
      </c>
      <c r="Q23" s="168"/>
      <c r="R23" s="168" t="s">
        <v>51</v>
      </c>
      <c r="S23" s="272">
        <v>69060</v>
      </c>
      <c r="T23" s="272">
        <v>53731</v>
      </c>
      <c r="U23" s="167">
        <f>((T23-S23)/S23)*100</f>
        <v>-22.196640602374746</v>
      </c>
      <c r="V23" s="272">
        <v>49868</v>
      </c>
      <c r="W23" s="272">
        <v>53731</v>
      </c>
      <c r="X23" s="167">
        <f t="shared" si="47"/>
        <v>7.7464506296623092</v>
      </c>
      <c r="Y23" s="168"/>
      <c r="Z23" s="168" t="s">
        <v>51</v>
      </c>
      <c r="AA23" s="272">
        <v>55572</v>
      </c>
      <c r="AB23" s="272">
        <v>49868</v>
      </c>
      <c r="AC23" s="167">
        <f>((AB23-AA23)/AA23)*100</f>
        <v>-10.2641618081048</v>
      </c>
      <c r="AD23" s="272">
        <v>53737</v>
      </c>
      <c r="AE23" s="272">
        <v>49868</v>
      </c>
      <c r="AF23" s="167">
        <f t="shared" si="48"/>
        <v>-7.1998809014273215</v>
      </c>
      <c r="AG23" s="168"/>
      <c r="AH23" s="168" t="s">
        <v>51</v>
      </c>
      <c r="AI23" s="272">
        <v>65740</v>
      </c>
      <c r="AJ23" s="272">
        <v>53737</v>
      </c>
      <c r="AK23" s="167">
        <f>((AJ23-AI23)/AI23)*100</f>
        <v>-18.258290234256162</v>
      </c>
      <c r="AL23" s="272">
        <v>51379</v>
      </c>
      <c r="AM23" s="272">
        <v>53737</v>
      </c>
      <c r="AN23" s="167">
        <f t="shared" si="49"/>
        <v>4.5894236945055376</v>
      </c>
      <c r="AO23" s="168"/>
      <c r="AP23" s="168" t="s">
        <v>51</v>
      </c>
      <c r="AQ23" s="272">
        <v>60077</v>
      </c>
      <c r="AR23" s="272">
        <v>51379</v>
      </c>
      <c r="AS23" s="167">
        <f>((AR23-AQ23)/AQ23)*100</f>
        <v>-14.478086455715166</v>
      </c>
      <c r="AT23" s="272">
        <v>66484</v>
      </c>
      <c r="AU23" s="272">
        <v>51379</v>
      </c>
      <c r="AV23" s="167">
        <f t="shared" si="50"/>
        <v>-22.71975212081102</v>
      </c>
      <c r="AW23" s="168"/>
      <c r="AX23" s="168" t="s">
        <v>51</v>
      </c>
      <c r="AY23" s="272">
        <v>77899</v>
      </c>
      <c r="AZ23" s="272">
        <v>66484</v>
      </c>
      <c r="BA23" s="167">
        <f>((AZ23-AY23)/AY23)*100</f>
        <v>-14.653589904876826</v>
      </c>
      <c r="BB23" s="272">
        <v>64307</v>
      </c>
      <c r="BC23" s="272">
        <v>66484</v>
      </c>
      <c r="BD23" s="167">
        <f t="shared" si="51"/>
        <v>3.3853235262102106</v>
      </c>
      <c r="BE23" s="168"/>
      <c r="BF23" s="168" t="s">
        <v>51</v>
      </c>
      <c r="BG23" s="272">
        <v>78928</v>
      </c>
      <c r="BH23" s="272">
        <v>64307</v>
      </c>
      <c r="BI23" s="167">
        <f>((BH23-BG23)/BG23)*100</f>
        <v>-18.524478005270627</v>
      </c>
      <c r="BJ23" s="272">
        <v>55918</v>
      </c>
      <c r="BK23" s="272">
        <v>64307</v>
      </c>
      <c r="BL23" s="167">
        <f t="shared" si="52"/>
        <v>15.002324832790872</v>
      </c>
      <c r="BN23" s="168"/>
      <c r="BO23" s="168" t="s">
        <v>51</v>
      </c>
      <c r="BP23" s="272">
        <v>68731</v>
      </c>
      <c r="BQ23" s="272">
        <v>55918</v>
      </c>
      <c r="BR23" s="167">
        <f>((BQ23-BP23)/BP23)*100</f>
        <v>-18.642242947141753</v>
      </c>
      <c r="BS23" s="272">
        <v>56735</v>
      </c>
      <c r="BT23" s="272">
        <v>55918</v>
      </c>
      <c r="BU23" s="167">
        <f t="shared" si="53"/>
        <v>-1.4400282012866836</v>
      </c>
      <c r="BW23" s="168"/>
      <c r="BX23" s="168" t="s">
        <v>51</v>
      </c>
      <c r="BY23" s="272" t="e">
        <f>'พ.ย. '!CK23</f>
        <v>#REF!</v>
      </c>
      <c r="BZ23" s="272" t="e">
        <f>CC23</f>
        <v>#REF!</v>
      </c>
      <c r="CA23" s="167" t="e">
        <f>((BZ23-BY23)/BY23)*100</f>
        <v>#REF!</v>
      </c>
      <c r="CB23" s="272">
        <f t="shared" si="54"/>
        <v>63533</v>
      </c>
      <c r="CC23" s="272" t="e">
        <f>#REF!</f>
        <v>#REF!</v>
      </c>
      <c r="CD23" s="167" t="e">
        <f t="shared" si="55"/>
        <v>#REF!</v>
      </c>
      <c r="CE23" s="167"/>
      <c r="CF23" s="168"/>
      <c r="CG23" s="168" t="s">
        <v>51</v>
      </c>
      <c r="CH23" s="272">
        <v>64869</v>
      </c>
      <c r="CI23" s="272">
        <v>63533</v>
      </c>
      <c r="CJ23" s="167">
        <f>((CI23-CH23)/CH23)*100</f>
        <v>-2.059535371286747</v>
      </c>
      <c r="CK23" s="272">
        <v>64717</v>
      </c>
      <c r="CL23" s="272">
        <v>63533</v>
      </c>
      <c r="CM23" s="167">
        <f t="shared" si="56"/>
        <v>-1.8295038397947989</v>
      </c>
      <c r="CN23" s="73"/>
      <c r="CO23" s="226"/>
      <c r="CP23" s="226" t="s">
        <v>51</v>
      </c>
      <c r="CQ23" s="227">
        <v>75669</v>
      </c>
      <c r="CR23" s="227">
        <v>64717</v>
      </c>
      <c r="CS23" s="225">
        <f t="shared" ref="CS23:CS32" si="59">((CR23-CQ23)/CQ23)*100</f>
        <v>-14.473562489262445</v>
      </c>
      <c r="CT23" s="227">
        <v>97713</v>
      </c>
      <c r="CU23" s="227">
        <v>64717</v>
      </c>
      <c r="CV23" s="225">
        <f t="shared" ref="CV23:CV32" si="60">((CU23-CT23)/CT23)*100</f>
        <v>-33.768280576791213</v>
      </c>
      <c r="CW23" s="73"/>
      <c r="CX23" s="168"/>
      <c r="CY23" s="168" t="s">
        <v>51</v>
      </c>
      <c r="CZ23" s="169">
        <v>112423</v>
      </c>
      <c r="DA23" s="169">
        <v>97713</v>
      </c>
      <c r="DB23" s="167">
        <f t="shared" ref="DB23:DB32" si="61">((DA23-CZ23)/CZ23)*100</f>
        <v>-13.084511176538607</v>
      </c>
      <c r="DC23" s="169">
        <v>34036</v>
      </c>
      <c r="DD23" s="169">
        <v>97713</v>
      </c>
      <c r="DE23" s="167">
        <f t="shared" ref="DE23:DE32" si="62">((DD23-DC23)/DC23)*100</f>
        <v>187.08720178634388</v>
      </c>
      <c r="DF23" s="73"/>
      <c r="DG23" s="152"/>
      <c r="DH23" s="152" t="s">
        <v>51</v>
      </c>
      <c r="DI23" s="148">
        <v>10094</v>
      </c>
      <c r="DJ23" s="148">
        <v>34036</v>
      </c>
      <c r="DK23" s="151">
        <f t="shared" ref="DK23:DK32" si="63">((DJ23-DI23)/DI23)*100</f>
        <v>237.1904101446404</v>
      </c>
      <c r="DL23" s="148">
        <v>50580</v>
      </c>
      <c r="DM23" s="148">
        <v>31036</v>
      </c>
      <c r="DN23" s="151">
        <f t="shared" ref="DN23:DN32" si="64">((DM23-DL23)/DL23)*100</f>
        <v>-38.639778568604193</v>
      </c>
      <c r="DO23" s="73"/>
      <c r="DP23" s="89"/>
      <c r="DQ23" s="89" t="s">
        <v>51</v>
      </c>
      <c r="DR23" s="90">
        <v>57536</v>
      </c>
      <c r="DS23" s="90">
        <v>50580</v>
      </c>
      <c r="DT23" s="129">
        <f t="shared" ref="DT23:DT32" si="65">((DS23-DR23)/DR23)*100</f>
        <v>-12.089822024471635</v>
      </c>
      <c r="DU23" s="90">
        <v>33635</v>
      </c>
      <c r="DV23" s="90">
        <v>50580</v>
      </c>
      <c r="DW23" s="129">
        <f t="shared" ref="DW23:DW32" si="66">((DV23-DU23)/DU23)*100</f>
        <v>50.379069421733313</v>
      </c>
      <c r="DX23" s="130"/>
      <c r="DY23" s="42"/>
      <c r="DZ23" s="42" t="s">
        <v>51</v>
      </c>
      <c r="EA23" s="43">
        <v>36534</v>
      </c>
      <c r="EB23" s="113">
        <v>33635</v>
      </c>
      <c r="EC23" s="44">
        <f t="shared" ref="EC23:EC32" si="67">((EB23-EA23)/EA23)*100</f>
        <v>-7.935074177478513</v>
      </c>
      <c r="ED23" s="43">
        <v>24693</v>
      </c>
      <c r="EE23" s="113">
        <v>33635</v>
      </c>
      <c r="EF23" s="44">
        <f t="shared" ref="EF23:EF32" si="68">((EE23-ED23)/ED23)*100</f>
        <v>36.212691855991572</v>
      </c>
      <c r="EG23" s="61"/>
      <c r="EH23" s="89"/>
      <c r="EI23" s="89" t="s">
        <v>51</v>
      </c>
      <c r="EJ23" s="90">
        <v>33975</v>
      </c>
      <c r="EK23" s="90">
        <v>24693</v>
      </c>
      <c r="EL23" s="91">
        <f t="shared" ref="EL23:EL32" si="69">((EK23-EJ23)/EJ23)*100</f>
        <v>-27.320088300220753</v>
      </c>
      <c r="EM23" s="92">
        <v>24861</v>
      </c>
      <c r="EN23" s="90">
        <v>24693</v>
      </c>
      <c r="EO23" s="91">
        <f t="shared" ref="EO23:EO31" si="70">((EN23-EM23)/EM23)*100</f>
        <v>-0.67575721008808987</v>
      </c>
      <c r="EP23" s="61"/>
      <c r="EQ23" s="42"/>
      <c r="ER23" s="42" t="s">
        <v>51</v>
      </c>
      <c r="ES23" s="43">
        <v>28618</v>
      </c>
      <c r="ET23" s="43">
        <v>24861</v>
      </c>
      <c r="EU23" s="44">
        <f t="shared" si="57"/>
        <v>-13.128101195052066</v>
      </c>
      <c r="EV23" s="45">
        <v>22626</v>
      </c>
      <c r="EW23" s="43">
        <v>24861</v>
      </c>
      <c r="EX23" s="44">
        <f t="shared" si="58"/>
        <v>9.8780164412622646</v>
      </c>
      <c r="EY23" s="61"/>
    </row>
    <row r="24" spans="1:159" x14ac:dyDescent="0.5">
      <c r="A24" s="168"/>
      <c r="B24" s="168" t="s">
        <v>52</v>
      </c>
      <c r="C24" s="227">
        <v>76022</v>
      </c>
      <c r="D24" s="381">
        <v>66475</v>
      </c>
      <c r="E24" s="167">
        <f>((D24-C24)/C24)*100</f>
        <v>-12.558206834863592</v>
      </c>
      <c r="F24" s="272">
        <v>65168</v>
      </c>
      <c r="G24" s="381">
        <v>66475</v>
      </c>
      <c r="H24" s="167">
        <f t="shared" si="45"/>
        <v>2.0055855634667323</v>
      </c>
      <c r="I24" s="168"/>
      <c r="J24" s="168" t="s">
        <v>52</v>
      </c>
      <c r="K24" s="227">
        <v>99234</v>
      </c>
      <c r="L24" s="272">
        <v>80489</v>
      </c>
      <c r="M24" s="167">
        <f>((L24-K24)/K24)*100</f>
        <v>-18.889695064191709</v>
      </c>
      <c r="N24" s="272">
        <v>102362</v>
      </c>
      <c r="O24" s="272">
        <v>80489</v>
      </c>
      <c r="P24" s="167">
        <f t="shared" si="46"/>
        <v>-21.36828119810086</v>
      </c>
      <c r="Q24" s="168"/>
      <c r="R24" s="168" t="s">
        <v>52</v>
      </c>
      <c r="S24" s="272">
        <v>116794</v>
      </c>
      <c r="T24" s="272">
        <v>102362</v>
      </c>
      <c r="U24" s="167">
        <f>((T24-S24)/S24)*100</f>
        <v>-12.356799150641299</v>
      </c>
      <c r="V24" s="272">
        <v>100662</v>
      </c>
      <c r="W24" s="272">
        <v>102362</v>
      </c>
      <c r="X24" s="167">
        <f t="shared" si="47"/>
        <v>1.6888200115237131</v>
      </c>
      <c r="Y24" s="168"/>
      <c r="Z24" s="168" t="s">
        <v>52</v>
      </c>
      <c r="AA24" s="272">
        <v>105197</v>
      </c>
      <c r="AB24" s="272">
        <v>100662</v>
      </c>
      <c r="AC24" s="167">
        <f>((AB24-AA24)/AA24)*100</f>
        <v>-4.3109594380067877</v>
      </c>
      <c r="AD24" s="272">
        <v>86423</v>
      </c>
      <c r="AE24" s="272">
        <v>100662</v>
      </c>
      <c r="AF24" s="167">
        <f t="shared" si="48"/>
        <v>16.475938118324983</v>
      </c>
      <c r="AG24" s="168"/>
      <c r="AH24" s="168" t="s">
        <v>52</v>
      </c>
      <c r="AI24" s="272">
        <v>103153</v>
      </c>
      <c r="AJ24" s="272">
        <v>86423</v>
      </c>
      <c r="AK24" s="167">
        <f>((AJ24-AI24)/AI24)*100</f>
        <v>-16.218626700144444</v>
      </c>
      <c r="AL24" s="272">
        <v>80032</v>
      </c>
      <c r="AM24" s="272">
        <v>86423</v>
      </c>
      <c r="AN24" s="167">
        <f t="shared" si="49"/>
        <v>7.9855557776889246</v>
      </c>
      <c r="AO24" s="168"/>
      <c r="AP24" s="168" t="s">
        <v>52</v>
      </c>
      <c r="AQ24" s="272">
        <v>90761</v>
      </c>
      <c r="AR24" s="272">
        <v>80032</v>
      </c>
      <c r="AS24" s="167">
        <f>((AR24-AQ24)/AQ24)*100</f>
        <v>-11.821156664205992</v>
      </c>
      <c r="AT24" s="272">
        <v>99295</v>
      </c>
      <c r="AU24" s="272">
        <v>80032</v>
      </c>
      <c r="AV24" s="167">
        <f t="shared" si="50"/>
        <v>-19.39976836698726</v>
      </c>
      <c r="AW24" s="168"/>
      <c r="AX24" s="168" t="s">
        <v>52</v>
      </c>
      <c r="AY24" s="272">
        <v>115545</v>
      </c>
      <c r="AZ24" s="272">
        <v>99295</v>
      </c>
      <c r="BA24" s="167">
        <f>((AZ24-AY24)/AY24)*100</f>
        <v>-14.063784672638366</v>
      </c>
      <c r="BB24" s="272">
        <v>89828</v>
      </c>
      <c r="BC24" s="272">
        <v>99295</v>
      </c>
      <c r="BD24" s="167">
        <f t="shared" si="51"/>
        <v>10.539030146502204</v>
      </c>
      <c r="BE24" s="168"/>
      <c r="BF24" s="168" t="s">
        <v>52</v>
      </c>
      <c r="BG24" s="272">
        <v>107608</v>
      </c>
      <c r="BH24" s="272">
        <v>89828</v>
      </c>
      <c r="BI24" s="167">
        <f>((BH24-BG24)/BG24)*100</f>
        <v>-16.522935097762247</v>
      </c>
      <c r="BJ24" s="272">
        <v>76619</v>
      </c>
      <c r="BK24" s="272">
        <v>89828</v>
      </c>
      <c r="BL24" s="167">
        <f t="shared" si="52"/>
        <v>17.239849123585532</v>
      </c>
      <c r="BN24" s="168"/>
      <c r="BO24" s="168" t="s">
        <v>52</v>
      </c>
      <c r="BP24" s="272">
        <v>98274</v>
      </c>
      <c r="BQ24" s="272">
        <v>76619</v>
      </c>
      <c r="BR24" s="167">
        <f>((BQ24-BP24)/BP24)*100</f>
        <v>-22.035329792213606</v>
      </c>
      <c r="BS24" s="272">
        <v>93444</v>
      </c>
      <c r="BT24" s="272">
        <v>76619</v>
      </c>
      <c r="BU24" s="167">
        <f t="shared" si="53"/>
        <v>-18.005436411112537</v>
      </c>
      <c r="BW24" s="168"/>
      <c r="BX24" s="168" t="s">
        <v>52</v>
      </c>
      <c r="BY24" s="272" t="e">
        <f>'พ.ย. '!CK24</f>
        <v>#REF!</v>
      </c>
      <c r="BZ24" s="272" t="e">
        <f>CC24</f>
        <v>#REF!</v>
      </c>
      <c r="CA24" s="167" t="e">
        <f>((BZ24-BY24)/BY24)*100</f>
        <v>#REF!</v>
      </c>
      <c r="CB24" s="272">
        <f t="shared" si="54"/>
        <v>87343</v>
      </c>
      <c r="CC24" s="272" t="e">
        <f>#REF!</f>
        <v>#REF!</v>
      </c>
      <c r="CD24" s="167" t="e">
        <f t="shared" si="55"/>
        <v>#REF!</v>
      </c>
      <c r="CE24" s="167"/>
      <c r="CF24" s="168"/>
      <c r="CG24" s="168" t="s">
        <v>52</v>
      </c>
      <c r="CH24" s="272">
        <v>90221</v>
      </c>
      <c r="CI24" s="272">
        <v>87343</v>
      </c>
      <c r="CJ24" s="167">
        <f>((CI24-CH24)/CH24)*100</f>
        <v>-3.189944691368972</v>
      </c>
      <c r="CK24" s="272">
        <f>8533+34408+48796</f>
        <v>91737</v>
      </c>
      <c r="CL24" s="272">
        <v>87343</v>
      </c>
      <c r="CM24" s="167">
        <f t="shared" si="56"/>
        <v>-4.7897794782912024</v>
      </c>
      <c r="CN24" s="73"/>
      <c r="CO24" s="226"/>
      <c r="CP24" s="226" t="s">
        <v>52</v>
      </c>
      <c r="CQ24" s="227">
        <v>103847</v>
      </c>
      <c r="CR24" s="227">
        <v>91737</v>
      </c>
      <c r="CS24" s="225">
        <f t="shared" si="59"/>
        <v>-11.661386462776969</v>
      </c>
      <c r="CT24" s="227">
        <v>119319</v>
      </c>
      <c r="CU24" s="227">
        <v>91737</v>
      </c>
      <c r="CV24" s="225">
        <f t="shared" si="60"/>
        <v>-23.116184346164484</v>
      </c>
      <c r="CW24" s="73"/>
      <c r="CX24" s="168"/>
      <c r="CY24" s="168" t="s">
        <v>52</v>
      </c>
      <c r="CZ24" s="169">
        <v>139536</v>
      </c>
      <c r="DA24" s="169">
        <v>119319</v>
      </c>
      <c r="DB24" s="167">
        <f t="shared" si="61"/>
        <v>-14.488734090127279</v>
      </c>
      <c r="DC24" s="169">
        <v>63170</v>
      </c>
      <c r="DD24" s="169">
        <v>119319</v>
      </c>
      <c r="DE24" s="167">
        <f t="shared" si="62"/>
        <v>88.885546936837102</v>
      </c>
      <c r="DF24" s="73"/>
      <c r="DG24" s="152"/>
      <c r="DH24" s="152" t="s">
        <v>52</v>
      </c>
      <c r="DI24" s="148">
        <v>12574</v>
      </c>
      <c r="DJ24" s="148">
        <v>63170</v>
      </c>
      <c r="DK24" s="151">
        <f t="shared" si="63"/>
        <v>402.3858756163512</v>
      </c>
      <c r="DL24" s="148">
        <v>84535</v>
      </c>
      <c r="DM24" s="148">
        <v>63170</v>
      </c>
      <c r="DN24" s="151">
        <f t="shared" si="64"/>
        <v>-25.273555332110959</v>
      </c>
      <c r="DO24" s="73"/>
      <c r="DP24" s="89"/>
      <c r="DQ24" s="89" t="s">
        <v>52</v>
      </c>
      <c r="DR24" s="90">
        <v>97608</v>
      </c>
      <c r="DS24" s="90">
        <v>84535</v>
      </c>
      <c r="DT24" s="129">
        <f t="shared" si="65"/>
        <v>-13.393369395951153</v>
      </c>
      <c r="DU24" s="90">
        <v>76473</v>
      </c>
      <c r="DV24" s="90">
        <v>84535</v>
      </c>
      <c r="DW24" s="129">
        <f t="shared" si="66"/>
        <v>10.542282897231702</v>
      </c>
      <c r="DX24" s="130"/>
      <c r="DY24" s="42"/>
      <c r="DZ24" s="42" t="s">
        <v>52</v>
      </c>
      <c r="EA24" s="43">
        <v>82741</v>
      </c>
      <c r="EB24" s="113">
        <v>76473</v>
      </c>
      <c r="EC24" s="44">
        <f t="shared" si="67"/>
        <v>-7.5754462721021012</v>
      </c>
      <c r="ED24" s="43">
        <v>58841</v>
      </c>
      <c r="EE24" s="113">
        <v>76473</v>
      </c>
      <c r="EF24" s="44">
        <f t="shared" si="68"/>
        <v>29.965500246426814</v>
      </c>
      <c r="EG24" s="61"/>
      <c r="EH24" s="89"/>
      <c r="EI24" s="89" t="s">
        <v>52</v>
      </c>
      <c r="EJ24" s="90">
        <v>80750</v>
      </c>
      <c r="EK24" s="90">
        <v>58841</v>
      </c>
      <c r="EL24" s="91">
        <f t="shared" si="69"/>
        <v>-27.131888544891641</v>
      </c>
      <c r="EM24" s="92">
        <v>78268</v>
      </c>
      <c r="EN24" s="90">
        <v>58841</v>
      </c>
      <c r="EO24" s="91">
        <f t="shared" si="70"/>
        <v>-24.821127408391678</v>
      </c>
      <c r="EP24" s="61"/>
      <c r="EQ24" s="42"/>
      <c r="ER24" s="42" t="s">
        <v>52</v>
      </c>
      <c r="ES24" s="43">
        <v>94309</v>
      </c>
      <c r="ET24" s="43">
        <v>78268</v>
      </c>
      <c r="EU24" s="44">
        <f t="shared" si="57"/>
        <v>-17.008981115270018</v>
      </c>
      <c r="EV24" s="45">
        <v>67555</v>
      </c>
      <c r="EW24" s="43">
        <v>78268</v>
      </c>
      <c r="EX24" s="44">
        <f t="shared" si="58"/>
        <v>15.858189623269928</v>
      </c>
      <c r="EY24" s="61"/>
    </row>
    <row r="25" spans="1:159" ht="22.5" thickBot="1" x14ac:dyDescent="0.55000000000000004">
      <c r="A25" s="168"/>
      <c r="B25" s="168" t="s">
        <v>53</v>
      </c>
      <c r="C25" s="227">
        <f>C22-C23-C24</f>
        <v>2194</v>
      </c>
      <c r="D25" s="381">
        <v>2293</v>
      </c>
      <c r="E25" s="167">
        <f>((D25-C25)/C25)*100</f>
        <v>4.5123062898814954</v>
      </c>
      <c r="F25" s="272">
        <v>1817</v>
      </c>
      <c r="G25" s="381">
        <v>2293</v>
      </c>
      <c r="H25" s="167">
        <f t="shared" si="45"/>
        <v>26.197028068244361</v>
      </c>
      <c r="I25" s="168"/>
      <c r="J25" s="168" t="s">
        <v>53</v>
      </c>
      <c r="K25" s="227">
        <v>4571</v>
      </c>
      <c r="L25" s="272">
        <v>3710</v>
      </c>
      <c r="M25" s="167">
        <f>((L25-K25)/K25)*100</f>
        <v>-18.83614088820827</v>
      </c>
      <c r="N25" s="272">
        <v>2513</v>
      </c>
      <c r="O25" s="272">
        <v>3710</v>
      </c>
      <c r="P25" s="167">
        <f t="shared" si="46"/>
        <v>47.632311977715879</v>
      </c>
      <c r="Q25" s="168"/>
      <c r="R25" s="168" t="s">
        <v>53</v>
      </c>
      <c r="S25" s="272">
        <v>4301</v>
      </c>
      <c r="T25" s="272">
        <v>2513</v>
      </c>
      <c r="U25" s="167">
        <f>((T25-S25)/S25)*100</f>
        <v>-41.571727505231344</v>
      </c>
      <c r="V25" s="272">
        <v>3838</v>
      </c>
      <c r="W25" s="272">
        <v>2513</v>
      </c>
      <c r="X25" s="167">
        <f t="shared" si="47"/>
        <v>-34.523189161021364</v>
      </c>
      <c r="Y25" s="168"/>
      <c r="Z25" s="168" t="s">
        <v>53</v>
      </c>
      <c r="AA25" s="272">
        <v>4584</v>
      </c>
      <c r="AB25" s="272">
        <v>3838</v>
      </c>
      <c r="AC25" s="167">
        <f>((AB25-AA25)/AA25)*100</f>
        <v>-16.273996509598604</v>
      </c>
      <c r="AD25" s="272">
        <v>2913</v>
      </c>
      <c r="AE25" s="272">
        <v>3838</v>
      </c>
      <c r="AF25" s="167">
        <f t="shared" si="48"/>
        <v>31.754205286646069</v>
      </c>
      <c r="AG25" s="168"/>
      <c r="AH25" s="168" t="s">
        <v>53</v>
      </c>
      <c r="AI25" s="272">
        <v>3562</v>
      </c>
      <c r="AJ25" s="272">
        <v>2913</v>
      </c>
      <c r="AK25" s="167">
        <f>((AJ25-AI25)/AI25)*100</f>
        <v>-18.220101066816397</v>
      </c>
      <c r="AL25" s="272">
        <v>2797</v>
      </c>
      <c r="AM25" s="272">
        <v>2913</v>
      </c>
      <c r="AN25" s="167">
        <f t="shared" si="49"/>
        <v>4.1473006792992493</v>
      </c>
      <c r="AO25" s="168"/>
      <c r="AP25" s="168" t="s">
        <v>53</v>
      </c>
      <c r="AQ25" s="272">
        <v>3250</v>
      </c>
      <c r="AR25" s="272">
        <v>2797</v>
      </c>
      <c r="AS25" s="167">
        <f>((AR25-AQ25)/AQ25)*100</f>
        <v>-13.938461538461539</v>
      </c>
      <c r="AT25" s="272">
        <v>3576</v>
      </c>
      <c r="AU25" s="272">
        <v>2797</v>
      </c>
      <c r="AV25" s="167">
        <f t="shared" si="50"/>
        <v>-21.784116331096197</v>
      </c>
      <c r="AW25" s="168"/>
      <c r="AX25" s="168" t="s">
        <v>53</v>
      </c>
      <c r="AY25" s="272">
        <v>3576</v>
      </c>
      <c r="AZ25" s="272">
        <v>3576</v>
      </c>
      <c r="BA25" s="167">
        <f>((AZ25-AY25)/AY25)*100</f>
        <v>0</v>
      </c>
      <c r="BB25" s="272">
        <v>3072</v>
      </c>
      <c r="BC25" s="272">
        <v>3576</v>
      </c>
      <c r="BD25" s="167">
        <f t="shared" si="51"/>
        <v>16.40625</v>
      </c>
      <c r="BE25" s="168"/>
      <c r="BF25" s="168" t="s">
        <v>53</v>
      </c>
      <c r="BG25" s="272">
        <v>3849</v>
      </c>
      <c r="BH25" s="272">
        <v>3072</v>
      </c>
      <c r="BI25" s="167">
        <f>((BH25-BG25)/BG25)*100</f>
        <v>-20.187061574434917</v>
      </c>
      <c r="BJ25" s="272">
        <v>3255</v>
      </c>
      <c r="BK25" s="272">
        <v>3072</v>
      </c>
      <c r="BL25" s="167">
        <f t="shared" si="52"/>
        <v>-5.6221198156682028</v>
      </c>
      <c r="BN25" s="168"/>
      <c r="BO25" s="168" t="s">
        <v>53</v>
      </c>
      <c r="BP25" s="272">
        <v>3779</v>
      </c>
      <c r="BQ25" s="272">
        <v>3255</v>
      </c>
      <c r="BR25" s="167">
        <f>((BQ25-BP25)/BP25)*100</f>
        <v>-13.866102143424186</v>
      </c>
      <c r="BS25" s="272">
        <v>2513</v>
      </c>
      <c r="BT25" s="272">
        <v>3255</v>
      </c>
      <c r="BU25" s="167">
        <f t="shared" si="53"/>
        <v>29.526462395543174</v>
      </c>
      <c r="BW25" s="168"/>
      <c r="BX25" s="168" t="s">
        <v>53</v>
      </c>
      <c r="BY25" s="272" t="e">
        <f>'พ.ย. '!CK25</f>
        <v>#REF!</v>
      </c>
      <c r="BZ25" s="272" t="e">
        <f>CC25</f>
        <v>#REF!</v>
      </c>
      <c r="CA25" s="167" t="e">
        <f>((BZ25-BY25)/BY25)*100</f>
        <v>#REF!</v>
      </c>
      <c r="CB25" s="272">
        <f t="shared" si="54"/>
        <v>2793</v>
      </c>
      <c r="CC25" s="272" t="e">
        <f>#REF!</f>
        <v>#REF!</v>
      </c>
      <c r="CD25" s="167" t="e">
        <f t="shared" si="55"/>
        <v>#REF!</v>
      </c>
      <c r="CE25" s="167"/>
      <c r="CF25" s="168"/>
      <c r="CG25" s="168" t="s">
        <v>53</v>
      </c>
      <c r="CH25" s="273">
        <v>2948</v>
      </c>
      <c r="CI25" s="273">
        <v>2793</v>
      </c>
      <c r="CJ25" s="167">
        <f>((CI25-CH25)/CH25)*100</f>
        <v>-5.2578018995929439</v>
      </c>
      <c r="CK25" s="273">
        <f>54+437+122+1826</f>
        <v>2439</v>
      </c>
      <c r="CL25" s="273">
        <v>2793</v>
      </c>
      <c r="CM25" s="167">
        <f t="shared" si="56"/>
        <v>14.514145141451415</v>
      </c>
      <c r="CN25" s="73"/>
      <c r="CO25" s="226"/>
      <c r="CP25" s="226" t="s">
        <v>53</v>
      </c>
      <c r="CQ25" s="227">
        <v>3302</v>
      </c>
      <c r="CR25" s="227">
        <v>2439</v>
      </c>
      <c r="CS25" s="225">
        <f t="shared" si="59"/>
        <v>-26.135675348273775</v>
      </c>
      <c r="CT25" s="227">
        <v>4321</v>
      </c>
      <c r="CU25" s="227">
        <v>2439</v>
      </c>
      <c r="CV25" s="225">
        <f t="shared" si="60"/>
        <v>-43.554732700763708</v>
      </c>
      <c r="CW25" s="73"/>
      <c r="CX25" s="168"/>
      <c r="CY25" s="168" t="s">
        <v>53</v>
      </c>
      <c r="CZ25" s="169">
        <v>4622</v>
      </c>
      <c r="DA25" s="169">
        <v>4321</v>
      </c>
      <c r="DB25" s="167">
        <f t="shared" si="61"/>
        <v>-6.5123323236694075</v>
      </c>
      <c r="DC25" s="169">
        <v>2220</v>
      </c>
      <c r="DD25" s="169">
        <v>4321</v>
      </c>
      <c r="DE25" s="167">
        <f t="shared" si="62"/>
        <v>94.63963963963964</v>
      </c>
      <c r="DF25" s="73"/>
      <c r="DG25" s="152"/>
      <c r="DH25" s="152" t="s">
        <v>53</v>
      </c>
      <c r="DI25" s="148">
        <v>1027</v>
      </c>
      <c r="DJ25" s="148">
        <v>2220</v>
      </c>
      <c r="DK25" s="151">
        <f t="shared" si="63"/>
        <v>116.16358325219085</v>
      </c>
      <c r="DL25" s="148">
        <v>2288</v>
      </c>
      <c r="DM25" s="148">
        <v>2220</v>
      </c>
      <c r="DN25" s="151">
        <f t="shared" si="64"/>
        <v>-2.9720279720279721</v>
      </c>
      <c r="DO25" s="73"/>
      <c r="DP25" s="89"/>
      <c r="DQ25" s="89" t="s">
        <v>53</v>
      </c>
      <c r="DR25" s="90">
        <v>2838</v>
      </c>
      <c r="DS25" s="90">
        <v>2288</v>
      </c>
      <c r="DT25" s="129">
        <f t="shared" si="65"/>
        <v>-19.379844961240313</v>
      </c>
      <c r="DU25" s="90">
        <v>1614</v>
      </c>
      <c r="DV25" s="90">
        <v>2288</v>
      </c>
      <c r="DW25" s="129">
        <f t="shared" si="66"/>
        <v>41.759603469640645</v>
      </c>
      <c r="DX25" s="130"/>
      <c r="DY25" s="42"/>
      <c r="DZ25" s="42" t="s">
        <v>53</v>
      </c>
      <c r="EA25" s="43">
        <v>1710</v>
      </c>
      <c r="EB25" s="113">
        <v>1614</v>
      </c>
      <c r="EC25" s="44">
        <f t="shared" si="67"/>
        <v>-5.6140350877192979</v>
      </c>
      <c r="ED25" s="43">
        <v>1068</v>
      </c>
      <c r="EE25" s="113">
        <v>1614</v>
      </c>
      <c r="EF25" s="44">
        <f t="shared" si="68"/>
        <v>51.123595505617978</v>
      </c>
      <c r="EG25" s="61"/>
      <c r="EH25" s="89"/>
      <c r="EI25" s="89" t="s">
        <v>53</v>
      </c>
      <c r="EJ25" s="90">
        <v>1316</v>
      </c>
      <c r="EK25" s="90">
        <v>1068</v>
      </c>
      <c r="EL25" s="91">
        <f t="shared" si="69"/>
        <v>-18.844984802431611</v>
      </c>
      <c r="EM25" s="92">
        <v>1895</v>
      </c>
      <c r="EN25" s="90">
        <v>1068</v>
      </c>
      <c r="EO25" s="91">
        <f t="shared" si="70"/>
        <v>-43.641160949868073</v>
      </c>
      <c r="EP25" s="61"/>
      <c r="EQ25" s="42"/>
      <c r="ER25" s="42" t="s">
        <v>53</v>
      </c>
      <c r="ES25" s="43">
        <v>2144</v>
      </c>
      <c r="ET25" s="43">
        <v>1895</v>
      </c>
      <c r="EU25" s="44">
        <f t="shared" si="57"/>
        <v>-11.613805970149253</v>
      </c>
      <c r="EV25" s="45">
        <v>1570</v>
      </c>
      <c r="EW25" s="43">
        <v>1895</v>
      </c>
      <c r="EX25" s="44">
        <f t="shared" si="58"/>
        <v>20.70063694267516</v>
      </c>
      <c r="EY25" s="61"/>
    </row>
    <row r="26" spans="1:159" x14ac:dyDescent="0.5">
      <c r="A26" s="165" t="s">
        <v>1</v>
      </c>
      <c r="B26" s="165"/>
      <c r="C26" s="238">
        <v>51044</v>
      </c>
      <c r="D26" s="380">
        <v>75121</v>
      </c>
      <c r="E26" s="167">
        <f t="shared" ref="E26:E31" si="71">((D26-C26)/C26)*100</f>
        <v>47.169109003996553</v>
      </c>
      <c r="F26" s="292">
        <v>54016</v>
      </c>
      <c r="G26" s="380">
        <v>75121</v>
      </c>
      <c r="H26" s="167">
        <f>((G26-F26)/F26)*100</f>
        <v>39.071756516587683</v>
      </c>
      <c r="I26" s="165" t="s">
        <v>1</v>
      </c>
      <c r="J26" s="165"/>
      <c r="K26" s="238">
        <v>61621</v>
      </c>
      <c r="L26" s="292">
        <v>68326</v>
      </c>
      <c r="M26" s="167">
        <f t="shared" ref="M26:M31" si="72">((L26-K26)/K26)*100</f>
        <v>10.881030817416141</v>
      </c>
      <c r="N26" s="292">
        <f>82799</f>
        <v>82799</v>
      </c>
      <c r="O26" s="292">
        <v>68326</v>
      </c>
      <c r="P26" s="167">
        <f t="shared" si="46"/>
        <v>-17.479679706276645</v>
      </c>
      <c r="Q26" s="165" t="s">
        <v>1</v>
      </c>
      <c r="R26" s="165"/>
      <c r="S26" s="303">
        <v>68284</v>
      </c>
      <c r="T26" s="292">
        <v>82799</v>
      </c>
      <c r="U26" s="167">
        <f t="shared" ref="U26:U31" si="73">((T26-S26)/S26)*100</f>
        <v>21.256809794388143</v>
      </c>
      <c r="V26" s="358">
        <f>86145+2044+2223+306+287</f>
        <v>91005</v>
      </c>
      <c r="W26" s="292">
        <f>82799</f>
        <v>82799</v>
      </c>
      <c r="X26" s="167">
        <f t="shared" si="47"/>
        <v>-9.0170869732432291</v>
      </c>
      <c r="Y26" s="165" t="s">
        <v>1</v>
      </c>
      <c r="Z26" s="165"/>
      <c r="AA26" s="303">
        <v>71716</v>
      </c>
      <c r="AB26" s="292">
        <v>86145</v>
      </c>
      <c r="AC26" s="167">
        <f t="shared" ref="AC26:AC31" si="74">((AB26-AA26)/AA26)*100</f>
        <v>20.119638574376708</v>
      </c>
      <c r="AD26" s="292">
        <v>104089</v>
      </c>
      <c r="AE26" s="292">
        <v>86145</v>
      </c>
      <c r="AF26" s="167">
        <f t="shared" si="48"/>
        <v>-17.239093468089809</v>
      </c>
      <c r="AG26" s="165" t="s">
        <v>1</v>
      </c>
      <c r="AH26" s="165"/>
      <c r="AI26" s="303">
        <v>79177</v>
      </c>
      <c r="AJ26" s="292">
        <v>104089</v>
      </c>
      <c r="AK26" s="167">
        <f t="shared" ref="AK26:AK31" si="75">((AJ26-AI26)/AI26)*100</f>
        <v>31.463682635108682</v>
      </c>
      <c r="AL26" s="292">
        <v>89285</v>
      </c>
      <c r="AM26" s="292">
        <v>104089</v>
      </c>
      <c r="AN26" s="167">
        <f t="shared" si="49"/>
        <v>16.580612644901159</v>
      </c>
      <c r="AO26" s="165" t="s">
        <v>1</v>
      </c>
      <c r="AP26" s="165"/>
      <c r="AQ26" s="303">
        <v>79299</v>
      </c>
      <c r="AR26" s="292">
        <v>89285</v>
      </c>
      <c r="AS26" s="167">
        <f t="shared" ref="AS26:AS31" si="76">((AR26-AQ26)/AQ26)*100</f>
        <v>12.592844802582631</v>
      </c>
      <c r="AT26" s="292">
        <v>113581</v>
      </c>
      <c r="AU26" s="292">
        <v>89285</v>
      </c>
      <c r="AV26" s="167">
        <f t="shared" si="50"/>
        <v>-21.390901647282558</v>
      </c>
      <c r="AW26" s="165" t="s">
        <v>1</v>
      </c>
      <c r="AX26" s="165"/>
      <c r="AY26" s="303">
        <v>94643</v>
      </c>
      <c r="AZ26" s="292">
        <v>113581</v>
      </c>
      <c r="BA26" s="167">
        <f t="shared" ref="BA26:BA32" si="77">((AZ26-AY26)/AY26)*100</f>
        <v>20.009932060479908</v>
      </c>
      <c r="BB26" s="292">
        <v>104302</v>
      </c>
      <c r="BC26" s="292">
        <v>113581</v>
      </c>
      <c r="BD26" s="167">
        <f t="shared" si="51"/>
        <v>8.8962819504899233</v>
      </c>
      <c r="BE26" s="165" t="s">
        <v>1</v>
      </c>
      <c r="BF26" s="165"/>
      <c r="BG26" s="303">
        <v>78082</v>
      </c>
      <c r="BH26" s="292">
        <v>104302</v>
      </c>
      <c r="BI26" s="167">
        <f t="shared" ref="BI26:BI32" si="78">((BH26-BG26)/BG26)*100</f>
        <v>33.580082477395557</v>
      </c>
      <c r="BJ26" s="292">
        <v>86858</v>
      </c>
      <c r="BK26" s="292">
        <v>104302</v>
      </c>
      <c r="BL26" s="167">
        <f t="shared" si="52"/>
        <v>20.083354440581179</v>
      </c>
      <c r="BN26" s="165" t="s">
        <v>1</v>
      </c>
      <c r="BO26" s="165"/>
      <c r="BP26" s="303">
        <v>64771</v>
      </c>
      <c r="BQ26" s="292">
        <v>86858</v>
      </c>
      <c r="BR26" s="167">
        <f t="shared" ref="BR26:BR32" si="79">((BQ26-BP26)/BP26)*100</f>
        <v>34.100137407172966</v>
      </c>
      <c r="BS26" s="292">
        <v>101464</v>
      </c>
      <c r="BT26" s="292">
        <v>86858</v>
      </c>
      <c r="BU26" s="167">
        <f t="shared" si="53"/>
        <v>-14.395253488922179</v>
      </c>
      <c r="BW26" s="165" t="s">
        <v>1</v>
      </c>
      <c r="BX26" s="165"/>
      <c r="BY26" s="303" t="e">
        <f>'พ.ย. '!CK26</f>
        <v>#REF!</v>
      </c>
      <c r="BZ26" s="292" t="e">
        <f>#REF!</f>
        <v>#REF!</v>
      </c>
      <c r="CA26" s="167" t="e">
        <f t="shared" ref="CA26:CA32" si="80">((BZ26-BY26)/BY26)*100</f>
        <v>#REF!</v>
      </c>
      <c r="CB26" s="292">
        <f t="shared" si="54"/>
        <v>89504</v>
      </c>
      <c r="CC26" s="299" t="e">
        <f>#REF!</f>
        <v>#REF!</v>
      </c>
      <c r="CD26" s="167" t="e">
        <f t="shared" si="55"/>
        <v>#REF!</v>
      </c>
      <c r="CE26" s="167"/>
      <c r="CF26" s="165" t="s">
        <v>1</v>
      </c>
      <c r="CG26" s="165"/>
      <c r="CH26" s="274">
        <f>CH27+CH28+CH29+CH30</f>
        <v>73068</v>
      </c>
      <c r="CI26" s="271">
        <f>CI27+CI28+CI29+CI30</f>
        <v>89504</v>
      </c>
      <c r="CJ26" s="167">
        <f t="shared" ref="CJ26:CJ32" si="81">((CI26-CH26)/CH26)*100</f>
        <v>22.494115070892867</v>
      </c>
      <c r="CK26" s="271">
        <v>113921</v>
      </c>
      <c r="CL26" s="275">
        <f>CL27+CL28+CL29+CL30</f>
        <v>89504</v>
      </c>
      <c r="CM26" s="167">
        <f t="shared" si="56"/>
        <v>-21.433273935446493</v>
      </c>
      <c r="CN26" s="73"/>
      <c r="CO26" s="224" t="s">
        <v>1</v>
      </c>
      <c r="CP26" s="224"/>
      <c r="CQ26" s="238">
        <v>93483</v>
      </c>
      <c r="CR26" s="238">
        <v>113921</v>
      </c>
      <c r="CS26" s="225">
        <f t="shared" si="59"/>
        <v>21.862798583699711</v>
      </c>
      <c r="CT26" s="238">
        <v>144676</v>
      </c>
      <c r="CU26" s="238">
        <v>113921</v>
      </c>
      <c r="CV26" s="225">
        <f t="shared" si="60"/>
        <v>-21.257845115983301</v>
      </c>
      <c r="CW26" s="73"/>
      <c r="CX26" s="165" t="s">
        <v>1</v>
      </c>
      <c r="CY26" s="165"/>
      <c r="CZ26" s="166">
        <f>SUM(CZ27:CZ30)</f>
        <v>148243</v>
      </c>
      <c r="DA26" s="166">
        <f>SUM(DA27:DA30)</f>
        <v>144676</v>
      </c>
      <c r="DB26" s="167">
        <f t="shared" si="61"/>
        <v>-2.4061844404120261</v>
      </c>
      <c r="DC26" s="166">
        <f>SUM(DC27:DC30)</f>
        <v>54575</v>
      </c>
      <c r="DD26" s="166">
        <f>SUM(DD27:DD30)</f>
        <v>144676</v>
      </c>
      <c r="DE26" s="167">
        <f t="shared" si="62"/>
        <v>165.09573980760422</v>
      </c>
      <c r="DF26" s="73"/>
      <c r="DG26" s="150" t="s">
        <v>1</v>
      </c>
      <c r="DH26" s="150"/>
      <c r="DI26" s="147">
        <f>SUM(DI27:DI30)</f>
        <v>25664</v>
      </c>
      <c r="DJ26" s="147">
        <f>SUM(DJ27:DJ30)</f>
        <v>54575</v>
      </c>
      <c r="DK26" s="151">
        <f t="shared" si="63"/>
        <v>112.65196384039899</v>
      </c>
      <c r="DL26" s="147">
        <v>93122</v>
      </c>
      <c r="DM26" s="147">
        <f>SUM(DM27:DM30)</f>
        <v>54575</v>
      </c>
      <c r="DN26" s="151">
        <f t="shared" si="64"/>
        <v>-41.394085178582934</v>
      </c>
      <c r="DO26" s="73"/>
      <c r="DP26" s="86" t="s">
        <v>1</v>
      </c>
      <c r="DQ26" s="86"/>
      <c r="DR26" s="87">
        <v>78874</v>
      </c>
      <c r="DS26" s="87">
        <f>SUM(DS27:DS30)</f>
        <v>93122</v>
      </c>
      <c r="DT26" s="126">
        <f t="shared" si="65"/>
        <v>18.064254380404186</v>
      </c>
      <c r="DU26" s="87">
        <v>72085</v>
      </c>
      <c r="DV26" s="87">
        <f>SUM(DV27:DV30)</f>
        <v>93122</v>
      </c>
      <c r="DW26" s="126">
        <f t="shared" si="66"/>
        <v>29.183602691267254</v>
      </c>
      <c r="DX26" s="127"/>
      <c r="DY26" s="63" t="s">
        <v>1</v>
      </c>
      <c r="DZ26" s="63"/>
      <c r="EA26" s="68">
        <f>SUM(EA27:EA30)</f>
        <v>57031</v>
      </c>
      <c r="EB26" s="114">
        <f>SUM(EB27:EB30)</f>
        <v>72085</v>
      </c>
      <c r="EC26" s="65">
        <f t="shared" si="67"/>
        <v>26.396170503761113</v>
      </c>
      <c r="ED26" s="68">
        <v>59002</v>
      </c>
      <c r="EE26" s="114">
        <v>72085</v>
      </c>
      <c r="EF26" s="65">
        <f t="shared" si="68"/>
        <v>22.173824616114707</v>
      </c>
      <c r="EG26" s="73"/>
      <c r="EH26" s="86" t="s">
        <v>1</v>
      </c>
      <c r="EI26" s="86"/>
      <c r="EJ26" s="87">
        <f>SUM(EJ27:EJ30)</f>
        <v>46068</v>
      </c>
      <c r="EK26" s="87">
        <v>59002</v>
      </c>
      <c r="EL26" s="88">
        <f t="shared" si="69"/>
        <v>28.075887818008162</v>
      </c>
      <c r="EM26" s="87">
        <f>SUM(EM27:EM30)</f>
        <v>64346</v>
      </c>
      <c r="EN26" s="87">
        <f>SUM(EN27:EN30)</f>
        <v>59002</v>
      </c>
      <c r="EO26" s="88">
        <f t="shared" si="70"/>
        <v>-8.3051005501507476</v>
      </c>
      <c r="EP26" s="73"/>
      <c r="EQ26" s="63" t="s">
        <v>1</v>
      </c>
      <c r="ER26" s="63"/>
      <c r="ES26" s="68">
        <f>SUM(ES27:ES30)</f>
        <v>57719</v>
      </c>
      <c r="ET26" s="68">
        <f>SUM(ET27:ET30)</f>
        <v>64346</v>
      </c>
      <c r="EU26" s="65">
        <f t="shared" si="57"/>
        <v>11.481487898265735</v>
      </c>
      <c r="EV26" s="68">
        <f>SUM(EV27:EV30)</f>
        <v>84521</v>
      </c>
      <c r="EW26" s="68">
        <f>SUM(EW27:EW30)</f>
        <v>64346</v>
      </c>
      <c r="EX26" s="65">
        <f t="shared" si="58"/>
        <v>-23.869807503460677</v>
      </c>
      <c r="EY26" s="73"/>
    </row>
    <row r="27" spans="1:159" x14ac:dyDescent="0.5">
      <c r="A27" s="168"/>
      <c r="B27" s="168" t="s">
        <v>51</v>
      </c>
      <c r="C27" s="227">
        <f>C26-C28-C29-C30</f>
        <v>19240</v>
      </c>
      <c r="D27" s="382">
        <v>25167</v>
      </c>
      <c r="E27" s="167">
        <f t="shared" si="71"/>
        <v>30.805613305613306</v>
      </c>
      <c r="F27" s="277">
        <v>20727</v>
      </c>
      <c r="G27" s="382">
        <v>25167</v>
      </c>
      <c r="H27" s="167">
        <f t="shared" si="45"/>
        <v>21.421334491243304</v>
      </c>
      <c r="I27" s="168"/>
      <c r="J27" s="168" t="s">
        <v>51</v>
      </c>
      <c r="K27" s="227">
        <v>24567</v>
      </c>
      <c r="L27" s="277">
        <v>26141</v>
      </c>
      <c r="M27" s="167">
        <f t="shared" si="72"/>
        <v>6.406968697846704</v>
      </c>
      <c r="N27" s="277">
        <v>24698</v>
      </c>
      <c r="O27" s="277">
        <v>26141</v>
      </c>
      <c r="P27" s="167">
        <f t="shared" si="46"/>
        <v>5.8425783464248111</v>
      </c>
      <c r="Q27" s="168"/>
      <c r="R27" s="168" t="s">
        <v>51</v>
      </c>
      <c r="S27" s="345">
        <v>20263</v>
      </c>
      <c r="T27" s="277">
        <v>24698</v>
      </c>
      <c r="U27" s="167">
        <f t="shared" si="73"/>
        <v>21.88718353649509</v>
      </c>
      <c r="V27" s="277">
        <v>27052</v>
      </c>
      <c r="W27" s="277">
        <v>24698</v>
      </c>
      <c r="X27" s="167">
        <f t="shared" si="47"/>
        <v>-8.701759574153483</v>
      </c>
      <c r="Y27" s="168"/>
      <c r="Z27" s="168" t="s">
        <v>51</v>
      </c>
      <c r="AA27" s="345">
        <v>23793</v>
      </c>
      <c r="AB27" s="277">
        <v>27052</v>
      </c>
      <c r="AC27" s="167">
        <f t="shared" si="74"/>
        <v>13.69730593031564</v>
      </c>
      <c r="AD27" s="277">
        <v>38130</v>
      </c>
      <c r="AE27" s="277">
        <v>27052</v>
      </c>
      <c r="AF27" s="167">
        <f t="shared" si="48"/>
        <v>-29.05323891948597</v>
      </c>
      <c r="AG27" s="168"/>
      <c r="AH27" s="168" t="s">
        <v>51</v>
      </c>
      <c r="AI27" s="345">
        <v>25437</v>
      </c>
      <c r="AJ27" s="277">
        <v>38130</v>
      </c>
      <c r="AK27" s="167">
        <f t="shared" si="75"/>
        <v>49.899752329284112</v>
      </c>
      <c r="AL27" s="277">
        <v>32766</v>
      </c>
      <c r="AM27" s="277">
        <v>38130</v>
      </c>
      <c r="AN27" s="167">
        <f t="shared" si="49"/>
        <v>16.37062809009339</v>
      </c>
      <c r="AO27" s="168"/>
      <c r="AP27" s="168" t="s">
        <v>51</v>
      </c>
      <c r="AQ27" s="345">
        <v>29646</v>
      </c>
      <c r="AR27" s="277">
        <v>32766</v>
      </c>
      <c r="AS27" s="167">
        <f t="shared" si="76"/>
        <v>10.524185387573366</v>
      </c>
      <c r="AT27" s="277">
        <v>40315</v>
      </c>
      <c r="AU27" s="277">
        <v>32766</v>
      </c>
      <c r="AV27" s="167">
        <f t="shared" si="50"/>
        <v>-18.725040307577824</v>
      </c>
      <c r="AW27" s="168"/>
      <c r="AX27" s="168" t="s">
        <v>51</v>
      </c>
      <c r="AY27" s="345">
        <v>35446</v>
      </c>
      <c r="AZ27" s="277">
        <v>40315</v>
      </c>
      <c r="BA27" s="167">
        <f t="shared" si="77"/>
        <v>13.736387744738476</v>
      </c>
      <c r="BB27" s="277">
        <v>41449</v>
      </c>
      <c r="BC27" s="277">
        <v>40315</v>
      </c>
      <c r="BD27" s="167">
        <f t="shared" si="51"/>
        <v>-2.7358923013824215</v>
      </c>
      <c r="BE27" s="168"/>
      <c r="BF27" s="168" t="s">
        <v>51</v>
      </c>
      <c r="BG27" s="276">
        <v>31435</v>
      </c>
      <c r="BH27" s="277">
        <v>41449</v>
      </c>
      <c r="BI27" s="167">
        <f t="shared" si="78"/>
        <v>31.856211229521236</v>
      </c>
      <c r="BJ27" s="277">
        <v>29467</v>
      </c>
      <c r="BK27" s="277">
        <v>41449</v>
      </c>
      <c r="BL27" s="167">
        <f t="shared" si="52"/>
        <v>40.662435945294739</v>
      </c>
      <c r="BN27" s="168"/>
      <c r="BO27" s="168" t="s">
        <v>51</v>
      </c>
      <c r="BP27" s="276">
        <v>23306</v>
      </c>
      <c r="BQ27" s="277">
        <v>29467</v>
      </c>
      <c r="BR27" s="167">
        <f t="shared" si="79"/>
        <v>26.435252724620266</v>
      </c>
      <c r="BS27" s="272">
        <v>34842</v>
      </c>
      <c r="BT27" s="277">
        <v>29467</v>
      </c>
      <c r="BU27" s="167">
        <f t="shared" si="53"/>
        <v>-15.426783766718327</v>
      </c>
      <c r="BW27" s="168"/>
      <c r="BX27" s="168" t="s">
        <v>51</v>
      </c>
      <c r="BY27" s="276" t="e">
        <f>'พ.ย. '!CK27</f>
        <v>#REF!</v>
      </c>
      <c r="BZ27" s="277" t="e">
        <f>#REF!</f>
        <v>#REF!</v>
      </c>
      <c r="CA27" s="167" t="e">
        <f t="shared" si="80"/>
        <v>#REF!</v>
      </c>
      <c r="CB27" s="272">
        <f t="shared" si="54"/>
        <v>36738</v>
      </c>
      <c r="CC27" s="278" t="e">
        <f>#REF!</f>
        <v>#REF!</v>
      </c>
      <c r="CD27" s="167" t="e">
        <f t="shared" si="55"/>
        <v>#REF!</v>
      </c>
      <c r="CE27" s="167"/>
      <c r="CF27" s="168"/>
      <c r="CG27" s="168" t="s">
        <v>51</v>
      </c>
      <c r="CH27" s="276">
        <v>29242</v>
      </c>
      <c r="CI27" s="277">
        <v>36738</v>
      </c>
      <c r="CJ27" s="167">
        <f t="shared" si="81"/>
        <v>25.634361534778744</v>
      </c>
      <c r="CK27" s="272">
        <v>51056</v>
      </c>
      <c r="CL27" s="278">
        <v>36738</v>
      </c>
      <c r="CM27" s="167">
        <f t="shared" si="56"/>
        <v>-28.04371670322783</v>
      </c>
      <c r="CN27" s="73"/>
      <c r="CO27" s="226"/>
      <c r="CP27" s="226" t="s">
        <v>51</v>
      </c>
      <c r="CQ27" s="227">
        <v>40439</v>
      </c>
      <c r="CR27" s="227">
        <v>51056</v>
      </c>
      <c r="CS27" s="225">
        <f t="shared" si="59"/>
        <v>26.254358416380224</v>
      </c>
      <c r="CT27" s="227">
        <v>71240</v>
      </c>
      <c r="CU27" s="227">
        <v>51056</v>
      </c>
      <c r="CV27" s="225">
        <f t="shared" si="60"/>
        <v>-28.33239752947782</v>
      </c>
      <c r="CW27" s="73"/>
      <c r="CX27" s="168"/>
      <c r="CY27" s="168" t="s">
        <v>51</v>
      </c>
      <c r="CZ27" s="169">
        <v>77743</v>
      </c>
      <c r="DA27" s="169">
        <v>71240</v>
      </c>
      <c r="DB27" s="167">
        <f t="shared" si="61"/>
        <v>-8.3647402338474208</v>
      </c>
      <c r="DC27" s="169">
        <v>25826</v>
      </c>
      <c r="DD27" s="169">
        <v>71240</v>
      </c>
      <c r="DE27" s="167">
        <f t="shared" si="62"/>
        <v>175.84604661968558</v>
      </c>
      <c r="DF27" s="73"/>
      <c r="DG27" s="152"/>
      <c r="DH27" s="152" t="s">
        <v>51</v>
      </c>
      <c r="DI27" s="148">
        <v>12746</v>
      </c>
      <c r="DJ27" s="148">
        <v>25826</v>
      </c>
      <c r="DK27" s="151">
        <f t="shared" si="63"/>
        <v>102.62042993880434</v>
      </c>
      <c r="DL27" s="148">
        <v>39015</v>
      </c>
      <c r="DM27" s="148">
        <v>25826</v>
      </c>
      <c r="DN27" s="151">
        <f t="shared" si="64"/>
        <v>-33.804946815327433</v>
      </c>
      <c r="DO27" s="73"/>
      <c r="DP27" s="89"/>
      <c r="DQ27" s="89" t="s">
        <v>51</v>
      </c>
      <c r="DR27" s="90">
        <v>33594</v>
      </c>
      <c r="DS27" s="90">
        <v>39015</v>
      </c>
      <c r="DT27" s="129">
        <f t="shared" si="65"/>
        <v>16.13681014466869</v>
      </c>
      <c r="DU27" s="90">
        <v>30431</v>
      </c>
      <c r="DV27" s="90">
        <v>39015</v>
      </c>
      <c r="DW27" s="129">
        <f t="shared" si="66"/>
        <v>28.208077289605992</v>
      </c>
      <c r="DX27" s="130"/>
      <c r="DY27" s="42"/>
      <c r="DZ27" s="42" t="s">
        <v>51</v>
      </c>
      <c r="EA27" s="43">
        <v>24054</v>
      </c>
      <c r="EB27" s="113">
        <v>30431</v>
      </c>
      <c r="EC27" s="44">
        <f t="shared" si="67"/>
        <v>26.511183171198137</v>
      </c>
      <c r="ED27" s="43">
        <v>23825</v>
      </c>
      <c r="EE27" s="113">
        <v>30431</v>
      </c>
      <c r="EF27" s="44">
        <f t="shared" si="68"/>
        <v>27.727177334732424</v>
      </c>
      <c r="EG27" s="61"/>
      <c r="EH27" s="89"/>
      <c r="EI27" s="89" t="s">
        <v>51</v>
      </c>
      <c r="EJ27" s="90">
        <v>18176</v>
      </c>
      <c r="EK27" s="90">
        <v>23825</v>
      </c>
      <c r="EL27" s="91">
        <f t="shared" si="69"/>
        <v>31.079445422535212</v>
      </c>
      <c r="EM27" s="92">
        <v>12019</v>
      </c>
      <c r="EN27" s="90">
        <v>23825</v>
      </c>
      <c r="EO27" s="91">
        <f t="shared" si="70"/>
        <v>98.227805973874695</v>
      </c>
      <c r="EP27" s="61"/>
      <c r="EQ27" s="42"/>
      <c r="ER27" s="42" t="s">
        <v>51</v>
      </c>
      <c r="ES27" s="43">
        <v>13645</v>
      </c>
      <c r="ET27" s="43">
        <v>12019</v>
      </c>
      <c r="EU27" s="44">
        <f t="shared" si="57"/>
        <v>-11.916452913155002</v>
      </c>
      <c r="EV27" s="45">
        <v>21878</v>
      </c>
      <c r="EW27" s="43">
        <v>12019</v>
      </c>
      <c r="EX27" s="44">
        <f t="shared" si="58"/>
        <v>-45.063534143888837</v>
      </c>
      <c r="EY27" s="61"/>
    </row>
    <row r="28" spans="1:159" x14ac:dyDescent="0.5">
      <c r="A28" s="168"/>
      <c r="B28" s="168" t="s">
        <v>52</v>
      </c>
      <c r="C28" s="227">
        <v>11580</v>
      </c>
      <c r="D28" s="382">
        <v>20425</v>
      </c>
      <c r="E28" s="167">
        <f t="shared" si="71"/>
        <v>76.381692573402418</v>
      </c>
      <c r="F28" s="277">
        <v>14410</v>
      </c>
      <c r="G28" s="382">
        <v>20425</v>
      </c>
      <c r="H28" s="167">
        <f t="shared" si="45"/>
        <v>41.741845940319223</v>
      </c>
      <c r="I28" s="168"/>
      <c r="J28" s="168" t="s">
        <v>52</v>
      </c>
      <c r="K28" s="227">
        <v>17853</v>
      </c>
      <c r="L28" s="277">
        <v>19543</v>
      </c>
      <c r="M28" s="167">
        <f t="shared" si="72"/>
        <v>9.4661961575085432</v>
      </c>
      <c r="N28" s="277">
        <v>35491</v>
      </c>
      <c r="O28" s="277">
        <v>19543</v>
      </c>
      <c r="P28" s="167">
        <f t="shared" si="46"/>
        <v>-44.935335718914651</v>
      </c>
      <c r="Q28" s="168"/>
      <c r="R28" s="168" t="s">
        <v>52</v>
      </c>
      <c r="S28" s="345">
        <v>29182</v>
      </c>
      <c r="T28" s="277">
        <v>35491</v>
      </c>
      <c r="U28" s="167">
        <f t="shared" si="73"/>
        <v>21.619491467342883</v>
      </c>
      <c r="V28" s="277">
        <v>36505</v>
      </c>
      <c r="W28" s="277">
        <v>35491</v>
      </c>
      <c r="X28" s="167">
        <f t="shared" si="47"/>
        <v>-2.7777016847007259</v>
      </c>
      <c r="Y28" s="168"/>
      <c r="Z28" s="168" t="s">
        <v>52</v>
      </c>
      <c r="AA28" s="345">
        <v>33140</v>
      </c>
      <c r="AB28" s="277">
        <v>36505</v>
      </c>
      <c r="AC28" s="167">
        <f t="shared" si="74"/>
        <v>10.153892576946289</v>
      </c>
      <c r="AD28" s="277">
        <v>44004</v>
      </c>
      <c r="AE28" s="277">
        <v>36505</v>
      </c>
      <c r="AF28" s="167">
        <f t="shared" si="48"/>
        <v>-17.041632578856465</v>
      </c>
      <c r="AG28" s="168"/>
      <c r="AH28" s="168" t="s">
        <v>52</v>
      </c>
      <c r="AI28" s="345">
        <v>37445</v>
      </c>
      <c r="AJ28" s="277">
        <v>44004</v>
      </c>
      <c r="AK28" s="167">
        <f t="shared" si="75"/>
        <v>17.516357324075312</v>
      </c>
      <c r="AL28" s="277">
        <v>39593</v>
      </c>
      <c r="AM28" s="277">
        <v>44004</v>
      </c>
      <c r="AN28" s="167">
        <f t="shared" si="49"/>
        <v>11.14085823251585</v>
      </c>
      <c r="AO28" s="168"/>
      <c r="AP28" s="168" t="s">
        <v>52</v>
      </c>
      <c r="AQ28" s="345">
        <v>36251</v>
      </c>
      <c r="AR28" s="277">
        <v>39593</v>
      </c>
      <c r="AS28" s="167">
        <f t="shared" si="76"/>
        <v>9.2190560260406595</v>
      </c>
      <c r="AT28" s="277">
        <v>51528</v>
      </c>
      <c r="AU28" s="277">
        <v>39593</v>
      </c>
      <c r="AV28" s="167">
        <f t="shared" si="50"/>
        <v>-23.162164260208044</v>
      </c>
      <c r="AW28" s="168"/>
      <c r="AX28" s="168" t="s">
        <v>52</v>
      </c>
      <c r="AY28" s="345">
        <v>42778</v>
      </c>
      <c r="AZ28" s="277">
        <v>51528</v>
      </c>
      <c r="BA28" s="167">
        <f t="shared" si="77"/>
        <v>20.454439197718454</v>
      </c>
      <c r="BB28" s="277">
        <v>42556</v>
      </c>
      <c r="BC28" s="277">
        <v>51528</v>
      </c>
      <c r="BD28" s="167">
        <f t="shared" si="51"/>
        <v>21.082808534636712</v>
      </c>
      <c r="BE28" s="168"/>
      <c r="BF28" s="168" t="s">
        <v>52</v>
      </c>
      <c r="BG28" s="276">
        <v>32693</v>
      </c>
      <c r="BH28" s="277">
        <v>42556</v>
      </c>
      <c r="BI28" s="167">
        <f t="shared" si="78"/>
        <v>30.1685376074389</v>
      </c>
      <c r="BJ28" s="277">
        <v>39631</v>
      </c>
      <c r="BK28" s="277">
        <v>42556</v>
      </c>
      <c r="BL28" s="167">
        <f t="shared" si="52"/>
        <v>7.3805859049733789</v>
      </c>
      <c r="BN28" s="168"/>
      <c r="BO28" s="168" t="s">
        <v>52</v>
      </c>
      <c r="BP28" s="276">
        <v>29946</v>
      </c>
      <c r="BQ28" s="277">
        <v>39631</v>
      </c>
      <c r="BR28" s="167">
        <f t="shared" si="79"/>
        <v>32.341548119949245</v>
      </c>
      <c r="BS28" s="272">
        <v>38231</v>
      </c>
      <c r="BT28" s="277">
        <v>39631</v>
      </c>
      <c r="BU28" s="167">
        <f t="shared" si="53"/>
        <v>3.6619497266616099</v>
      </c>
      <c r="BW28" s="168"/>
      <c r="BX28" s="168" t="s">
        <v>52</v>
      </c>
      <c r="BY28" s="276" t="e">
        <f>'พ.ย. '!CK28</f>
        <v>#REF!</v>
      </c>
      <c r="BZ28" s="277" t="e">
        <f>#REF!</f>
        <v>#REF!</v>
      </c>
      <c r="CA28" s="167" t="e">
        <f t="shared" si="80"/>
        <v>#REF!</v>
      </c>
      <c r="CB28" s="272">
        <f t="shared" si="54"/>
        <v>37453</v>
      </c>
      <c r="CC28" s="278" t="e">
        <f>#REF!</f>
        <v>#REF!</v>
      </c>
      <c r="CD28" s="167" t="e">
        <f t="shared" si="55"/>
        <v>#REF!</v>
      </c>
      <c r="CE28" s="167"/>
      <c r="CF28" s="168"/>
      <c r="CG28" s="168" t="s">
        <v>52</v>
      </c>
      <c r="CH28" s="276">
        <v>31436</v>
      </c>
      <c r="CI28" s="277">
        <v>37453</v>
      </c>
      <c r="CJ28" s="167">
        <f t="shared" si="81"/>
        <v>19.140475887517496</v>
      </c>
      <c r="CK28" s="272">
        <v>46649</v>
      </c>
      <c r="CL28" s="278">
        <v>37453</v>
      </c>
      <c r="CM28" s="167">
        <f t="shared" si="56"/>
        <v>-19.713177131342579</v>
      </c>
      <c r="CN28" s="73"/>
      <c r="CO28" s="226"/>
      <c r="CP28" s="226" t="s">
        <v>52</v>
      </c>
      <c r="CQ28" s="227">
        <v>40666</v>
      </c>
      <c r="CR28" s="227">
        <v>46649</v>
      </c>
      <c r="CS28" s="225">
        <f t="shared" si="59"/>
        <v>14.71253627108641</v>
      </c>
      <c r="CT28" s="227">
        <v>56097</v>
      </c>
      <c r="CU28" s="227">
        <v>46649</v>
      </c>
      <c r="CV28" s="225">
        <f t="shared" si="60"/>
        <v>-16.842255379075528</v>
      </c>
      <c r="CW28" s="73"/>
      <c r="CX28" s="168"/>
      <c r="CY28" s="168" t="s">
        <v>52</v>
      </c>
      <c r="CZ28" s="169">
        <v>53535</v>
      </c>
      <c r="DA28" s="169">
        <v>56097</v>
      </c>
      <c r="DB28" s="167">
        <f t="shared" si="61"/>
        <v>4.7856542448865236</v>
      </c>
      <c r="DC28" s="169">
        <v>18823</v>
      </c>
      <c r="DD28" s="169">
        <v>56097</v>
      </c>
      <c r="DE28" s="167">
        <f t="shared" si="62"/>
        <v>198.02369441640545</v>
      </c>
      <c r="DF28" s="73"/>
      <c r="DG28" s="152"/>
      <c r="DH28" s="152" t="s">
        <v>52</v>
      </c>
      <c r="DI28" s="148">
        <v>6924</v>
      </c>
      <c r="DJ28" s="148">
        <v>18823</v>
      </c>
      <c r="DK28" s="151">
        <f t="shared" si="63"/>
        <v>171.85153090699018</v>
      </c>
      <c r="DL28" s="148">
        <v>41599</v>
      </c>
      <c r="DM28" s="148">
        <v>18823</v>
      </c>
      <c r="DN28" s="151">
        <f t="shared" si="64"/>
        <v>-54.751316137407144</v>
      </c>
      <c r="DO28" s="73"/>
      <c r="DP28" s="89"/>
      <c r="DQ28" s="89" t="s">
        <v>52</v>
      </c>
      <c r="DR28" s="90">
        <v>35011</v>
      </c>
      <c r="DS28" s="90">
        <v>41599</v>
      </c>
      <c r="DT28" s="129">
        <f t="shared" si="65"/>
        <v>18.816943246408272</v>
      </c>
      <c r="DU28" s="90">
        <v>31874</v>
      </c>
      <c r="DV28" s="90">
        <v>41599</v>
      </c>
      <c r="DW28" s="129">
        <f t="shared" si="66"/>
        <v>30.51076112191755</v>
      </c>
      <c r="DX28" s="130"/>
      <c r="DY28" s="42"/>
      <c r="DZ28" s="42" t="s">
        <v>52</v>
      </c>
      <c r="EA28" s="43">
        <v>25803</v>
      </c>
      <c r="EB28" s="113">
        <v>31874</v>
      </c>
      <c r="EC28" s="44">
        <f t="shared" si="67"/>
        <v>23.528271906367475</v>
      </c>
      <c r="ED28" s="43">
        <v>28620</v>
      </c>
      <c r="EE28" s="113">
        <v>31874</v>
      </c>
      <c r="EF28" s="44">
        <f t="shared" si="68"/>
        <v>11.369671558350804</v>
      </c>
      <c r="EG28" s="61"/>
      <c r="EH28" s="89"/>
      <c r="EI28" s="89" t="s">
        <v>52</v>
      </c>
      <c r="EJ28" s="90">
        <v>22077</v>
      </c>
      <c r="EK28" s="90">
        <v>28620</v>
      </c>
      <c r="EL28" s="91">
        <f t="shared" si="69"/>
        <v>29.637178964533224</v>
      </c>
      <c r="EM28" s="92">
        <v>44549</v>
      </c>
      <c r="EN28" s="90">
        <v>28620</v>
      </c>
      <c r="EO28" s="91">
        <f t="shared" si="70"/>
        <v>-35.756133695481381</v>
      </c>
      <c r="EP28" s="61"/>
      <c r="EQ28" s="42"/>
      <c r="ER28" s="42" t="s">
        <v>52</v>
      </c>
      <c r="ES28" s="43">
        <v>36783</v>
      </c>
      <c r="ET28" s="43">
        <v>44549</v>
      </c>
      <c r="EU28" s="44">
        <f t="shared" si="57"/>
        <v>21.11301416415192</v>
      </c>
      <c r="EV28" s="45">
        <v>55324</v>
      </c>
      <c r="EW28" s="43">
        <v>44549</v>
      </c>
      <c r="EX28" s="44">
        <f t="shared" si="58"/>
        <v>-19.476176704504375</v>
      </c>
      <c r="EY28" s="61"/>
    </row>
    <row r="29" spans="1:159" x14ac:dyDescent="0.5">
      <c r="A29" s="168"/>
      <c r="B29" s="168" t="s">
        <v>53</v>
      </c>
      <c r="C29" s="227">
        <v>2452</v>
      </c>
      <c r="D29" s="383">
        <v>2563</v>
      </c>
      <c r="E29" s="167">
        <f t="shared" si="71"/>
        <v>4.5269168026101143</v>
      </c>
      <c r="F29" s="279">
        <v>2802</v>
      </c>
      <c r="G29" s="383">
        <v>2563</v>
      </c>
      <c r="H29" s="167">
        <f t="shared" si="45"/>
        <v>-8.5296216987865812</v>
      </c>
      <c r="I29" s="168"/>
      <c r="J29" s="168" t="s">
        <v>53</v>
      </c>
      <c r="K29" s="227">
        <v>3730</v>
      </c>
      <c r="L29" s="279">
        <v>4803</v>
      </c>
      <c r="M29" s="167">
        <f t="shared" si="72"/>
        <v>28.766756032171582</v>
      </c>
      <c r="N29" s="279">
        <v>4813</v>
      </c>
      <c r="O29" s="279">
        <v>4803</v>
      </c>
      <c r="P29" s="167">
        <f t="shared" si="46"/>
        <v>-0.20777062123415749</v>
      </c>
      <c r="Q29" s="168"/>
      <c r="R29" s="168" t="s">
        <v>53</v>
      </c>
      <c r="S29" s="345">
        <v>3836</v>
      </c>
      <c r="T29" s="279">
        <v>4813</v>
      </c>
      <c r="U29" s="167">
        <f t="shared" si="73"/>
        <v>25.469238790406674</v>
      </c>
      <c r="V29" s="279">
        <v>5016</v>
      </c>
      <c r="W29" s="279">
        <v>4813</v>
      </c>
      <c r="X29" s="167">
        <f t="shared" si="47"/>
        <v>-4.0470494417862835</v>
      </c>
      <c r="Y29" s="168"/>
      <c r="Z29" s="168" t="s">
        <v>53</v>
      </c>
      <c r="AA29" s="345">
        <v>4053</v>
      </c>
      <c r="AB29" s="279">
        <v>5016</v>
      </c>
      <c r="AC29" s="167">
        <f t="shared" si="74"/>
        <v>23.760177646188009</v>
      </c>
      <c r="AD29" s="279">
        <v>4528</v>
      </c>
      <c r="AE29" s="279">
        <v>5016</v>
      </c>
      <c r="AF29" s="167">
        <f t="shared" si="48"/>
        <v>10.777385159010601</v>
      </c>
      <c r="AG29" s="168"/>
      <c r="AH29" s="168" t="s">
        <v>53</v>
      </c>
      <c r="AI29" s="345">
        <v>3390</v>
      </c>
      <c r="AJ29" s="279">
        <v>4528</v>
      </c>
      <c r="AK29" s="167">
        <f t="shared" si="75"/>
        <v>33.569321533923301</v>
      </c>
      <c r="AL29" s="279">
        <v>4296</v>
      </c>
      <c r="AM29" s="279">
        <v>4528</v>
      </c>
      <c r="AN29" s="167">
        <f t="shared" si="49"/>
        <v>5.4003724394785841</v>
      </c>
      <c r="AO29" s="168"/>
      <c r="AP29" s="168" t="s">
        <v>53</v>
      </c>
      <c r="AQ29" s="345">
        <v>4166</v>
      </c>
      <c r="AR29" s="279">
        <v>4296</v>
      </c>
      <c r="AS29" s="167">
        <f t="shared" si="76"/>
        <v>3.1204992798847817</v>
      </c>
      <c r="AT29" s="279">
        <v>5447</v>
      </c>
      <c r="AU29" s="279">
        <v>4296</v>
      </c>
      <c r="AV29" s="167">
        <f t="shared" si="50"/>
        <v>-21.130897741876261</v>
      </c>
      <c r="AW29" s="168"/>
      <c r="AX29" s="168" t="s">
        <v>53</v>
      </c>
      <c r="AY29" s="345">
        <v>4353</v>
      </c>
      <c r="AZ29" s="279">
        <v>5447</v>
      </c>
      <c r="BA29" s="167">
        <f t="shared" si="77"/>
        <v>25.132092809556628</v>
      </c>
      <c r="BB29" s="279">
        <v>5093</v>
      </c>
      <c r="BC29" s="279">
        <v>5447</v>
      </c>
      <c r="BD29" s="167">
        <f t="shared" si="51"/>
        <v>6.9507166699391316</v>
      </c>
      <c r="BE29" s="168"/>
      <c r="BF29" s="168" t="s">
        <v>53</v>
      </c>
      <c r="BG29" s="276">
        <v>4184</v>
      </c>
      <c r="BH29" s="279">
        <v>5093</v>
      </c>
      <c r="BI29" s="167">
        <f t="shared" si="78"/>
        <v>21.725621414913959</v>
      </c>
      <c r="BJ29" s="279">
        <v>5469</v>
      </c>
      <c r="BK29" s="279">
        <v>5093</v>
      </c>
      <c r="BL29" s="167">
        <f t="shared" si="52"/>
        <v>-6.8751142804900338</v>
      </c>
      <c r="BN29" s="168"/>
      <c r="BO29" s="168" t="s">
        <v>53</v>
      </c>
      <c r="BP29" s="276">
        <v>4164</v>
      </c>
      <c r="BQ29" s="279">
        <v>5469</v>
      </c>
      <c r="BR29" s="167">
        <f t="shared" si="79"/>
        <v>31.340057636887607</v>
      </c>
      <c r="BS29" s="272">
        <v>5036</v>
      </c>
      <c r="BT29" s="279">
        <v>5469</v>
      </c>
      <c r="BU29" s="167">
        <f t="shared" si="53"/>
        <v>8.5980937251787122</v>
      </c>
      <c r="BW29" s="168"/>
      <c r="BX29" s="168" t="s">
        <v>53</v>
      </c>
      <c r="BY29" s="276" t="e">
        <f>'พ.ย. '!CK29</f>
        <v>#REF!</v>
      </c>
      <c r="BZ29" s="279" t="e">
        <f>#REF!</f>
        <v>#REF!</v>
      </c>
      <c r="CA29" s="167" t="e">
        <f t="shared" si="80"/>
        <v>#REF!</v>
      </c>
      <c r="CB29" s="272">
        <f t="shared" si="54"/>
        <v>5207</v>
      </c>
      <c r="CC29" s="280" t="e">
        <f>#REF!</f>
        <v>#REF!</v>
      </c>
      <c r="CD29" s="167" t="e">
        <f t="shared" si="55"/>
        <v>#REF!</v>
      </c>
      <c r="CE29" s="167"/>
      <c r="CF29" s="168"/>
      <c r="CG29" s="168" t="s">
        <v>53</v>
      </c>
      <c r="CH29" s="276">
        <f>43826-CH28-CH30</f>
        <v>4421</v>
      </c>
      <c r="CI29" s="279">
        <f>52766-CI28-CI30</f>
        <v>5207</v>
      </c>
      <c r="CJ29" s="167">
        <f t="shared" si="81"/>
        <v>17.778783080750962</v>
      </c>
      <c r="CK29" s="272">
        <v>5383</v>
      </c>
      <c r="CL29" s="280">
        <f>52766-CL28-CL30</f>
        <v>5207</v>
      </c>
      <c r="CM29" s="167">
        <f t="shared" si="56"/>
        <v>-3.2695522942597068</v>
      </c>
      <c r="CN29" s="73"/>
      <c r="CO29" s="226"/>
      <c r="CP29" s="226" t="s">
        <v>53</v>
      </c>
      <c r="CQ29" s="227">
        <v>5064</v>
      </c>
      <c r="CR29" s="227">
        <v>5383</v>
      </c>
      <c r="CS29" s="225">
        <f t="shared" si="59"/>
        <v>6.2993680884676149</v>
      </c>
      <c r="CT29" s="227">
        <v>7500</v>
      </c>
      <c r="CU29" s="227">
        <v>5383</v>
      </c>
      <c r="CV29" s="225">
        <f t="shared" si="60"/>
        <v>-28.226666666666667</v>
      </c>
      <c r="CW29" s="73"/>
      <c r="CX29" s="168"/>
      <c r="CY29" s="168" t="s">
        <v>53</v>
      </c>
      <c r="CZ29" s="169">
        <v>7151</v>
      </c>
      <c r="DA29" s="169">
        <v>7500</v>
      </c>
      <c r="DB29" s="167">
        <f t="shared" si="61"/>
        <v>4.8804363026150188</v>
      </c>
      <c r="DC29" s="169">
        <v>5689</v>
      </c>
      <c r="DD29" s="169">
        <v>7500</v>
      </c>
      <c r="DE29" s="167">
        <f t="shared" si="62"/>
        <v>31.833362629636142</v>
      </c>
      <c r="DF29" s="73"/>
      <c r="DG29" s="152"/>
      <c r="DH29" s="152" t="s">
        <v>53</v>
      </c>
      <c r="DI29" s="148">
        <v>3062</v>
      </c>
      <c r="DJ29" s="148">
        <v>5689</v>
      </c>
      <c r="DK29" s="151">
        <f t="shared" si="63"/>
        <v>85.793598954931412</v>
      </c>
      <c r="DL29" s="148">
        <v>5495</v>
      </c>
      <c r="DM29" s="148">
        <v>5689</v>
      </c>
      <c r="DN29" s="151">
        <f t="shared" si="64"/>
        <v>3.5304822565969065</v>
      </c>
      <c r="DO29" s="73"/>
      <c r="DP29" s="89"/>
      <c r="DQ29" s="89" t="s">
        <v>53</v>
      </c>
      <c r="DR29" s="90">
        <v>4805</v>
      </c>
      <c r="DS29" s="90">
        <v>5495</v>
      </c>
      <c r="DT29" s="129">
        <f t="shared" si="65"/>
        <v>14.360041623309053</v>
      </c>
      <c r="DU29" s="90">
        <v>4344</v>
      </c>
      <c r="DV29" s="90">
        <v>5495</v>
      </c>
      <c r="DW29" s="129">
        <f t="shared" si="66"/>
        <v>26.496316758747696</v>
      </c>
      <c r="DX29" s="130"/>
      <c r="DY29" s="42"/>
      <c r="DZ29" s="42" t="s">
        <v>53</v>
      </c>
      <c r="EA29" s="43">
        <v>3513</v>
      </c>
      <c r="EB29" s="113">
        <v>4344</v>
      </c>
      <c r="EC29" s="44">
        <f t="shared" si="67"/>
        <v>23.654995730145174</v>
      </c>
      <c r="ED29" s="43">
        <v>2800</v>
      </c>
      <c r="EE29" s="113">
        <v>4344</v>
      </c>
      <c r="EF29" s="44">
        <f t="shared" si="68"/>
        <v>55.142857142857139</v>
      </c>
      <c r="EG29" s="61"/>
      <c r="EH29" s="89"/>
      <c r="EI29" s="89" t="s">
        <v>53</v>
      </c>
      <c r="EJ29" s="90">
        <v>2999</v>
      </c>
      <c r="EK29" s="90">
        <v>2800</v>
      </c>
      <c r="EL29" s="91">
        <f t="shared" si="69"/>
        <v>-6.6355451817272426</v>
      </c>
      <c r="EM29" s="92">
        <v>4388</v>
      </c>
      <c r="EN29" s="90">
        <v>2800</v>
      </c>
      <c r="EO29" s="91">
        <f t="shared" si="70"/>
        <v>-36.189608021877852</v>
      </c>
      <c r="EP29" s="61"/>
      <c r="EQ29" s="42"/>
      <c r="ER29" s="42" t="s">
        <v>53</v>
      </c>
      <c r="ES29" s="43">
        <v>4079</v>
      </c>
      <c r="ET29" s="43">
        <v>4388</v>
      </c>
      <c r="EU29" s="44">
        <f t="shared" si="57"/>
        <v>7.5753861240500129</v>
      </c>
      <c r="EV29" s="45">
        <v>3343</v>
      </c>
      <c r="EW29" s="43">
        <v>4388</v>
      </c>
      <c r="EX29" s="44">
        <f t="shared" si="58"/>
        <v>31.259347891115763</v>
      </c>
      <c r="EY29" s="61"/>
    </row>
    <row r="30" spans="1:159" ht="22.5" thickBot="1" x14ac:dyDescent="0.55000000000000004">
      <c r="A30" s="168"/>
      <c r="B30" s="168" t="s">
        <v>54</v>
      </c>
      <c r="C30" s="227">
        <f>3646+14126</f>
        <v>17772</v>
      </c>
      <c r="D30" s="382">
        <v>26966</v>
      </c>
      <c r="E30" s="167">
        <f t="shared" si="71"/>
        <v>51.733063245554803</v>
      </c>
      <c r="F30" s="277">
        <v>16072</v>
      </c>
      <c r="G30" s="382">
        <v>26966</v>
      </c>
      <c r="H30" s="167">
        <f t="shared" si="45"/>
        <v>67.782478845196607</v>
      </c>
      <c r="I30" s="168"/>
      <c r="J30" s="168" t="s">
        <v>54</v>
      </c>
      <c r="K30" s="227">
        <v>15471</v>
      </c>
      <c r="L30" s="277">
        <v>17839</v>
      </c>
      <c r="M30" s="167">
        <f t="shared" si="72"/>
        <v>15.306056492792969</v>
      </c>
      <c r="N30" s="277">
        <v>17797</v>
      </c>
      <c r="O30" s="277">
        <v>17839</v>
      </c>
      <c r="P30" s="167">
        <f t="shared" si="46"/>
        <v>0.23599483058942519</v>
      </c>
      <c r="Q30" s="168"/>
      <c r="R30" s="168" t="s">
        <v>54</v>
      </c>
      <c r="S30" s="345">
        <v>15003</v>
      </c>
      <c r="T30" s="277">
        <v>17797</v>
      </c>
      <c r="U30" s="167">
        <f t="shared" si="73"/>
        <v>18.622942078251018</v>
      </c>
      <c r="V30" s="277">
        <v>17572</v>
      </c>
      <c r="W30" s="277">
        <v>17797</v>
      </c>
      <c r="X30" s="167">
        <f t="shared" si="47"/>
        <v>1.2804461643523788</v>
      </c>
      <c r="Y30" s="168"/>
      <c r="Z30" s="168" t="s">
        <v>54</v>
      </c>
      <c r="AA30" s="345">
        <v>10730</v>
      </c>
      <c r="AB30" s="277">
        <v>17572</v>
      </c>
      <c r="AC30" s="167">
        <f t="shared" si="74"/>
        <v>63.765144454799625</v>
      </c>
      <c r="AD30" s="277">
        <v>17427</v>
      </c>
      <c r="AE30" s="277">
        <v>17572</v>
      </c>
      <c r="AF30" s="167">
        <f t="shared" si="48"/>
        <v>0.83204223331611871</v>
      </c>
      <c r="AG30" s="168"/>
      <c r="AH30" s="168" t="s">
        <v>54</v>
      </c>
      <c r="AI30" s="345">
        <v>12905</v>
      </c>
      <c r="AJ30" s="277">
        <v>17427</v>
      </c>
      <c r="AK30" s="167">
        <f t="shared" si="75"/>
        <v>35.040681906237893</v>
      </c>
      <c r="AL30" s="277">
        <v>12630</v>
      </c>
      <c r="AM30" s="277">
        <v>17427</v>
      </c>
      <c r="AN30" s="167">
        <f t="shared" si="49"/>
        <v>37.980997624703086</v>
      </c>
      <c r="AO30" s="168"/>
      <c r="AP30" s="168" t="s">
        <v>54</v>
      </c>
      <c r="AQ30" s="345">
        <v>9236</v>
      </c>
      <c r="AR30" s="277">
        <v>12630</v>
      </c>
      <c r="AS30" s="167">
        <f t="shared" si="76"/>
        <v>36.74750974447813</v>
      </c>
      <c r="AT30" s="277">
        <v>16291</v>
      </c>
      <c r="AU30" s="277">
        <v>12630</v>
      </c>
      <c r="AV30" s="167">
        <f t="shared" si="50"/>
        <v>-22.472530845251978</v>
      </c>
      <c r="AW30" s="168"/>
      <c r="AX30" s="168" t="s">
        <v>54</v>
      </c>
      <c r="AY30" s="345">
        <v>12066</v>
      </c>
      <c r="AZ30" s="277">
        <v>16291</v>
      </c>
      <c r="BA30" s="167">
        <f t="shared" si="77"/>
        <v>35.01574672633847</v>
      </c>
      <c r="BB30" s="277">
        <v>15204</v>
      </c>
      <c r="BC30" s="277">
        <v>16291</v>
      </c>
      <c r="BD30" s="167">
        <f t="shared" si="51"/>
        <v>7.1494343593791099</v>
      </c>
      <c r="BE30" s="168"/>
      <c r="BF30" s="168" t="s">
        <v>54</v>
      </c>
      <c r="BG30" s="276">
        <v>9770</v>
      </c>
      <c r="BH30" s="277">
        <v>15204</v>
      </c>
      <c r="BI30" s="167">
        <f t="shared" si="78"/>
        <v>55.619242579324457</v>
      </c>
      <c r="BJ30" s="277">
        <v>12291</v>
      </c>
      <c r="BK30" s="277">
        <v>15204</v>
      </c>
      <c r="BL30" s="167">
        <f t="shared" si="52"/>
        <v>23.700268489138391</v>
      </c>
      <c r="BN30" s="168"/>
      <c r="BO30" s="168" t="s">
        <v>54</v>
      </c>
      <c r="BP30" s="276">
        <v>7355</v>
      </c>
      <c r="BQ30" s="277">
        <v>12291</v>
      </c>
      <c r="BR30" s="167">
        <f t="shared" si="79"/>
        <v>67.110808973487423</v>
      </c>
      <c r="BS30" s="272">
        <v>23355</v>
      </c>
      <c r="BT30" s="277">
        <v>12291</v>
      </c>
      <c r="BU30" s="167">
        <f t="shared" si="53"/>
        <v>-47.373153500321131</v>
      </c>
      <c r="BW30" s="168"/>
      <c r="BX30" s="168" t="s">
        <v>54</v>
      </c>
      <c r="BY30" s="276" t="e">
        <f>'พ.ย. '!CK30</f>
        <v>#REF!</v>
      </c>
      <c r="BZ30" s="277" t="e">
        <f>#REF!</f>
        <v>#REF!</v>
      </c>
      <c r="CA30" s="167" t="e">
        <f t="shared" si="80"/>
        <v>#REF!</v>
      </c>
      <c r="CB30" s="272">
        <f t="shared" si="54"/>
        <v>10106</v>
      </c>
      <c r="CC30" s="278" t="e">
        <f>#REF!</f>
        <v>#REF!</v>
      </c>
      <c r="CD30" s="167" t="e">
        <f t="shared" si="55"/>
        <v>#REF!</v>
      </c>
      <c r="CE30" s="167"/>
      <c r="CF30" s="168"/>
      <c r="CG30" s="168" t="s">
        <v>54</v>
      </c>
      <c r="CH30" s="281">
        <v>7969</v>
      </c>
      <c r="CI30" s="277">
        <v>10106</v>
      </c>
      <c r="CJ30" s="167">
        <f t="shared" si="81"/>
        <v>26.816413602710504</v>
      </c>
      <c r="CK30" s="273">
        <v>10833</v>
      </c>
      <c r="CL30" s="278">
        <v>10106</v>
      </c>
      <c r="CM30" s="167">
        <f t="shared" si="56"/>
        <v>-6.710975722329918</v>
      </c>
      <c r="CN30" s="73"/>
      <c r="CO30" s="226"/>
      <c r="CP30" s="226" t="s">
        <v>54</v>
      </c>
      <c r="CQ30" s="227">
        <v>7314</v>
      </c>
      <c r="CR30" s="227">
        <v>10833</v>
      </c>
      <c r="CS30" s="225">
        <f t="shared" si="59"/>
        <v>48.113207547169814</v>
      </c>
      <c r="CT30" s="227">
        <v>9839</v>
      </c>
      <c r="CU30" s="227">
        <v>10833</v>
      </c>
      <c r="CV30" s="225">
        <f t="shared" si="60"/>
        <v>10.102652708608598</v>
      </c>
      <c r="CW30" s="73"/>
      <c r="CX30" s="168"/>
      <c r="CY30" s="168" t="s">
        <v>54</v>
      </c>
      <c r="CZ30" s="169">
        <v>9814</v>
      </c>
      <c r="DA30" s="169">
        <v>9839</v>
      </c>
      <c r="DB30" s="167">
        <f t="shared" si="61"/>
        <v>0.25473812920317912</v>
      </c>
      <c r="DC30" s="169">
        <v>4237</v>
      </c>
      <c r="DD30" s="169">
        <v>9839</v>
      </c>
      <c r="DE30" s="167">
        <f t="shared" si="62"/>
        <v>132.21619070096767</v>
      </c>
      <c r="DF30" s="73"/>
      <c r="DG30" s="152"/>
      <c r="DH30" s="152" t="s">
        <v>54</v>
      </c>
      <c r="DI30" s="148">
        <v>2932</v>
      </c>
      <c r="DJ30" s="148">
        <v>4237</v>
      </c>
      <c r="DK30" s="151">
        <f t="shared" si="63"/>
        <v>44.508867667121422</v>
      </c>
      <c r="DL30" s="148">
        <v>7013</v>
      </c>
      <c r="DM30" s="148">
        <v>4237</v>
      </c>
      <c r="DN30" s="151">
        <f t="shared" si="64"/>
        <v>-39.583630400684441</v>
      </c>
      <c r="DO30" s="73"/>
      <c r="DP30" s="89"/>
      <c r="DQ30" s="89" t="s">
        <v>54</v>
      </c>
      <c r="DR30" s="90">
        <v>5464</v>
      </c>
      <c r="DS30" s="90">
        <v>7013</v>
      </c>
      <c r="DT30" s="129">
        <f t="shared" si="65"/>
        <v>28.349194729136162</v>
      </c>
      <c r="DU30" s="90">
        <v>5436</v>
      </c>
      <c r="DV30" s="90">
        <v>7013</v>
      </c>
      <c r="DW30" s="129">
        <f t="shared" si="66"/>
        <v>29.010301692420899</v>
      </c>
      <c r="DX30" s="130"/>
      <c r="DY30" s="42"/>
      <c r="DZ30" s="42" t="s">
        <v>54</v>
      </c>
      <c r="EA30" s="43">
        <v>3661</v>
      </c>
      <c r="EB30" s="113">
        <v>5436</v>
      </c>
      <c r="EC30" s="44">
        <f t="shared" si="67"/>
        <v>48.484020759355367</v>
      </c>
      <c r="ED30" s="43">
        <v>3757</v>
      </c>
      <c r="EE30" s="113">
        <v>5436</v>
      </c>
      <c r="EF30" s="44">
        <f t="shared" si="68"/>
        <v>44.689912163960607</v>
      </c>
      <c r="EG30" s="61"/>
      <c r="EH30" s="89"/>
      <c r="EI30" s="89" t="s">
        <v>54</v>
      </c>
      <c r="EJ30" s="90">
        <v>2816</v>
      </c>
      <c r="EK30" s="90">
        <v>3757</v>
      </c>
      <c r="EL30" s="91">
        <f t="shared" si="69"/>
        <v>33.41619318181818</v>
      </c>
      <c r="EM30" s="92">
        <v>3390</v>
      </c>
      <c r="EN30" s="90">
        <v>3757</v>
      </c>
      <c r="EO30" s="91">
        <f t="shared" si="70"/>
        <v>10.825958702064897</v>
      </c>
      <c r="EP30" s="61"/>
      <c r="EQ30" s="42"/>
      <c r="ER30" s="42" t="s">
        <v>54</v>
      </c>
      <c r="ES30" s="43">
        <v>3212</v>
      </c>
      <c r="ET30" s="43">
        <v>3390</v>
      </c>
      <c r="EU30" s="44">
        <f t="shared" si="57"/>
        <v>5.5417185554171855</v>
      </c>
      <c r="EV30" s="45">
        <v>3976</v>
      </c>
      <c r="EW30" s="43">
        <v>3390</v>
      </c>
      <c r="EX30" s="44">
        <f t="shared" si="58"/>
        <v>-14.738430583501005</v>
      </c>
      <c r="EY30" s="61"/>
    </row>
    <row r="31" spans="1:159" x14ac:dyDescent="0.5">
      <c r="A31" s="165" t="s">
        <v>2</v>
      </c>
      <c r="B31" s="165" t="s">
        <v>55</v>
      </c>
      <c r="C31" s="238">
        <v>78692</v>
      </c>
      <c r="D31" s="380">
        <v>84963</v>
      </c>
      <c r="E31" s="167">
        <f t="shared" si="71"/>
        <v>7.9690438672291979</v>
      </c>
      <c r="F31" s="292">
        <v>76346</v>
      </c>
      <c r="G31" s="380">
        <v>84963</v>
      </c>
      <c r="H31" s="167">
        <f t="shared" si="45"/>
        <v>11.286773373850627</v>
      </c>
      <c r="I31" s="165" t="s">
        <v>2</v>
      </c>
      <c r="J31" s="165" t="s">
        <v>55</v>
      </c>
      <c r="K31" s="238">
        <v>99609</v>
      </c>
      <c r="L31" s="292">
        <v>90305</v>
      </c>
      <c r="M31" s="167">
        <f t="shared" si="72"/>
        <v>-9.3405214388258084</v>
      </c>
      <c r="N31" s="292">
        <v>111605</v>
      </c>
      <c r="O31" s="292">
        <v>90305</v>
      </c>
      <c r="P31" s="167">
        <f t="shared" si="46"/>
        <v>-19.085166435195553</v>
      </c>
      <c r="Q31" s="165" t="s">
        <v>2</v>
      </c>
      <c r="R31" s="165" t="s">
        <v>55</v>
      </c>
      <c r="S31" s="292">
        <v>87979</v>
      </c>
      <c r="T31" s="292">
        <v>111605</v>
      </c>
      <c r="U31" s="167">
        <f t="shared" si="73"/>
        <v>26.854135646006434</v>
      </c>
      <c r="V31" s="292">
        <v>101307</v>
      </c>
      <c r="W31" s="292">
        <v>111605</v>
      </c>
      <c r="X31" s="167">
        <f t="shared" si="47"/>
        <v>10.165141599297185</v>
      </c>
      <c r="Y31" s="165" t="s">
        <v>2</v>
      </c>
      <c r="Z31" s="165" t="s">
        <v>55</v>
      </c>
      <c r="AA31" s="292">
        <v>98829</v>
      </c>
      <c r="AB31" s="292">
        <v>101307</v>
      </c>
      <c r="AC31" s="167">
        <f t="shared" si="74"/>
        <v>2.5073611996478768</v>
      </c>
      <c r="AD31" s="292">
        <v>68481</v>
      </c>
      <c r="AE31" s="292">
        <v>101307</v>
      </c>
      <c r="AF31" s="167">
        <f t="shared" si="48"/>
        <v>47.934463573838002</v>
      </c>
      <c r="AG31" s="165" t="s">
        <v>2</v>
      </c>
      <c r="AH31" s="165" t="s">
        <v>55</v>
      </c>
      <c r="AI31" s="292">
        <v>74532</v>
      </c>
      <c r="AJ31" s="292">
        <v>68481</v>
      </c>
      <c r="AK31" s="167">
        <f t="shared" si="75"/>
        <v>-8.1186604411527927</v>
      </c>
      <c r="AL31" s="292">
        <v>72265</v>
      </c>
      <c r="AM31" s="292">
        <v>68481</v>
      </c>
      <c r="AN31" s="167">
        <f t="shared" si="49"/>
        <v>-5.2362831246108072</v>
      </c>
      <c r="AO31" s="165" t="s">
        <v>2</v>
      </c>
      <c r="AP31" s="165" t="s">
        <v>55</v>
      </c>
      <c r="AQ31" s="292">
        <v>75185</v>
      </c>
      <c r="AR31" s="292">
        <v>72265</v>
      </c>
      <c r="AS31" s="167">
        <f t="shared" si="76"/>
        <v>-3.8837534082596261</v>
      </c>
      <c r="AT31" s="292">
        <v>95407</v>
      </c>
      <c r="AU31" s="292">
        <v>72265</v>
      </c>
      <c r="AV31" s="167">
        <f t="shared" si="50"/>
        <v>-24.256081838858783</v>
      </c>
      <c r="AW31" s="165" t="s">
        <v>2</v>
      </c>
      <c r="AX31" s="165" t="s">
        <v>55</v>
      </c>
      <c r="AY31" s="292">
        <v>93108</v>
      </c>
      <c r="AZ31" s="292">
        <v>95407</v>
      </c>
      <c r="BA31" s="167">
        <f t="shared" si="77"/>
        <v>2.4691755810456675</v>
      </c>
      <c r="BB31" s="292">
        <v>95834</v>
      </c>
      <c r="BC31" s="292">
        <v>95407</v>
      </c>
      <c r="BD31" s="167">
        <f t="shared" si="51"/>
        <v>-0.4455621178287455</v>
      </c>
      <c r="BE31" s="165" t="s">
        <v>2</v>
      </c>
      <c r="BF31" s="165" t="s">
        <v>55</v>
      </c>
      <c r="BG31" s="292">
        <v>103042</v>
      </c>
      <c r="BH31" s="292">
        <v>95834</v>
      </c>
      <c r="BI31" s="167">
        <f t="shared" si="78"/>
        <v>-6.9952058383959947</v>
      </c>
      <c r="BJ31" s="292">
        <v>86120</v>
      </c>
      <c r="BK31" s="292">
        <v>95834</v>
      </c>
      <c r="BL31" s="167">
        <f t="shared" si="52"/>
        <v>11.279609846725499</v>
      </c>
      <c r="BN31" s="165" t="s">
        <v>2</v>
      </c>
      <c r="BO31" s="165" t="s">
        <v>55</v>
      </c>
      <c r="BP31" s="292">
        <v>98477</v>
      </c>
      <c r="BQ31" s="292">
        <v>86120</v>
      </c>
      <c r="BR31" s="167">
        <f t="shared" si="79"/>
        <v>-12.548107679965881</v>
      </c>
      <c r="BS31" s="292">
        <v>86650</v>
      </c>
      <c r="BT31" s="292">
        <v>86120</v>
      </c>
      <c r="BU31" s="167">
        <f t="shared" si="53"/>
        <v>-0.61165608770917479</v>
      </c>
      <c r="BW31" s="165" t="s">
        <v>2</v>
      </c>
      <c r="BX31" s="165" t="s">
        <v>55</v>
      </c>
      <c r="BY31" s="292" t="e">
        <f>'พ.ย. '!CK31</f>
        <v>#REF!</v>
      </c>
      <c r="BZ31" s="292" t="e">
        <f>CC31</f>
        <v>#REF!</v>
      </c>
      <c r="CA31" s="167" t="e">
        <f t="shared" si="80"/>
        <v>#REF!</v>
      </c>
      <c r="CB31" s="292">
        <f t="shared" si="54"/>
        <v>89146</v>
      </c>
      <c r="CC31" s="292" t="e">
        <f>#REF!</f>
        <v>#REF!</v>
      </c>
      <c r="CD31" s="167" t="e">
        <f t="shared" si="55"/>
        <v>#REF!</v>
      </c>
      <c r="CE31" s="167"/>
      <c r="CF31" s="165" t="s">
        <v>2</v>
      </c>
      <c r="CG31" s="165" t="s">
        <v>55</v>
      </c>
      <c r="CH31" s="282">
        <v>106591</v>
      </c>
      <c r="CI31" s="282">
        <v>89146</v>
      </c>
      <c r="CJ31" s="167">
        <f t="shared" si="81"/>
        <v>-16.366297342177109</v>
      </c>
      <c r="CK31" s="282">
        <v>87961</v>
      </c>
      <c r="CL31" s="282">
        <v>89146</v>
      </c>
      <c r="CM31" s="167">
        <f t="shared" si="56"/>
        <v>1.3471879582997011</v>
      </c>
      <c r="CN31" s="73"/>
      <c r="CO31" s="224" t="s">
        <v>2</v>
      </c>
      <c r="CP31" s="224" t="s">
        <v>55</v>
      </c>
      <c r="CQ31" s="238">
        <v>96006</v>
      </c>
      <c r="CR31" s="238">
        <v>87961</v>
      </c>
      <c r="CS31" s="225">
        <f t="shared" si="59"/>
        <v>-8.3796846030456429</v>
      </c>
      <c r="CT31" s="238">
        <v>86297</v>
      </c>
      <c r="CU31" s="238">
        <v>87961</v>
      </c>
      <c r="CV31" s="225">
        <f t="shared" si="60"/>
        <v>1.9282246196275652</v>
      </c>
      <c r="CW31" s="73"/>
      <c r="CX31" s="165" t="s">
        <v>2</v>
      </c>
      <c r="CY31" s="165" t="s">
        <v>55</v>
      </c>
      <c r="CZ31" s="166">
        <v>100225</v>
      </c>
      <c r="DA31" s="166">
        <v>86297</v>
      </c>
      <c r="DB31" s="167">
        <f t="shared" si="61"/>
        <v>-13.896732352207533</v>
      </c>
      <c r="DC31" s="166">
        <v>35046</v>
      </c>
      <c r="DD31" s="166">
        <v>86297</v>
      </c>
      <c r="DE31" s="167">
        <f t="shared" si="62"/>
        <v>146.23922844261827</v>
      </c>
      <c r="DF31" s="73"/>
      <c r="DG31" s="150" t="s">
        <v>2</v>
      </c>
      <c r="DH31" s="150" t="s">
        <v>55</v>
      </c>
      <c r="DI31" s="147">
        <v>6258</v>
      </c>
      <c r="DJ31" s="147">
        <v>35046</v>
      </c>
      <c r="DK31" s="151">
        <f t="shared" si="63"/>
        <v>460.0191754554171</v>
      </c>
      <c r="DL31" s="147">
        <v>71025</v>
      </c>
      <c r="DM31" s="147">
        <v>35046</v>
      </c>
      <c r="DN31" s="151">
        <f t="shared" si="64"/>
        <v>-50.656810982048569</v>
      </c>
      <c r="DO31" s="73"/>
      <c r="DP31" s="86" t="s">
        <v>2</v>
      </c>
      <c r="DQ31" s="86" t="s">
        <v>55</v>
      </c>
      <c r="DR31" s="87">
        <v>79618</v>
      </c>
      <c r="DS31" s="87">
        <v>71025</v>
      </c>
      <c r="DT31" s="126">
        <f t="shared" si="65"/>
        <v>-10.792785551006054</v>
      </c>
      <c r="DU31" s="87">
        <v>53600</v>
      </c>
      <c r="DV31" s="87">
        <v>71025</v>
      </c>
      <c r="DW31" s="126">
        <f t="shared" si="66"/>
        <v>32.509328358208954</v>
      </c>
      <c r="DX31" s="127"/>
      <c r="DY31" s="63" t="s">
        <v>2</v>
      </c>
      <c r="DZ31" s="63" t="s">
        <v>55</v>
      </c>
      <c r="EA31" s="68">
        <v>58665</v>
      </c>
      <c r="EB31" s="114">
        <v>53600</v>
      </c>
      <c r="EC31" s="65">
        <f t="shared" si="67"/>
        <v>-8.6337680047728629</v>
      </c>
      <c r="ED31" s="68">
        <v>43273</v>
      </c>
      <c r="EE31" s="114">
        <v>53600</v>
      </c>
      <c r="EF31" s="65">
        <f t="shared" si="68"/>
        <v>23.864765558200261</v>
      </c>
      <c r="EG31" s="73"/>
      <c r="EH31" s="86" t="s">
        <v>2</v>
      </c>
      <c r="EI31" s="86" t="s">
        <v>55</v>
      </c>
      <c r="EJ31" s="87">
        <v>65917</v>
      </c>
      <c r="EK31" s="87">
        <v>43273</v>
      </c>
      <c r="EL31" s="88">
        <f t="shared" si="69"/>
        <v>-34.352291518121277</v>
      </c>
      <c r="EM31" s="87">
        <v>68313</v>
      </c>
      <c r="EN31" s="87">
        <v>43273</v>
      </c>
      <c r="EO31" s="88">
        <f t="shared" si="70"/>
        <v>-36.65480947989402</v>
      </c>
      <c r="EP31" s="73"/>
      <c r="EQ31" s="63" t="s">
        <v>2</v>
      </c>
      <c r="ER31" s="63" t="s">
        <v>55</v>
      </c>
      <c r="ES31" s="68">
        <v>69783</v>
      </c>
      <c r="ET31" s="68">
        <v>68313</v>
      </c>
      <c r="EU31" s="65">
        <f t="shared" si="57"/>
        <v>-2.1065302437556426</v>
      </c>
      <c r="EV31" s="68">
        <v>54896</v>
      </c>
      <c r="EW31" s="68">
        <v>68313</v>
      </c>
      <c r="EX31" s="65">
        <f t="shared" si="58"/>
        <v>24.440760711162927</v>
      </c>
      <c r="EY31" s="73"/>
    </row>
    <row r="32" spans="1:159" ht="22.5" thickBot="1" x14ac:dyDescent="0.55000000000000004">
      <c r="A32" s="168"/>
      <c r="B32" s="168" t="s">
        <v>56</v>
      </c>
      <c r="C32" s="228">
        <v>52219.977498239998</v>
      </c>
      <c r="D32" s="384">
        <v>53679.006686619949</v>
      </c>
      <c r="E32" s="167">
        <f>((D32-C32)/C32)*100</f>
        <v>2.7940057776339056</v>
      </c>
      <c r="F32" s="300">
        <v>52414.336032769999</v>
      </c>
      <c r="G32" s="384">
        <v>53679.006686619949</v>
      </c>
      <c r="H32" s="167">
        <f t="shared" si="45"/>
        <v>2.412833490935121</v>
      </c>
      <c r="I32" s="168"/>
      <c r="J32" s="168" t="s">
        <v>56</v>
      </c>
      <c r="K32" s="228">
        <v>65575.854644000006</v>
      </c>
      <c r="L32" s="300">
        <v>62499.783751920018</v>
      </c>
      <c r="M32" s="167">
        <f>((L32-K32)/K32)*100</f>
        <v>-4.6908590193440034</v>
      </c>
      <c r="N32" s="300">
        <v>71351.548286693302</v>
      </c>
      <c r="O32" s="300">
        <v>62499.783751919997</v>
      </c>
      <c r="P32" s="167">
        <f t="shared" si="46"/>
        <v>-12.405847872013331</v>
      </c>
      <c r="Q32" s="168"/>
      <c r="R32" s="168" t="s">
        <v>56</v>
      </c>
      <c r="S32" s="304">
        <v>56071.91</v>
      </c>
      <c r="T32" s="300">
        <v>71351.548286693302</v>
      </c>
      <c r="U32" s="167">
        <f>((T32-S32)/S32)*100</f>
        <v>27.250076351408925</v>
      </c>
      <c r="V32" s="300">
        <v>60988.308159750006</v>
      </c>
      <c r="W32" s="300">
        <v>71351.548286693302</v>
      </c>
      <c r="X32" s="167">
        <f t="shared" si="47"/>
        <v>16.992175122809268</v>
      </c>
      <c r="Y32" s="168"/>
      <c r="Z32" s="168" t="s">
        <v>56</v>
      </c>
      <c r="AA32" s="304">
        <v>57737.820674116723</v>
      </c>
      <c r="AB32" s="300">
        <v>60988.308159750006</v>
      </c>
      <c r="AC32" s="167">
        <f>((AB32-AA32)/AA32)*100</f>
        <v>5.6297370556808062</v>
      </c>
      <c r="AD32" s="300">
        <v>39216.911703617377</v>
      </c>
      <c r="AE32" s="300">
        <v>60988.308159750006</v>
      </c>
      <c r="AF32" s="167">
        <f t="shared" si="48"/>
        <v>55.515326195673964</v>
      </c>
      <c r="AG32" s="168"/>
      <c r="AH32" s="168" t="s">
        <v>56</v>
      </c>
      <c r="AI32" s="304">
        <v>42674.602039875586</v>
      </c>
      <c r="AJ32" s="300">
        <v>39216.911703617377</v>
      </c>
      <c r="AK32" s="167">
        <f>((AJ32-AI32)/AI32)*100</f>
        <v>-8.1024547880430315</v>
      </c>
      <c r="AL32" s="300">
        <v>37595.949999999997</v>
      </c>
      <c r="AM32" s="300">
        <v>39216.911703617377</v>
      </c>
      <c r="AN32" s="167">
        <f t="shared" si="49"/>
        <v>4.3115327678044588</v>
      </c>
      <c r="AO32" s="168"/>
      <c r="AP32" s="168" t="s">
        <v>56</v>
      </c>
      <c r="AQ32" s="304">
        <v>39369.160000000003</v>
      </c>
      <c r="AR32" s="300">
        <v>37595.949999999997</v>
      </c>
      <c r="AS32" s="167">
        <f>((AR32-AQ32)/AQ32)*100</f>
        <v>-4.5040585067093284</v>
      </c>
      <c r="AT32" s="300">
        <v>47336.81</v>
      </c>
      <c r="AU32" s="300">
        <v>37595.949999999997</v>
      </c>
      <c r="AV32" s="167">
        <f t="shared" si="50"/>
        <v>-20.577770238425448</v>
      </c>
      <c r="AW32" s="168"/>
      <c r="AX32" s="168" t="s">
        <v>56</v>
      </c>
      <c r="AY32" s="304">
        <v>48092.72</v>
      </c>
      <c r="AZ32" s="300">
        <v>47336.81</v>
      </c>
      <c r="BA32" s="167">
        <f t="shared" si="77"/>
        <v>-1.5717763520133681</v>
      </c>
      <c r="BB32" s="300">
        <v>49779.55</v>
      </c>
      <c r="BC32" s="300">
        <v>47336.81</v>
      </c>
      <c r="BD32" s="167">
        <f t="shared" si="51"/>
        <v>-4.9071154721165726</v>
      </c>
      <c r="BE32" s="168"/>
      <c r="BF32" s="168" t="s">
        <v>56</v>
      </c>
      <c r="BG32" s="304">
        <v>54059.73</v>
      </c>
      <c r="BH32" s="300">
        <v>49779.55</v>
      </c>
      <c r="BI32" s="167">
        <f t="shared" si="78"/>
        <v>-7.9175016227421038</v>
      </c>
      <c r="BJ32" s="300">
        <v>46368.25</v>
      </c>
      <c r="BK32" s="300">
        <v>49779.55</v>
      </c>
      <c r="BL32" s="167">
        <f t="shared" si="52"/>
        <v>7.3569737913335151</v>
      </c>
      <c r="BN32" s="168"/>
      <c r="BO32" s="168" t="s">
        <v>56</v>
      </c>
      <c r="BP32" s="304">
        <v>51111.85</v>
      </c>
      <c r="BQ32" s="300">
        <v>46368.25</v>
      </c>
      <c r="BR32" s="167">
        <f t="shared" si="79"/>
        <v>-9.2808223533290199</v>
      </c>
      <c r="BS32" s="300">
        <v>46414.76</v>
      </c>
      <c r="BT32" s="300">
        <v>46368.25</v>
      </c>
      <c r="BU32" s="167">
        <f t="shared" si="53"/>
        <v>-0.10020519334798247</v>
      </c>
      <c r="BW32" s="168"/>
      <c r="BX32" s="168" t="s">
        <v>56</v>
      </c>
      <c r="BY32" s="304" t="e">
        <f>'พ.ย. '!CK32</f>
        <v>#REF!</v>
      </c>
      <c r="BZ32" s="300" t="e">
        <f>CC32</f>
        <v>#REF!</v>
      </c>
      <c r="CA32" s="167" t="e">
        <f t="shared" si="80"/>
        <v>#REF!</v>
      </c>
      <c r="CB32" s="300">
        <f t="shared" si="54"/>
        <v>39256.44</v>
      </c>
      <c r="CC32" s="300" t="e">
        <f>#REF!</f>
        <v>#REF!</v>
      </c>
      <c r="CD32" s="167" t="e">
        <f t="shared" si="55"/>
        <v>#REF!</v>
      </c>
      <c r="CE32" s="167"/>
      <c r="CF32" s="168"/>
      <c r="CG32" s="168" t="s">
        <v>56</v>
      </c>
      <c r="CH32" s="283">
        <v>47829.34</v>
      </c>
      <c r="CI32" s="284">
        <v>39256.44</v>
      </c>
      <c r="CJ32" s="167">
        <f t="shared" si="81"/>
        <v>-17.923935391958146</v>
      </c>
      <c r="CK32" s="284">
        <v>40462.89</v>
      </c>
      <c r="CL32" s="284">
        <v>39256.44</v>
      </c>
      <c r="CM32" s="167">
        <f t="shared" si="56"/>
        <v>-2.9816209371105158</v>
      </c>
      <c r="CN32" s="73"/>
      <c r="CO32" s="226"/>
      <c r="CP32" s="226" t="s">
        <v>56</v>
      </c>
      <c r="CQ32" s="228">
        <v>44719.12</v>
      </c>
      <c r="CR32" s="228">
        <v>40462.89</v>
      </c>
      <c r="CS32" s="225">
        <f t="shared" si="59"/>
        <v>-9.5176962337362703</v>
      </c>
      <c r="CT32" s="228">
        <v>40767.17</v>
      </c>
      <c r="CU32" s="228">
        <v>40462.89</v>
      </c>
      <c r="CV32" s="225">
        <f t="shared" si="60"/>
        <v>-0.74638489745547421</v>
      </c>
      <c r="CW32" s="73"/>
      <c r="CX32" s="168"/>
      <c r="CY32" s="168" t="s">
        <v>56</v>
      </c>
      <c r="CZ32" s="170">
        <v>46580.56</v>
      </c>
      <c r="DA32" s="170">
        <v>40767.17</v>
      </c>
      <c r="DB32" s="167">
        <f t="shared" si="61"/>
        <v>-12.480292207736445</v>
      </c>
      <c r="DC32" s="170">
        <v>17048.54</v>
      </c>
      <c r="DD32" s="170">
        <v>40767.17</v>
      </c>
      <c r="DE32" s="167">
        <f t="shared" si="62"/>
        <v>139.12411268061661</v>
      </c>
      <c r="DF32" s="73"/>
      <c r="DG32" s="152"/>
      <c r="DH32" s="152" t="s">
        <v>56</v>
      </c>
      <c r="DI32" s="149">
        <v>2966.09</v>
      </c>
      <c r="DJ32" s="149">
        <v>17048.54</v>
      </c>
      <c r="DK32" s="151">
        <f t="shared" si="63"/>
        <v>474.78161485322426</v>
      </c>
      <c r="DL32" s="149">
        <v>29872.69</v>
      </c>
      <c r="DM32" s="149">
        <v>17048.54</v>
      </c>
      <c r="DN32" s="151">
        <f t="shared" si="64"/>
        <v>-42.929344494921615</v>
      </c>
      <c r="DO32" s="73"/>
      <c r="DP32" s="89"/>
      <c r="DQ32" s="89" t="s">
        <v>56</v>
      </c>
      <c r="DR32" s="93">
        <v>33142.44</v>
      </c>
      <c r="DS32" s="93">
        <v>29872.69</v>
      </c>
      <c r="DT32" s="129">
        <f t="shared" si="65"/>
        <v>-9.8657491723602835</v>
      </c>
      <c r="DU32" s="93">
        <v>25210.53</v>
      </c>
      <c r="DV32" s="93">
        <v>29872.69</v>
      </c>
      <c r="DW32" s="129">
        <f t="shared" si="66"/>
        <v>18.492907527132513</v>
      </c>
      <c r="DX32" s="130"/>
      <c r="DY32" s="42"/>
      <c r="DZ32" s="42" t="s">
        <v>56</v>
      </c>
      <c r="EA32" s="66">
        <v>27633.599999999999</v>
      </c>
      <c r="EB32" s="111">
        <v>25210.53</v>
      </c>
      <c r="EC32" s="44">
        <f t="shared" si="67"/>
        <v>-8.7685643564356432</v>
      </c>
      <c r="ED32" s="66">
        <v>17777.349999999999</v>
      </c>
      <c r="EE32" s="115">
        <v>25210.53</v>
      </c>
      <c r="EF32" s="44">
        <f t="shared" si="68"/>
        <v>41.812643616737034</v>
      </c>
      <c r="EG32" s="73"/>
      <c r="EH32" s="89"/>
      <c r="EI32" s="89" t="s">
        <v>56</v>
      </c>
      <c r="EJ32" s="93">
        <v>29475.3</v>
      </c>
      <c r="EK32" s="93">
        <v>17777.349999999999</v>
      </c>
      <c r="EL32" s="91">
        <f t="shared" si="69"/>
        <v>-39.687297499940634</v>
      </c>
      <c r="EM32" s="94">
        <v>30708.67</v>
      </c>
      <c r="EN32" s="93">
        <v>17777.349999999999</v>
      </c>
      <c r="EO32" s="91">
        <f>((EN32-EM32)/EM32)*100</f>
        <v>-42.109671307809812</v>
      </c>
      <c r="EP32" s="61"/>
      <c r="EQ32" s="42"/>
      <c r="ER32" s="42" t="s">
        <v>56</v>
      </c>
      <c r="ES32" s="66">
        <v>31617.09</v>
      </c>
      <c r="ET32" s="66">
        <v>30708.67</v>
      </c>
      <c r="EU32" s="44">
        <f t="shared" si="57"/>
        <v>-2.8731929472320252</v>
      </c>
      <c r="EV32" s="67">
        <v>24337.72</v>
      </c>
      <c r="EW32" s="66">
        <v>30708.67</v>
      </c>
      <c r="EX32" s="44">
        <f t="shared" si="58"/>
        <v>26.177267221415963</v>
      </c>
      <c r="EY32" s="61"/>
    </row>
    <row r="33" spans="2:143" x14ac:dyDescent="0.5">
      <c r="ED33" s="97"/>
      <c r="EM33" s="97"/>
    </row>
    <row r="34" spans="2:143" x14ac:dyDescent="0.5">
      <c r="B34" s="168"/>
      <c r="C34" s="97"/>
      <c r="I34" s="375"/>
      <c r="DO34" s="129"/>
      <c r="DP34" s="130"/>
    </row>
    <row r="35" spans="2:143" x14ac:dyDescent="0.5">
      <c r="G35" s="358"/>
      <c r="J35" s="375"/>
    </row>
    <row r="36" spans="2:143" x14ac:dyDescent="0.5">
      <c r="I36" s="375"/>
    </row>
    <row r="37" spans="2:143" x14ac:dyDescent="0.5">
      <c r="I37" s="375"/>
    </row>
    <row r="38" spans="2:143" x14ac:dyDescent="0.5">
      <c r="I38" s="375"/>
    </row>
    <row r="50" spans="2:5" x14ac:dyDescent="0.5">
      <c r="B50" t="s">
        <v>894</v>
      </c>
    </row>
    <row r="51" spans="2:5" ht="25.5" x14ac:dyDescent="0.5">
      <c r="B51" s="387"/>
      <c r="C51" s="386">
        <v>25173</v>
      </c>
      <c r="D51" s="386">
        <v>24807</v>
      </c>
      <c r="E51" s="388"/>
    </row>
    <row r="52" spans="2:5" ht="25.5" x14ac:dyDescent="0.5">
      <c r="B52" s="389" t="s">
        <v>895</v>
      </c>
      <c r="C52" s="390">
        <v>50110</v>
      </c>
      <c r="D52" s="391">
        <v>49931</v>
      </c>
      <c r="E52" s="392">
        <f>(C52-D52)/D52*100</f>
        <v>0.35849472271734995</v>
      </c>
    </row>
    <row r="53" spans="2:5" ht="25.5" x14ac:dyDescent="0.5">
      <c r="B53" s="389" t="s">
        <v>896</v>
      </c>
      <c r="C53" s="390">
        <v>17963</v>
      </c>
      <c r="D53" s="391">
        <v>17077</v>
      </c>
      <c r="E53" s="392">
        <f t="shared" ref="E53:E56" si="82">(C53-D53)/D53*100</f>
        <v>5.1882649177255953</v>
      </c>
    </row>
    <row r="54" spans="2:5" ht="25.5" x14ac:dyDescent="0.5">
      <c r="B54" s="389" t="s">
        <v>897</v>
      </c>
      <c r="C54" s="390">
        <v>11551</v>
      </c>
      <c r="D54" s="391">
        <v>9338</v>
      </c>
      <c r="E54" s="392">
        <f t="shared" si="82"/>
        <v>23.698864853287642</v>
      </c>
    </row>
    <row r="55" spans="2:5" ht="25.5" x14ac:dyDescent="0.5">
      <c r="B55" s="389" t="s">
        <v>898</v>
      </c>
      <c r="C55" s="390">
        <v>0</v>
      </c>
      <c r="D55" s="387" t="s">
        <v>899</v>
      </c>
      <c r="E55" s="392"/>
    </row>
    <row r="56" spans="2:5" ht="26.25" x14ac:dyDescent="0.5">
      <c r="B56" s="387"/>
      <c r="C56" s="393">
        <f>C52+C53+C54</f>
        <v>79624</v>
      </c>
      <c r="D56" s="391">
        <v>76346</v>
      </c>
      <c r="E56" s="392">
        <f t="shared" si="82"/>
        <v>4.2936106672255256</v>
      </c>
    </row>
  </sheetData>
  <phoneticPr fontId="10" type="noConversion"/>
  <printOptions horizontalCentered="1" verticalCentered="1"/>
  <pageMargins left="0.47244094488188981" right="0.15748031496062992" top="0.31496062992125984" bottom="0.43307086614173229" header="0.31496062992125984" footer="0.51181102362204722"/>
  <pageSetup paperSize="9" scale="110" orientation="portrait" r:id="rId1"/>
  <headerFooter alignWithMargins="0"/>
  <colBreaks count="2" manualBreakCount="2">
    <brk id="74" max="27" man="1"/>
    <brk id="101" max="2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38"/>
  <sheetViews>
    <sheetView view="pageBreakPreview" zoomScaleNormal="100" zoomScaleSheetLayoutView="100" workbookViewId="0">
      <selection activeCell="G3" sqref="G3:G18"/>
    </sheetView>
  </sheetViews>
  <sheetFormatPr defaultRowHeight="21.75" x14ac:dyDescent="0.5"/>
  <cols>
    <col min="2" max="2" width="20.7109375" customWidth="1"/>
    <col min="9" max="9" width="9.140625" customWidth="1"/>
    <col min="10" max="10" width="20.7109375" customWidth="1"/>
    <col min="11" max="16" width="9.140625" customWidth="1"/>
    <col min="17" max="17" width="11.85546875" customWidth="1"/>
    <col min="18" max="18" width="22.85546875" customWidth="1"/>
    <col min="26" max="26" width="22.7109375" customWidth="1"/>
    <col min="35" max="35" width="24.140625" customWidth="1"/>
    <col min="43" max="43" width="23.85546875" customWidth="1"/>
    <col min="52" max="52" width="23.7109375" customWidth="1"/>
    <col min="61" max="61" width="23" customWidth="1"/>
    <col min="78" max="78" width="8.28515625" customWidth="1"/>
    <col min="79" max="79" width="12.42578125" customWidth="1"/>
    <col min="86" max="86" width="9.140625" customWidth="1"/>
    <col min="88" max="88" width="12.42578125" customWidth="1"/>
    <col min="90" max="90" width="10.28515625" bestFit="1" customWidth="1"/>
    <col min="95" max="95" width="9.140625" customWidth="1"/>
    <col min="97" max="97" width="12.42578125" customWidth="1"/>
    <col min="99" max="99" width="10.28515625" bestFit="1" customWidth="1"/>
    <col min="102" max="102" width="11.28515625" customWidth="1"/>
    <col min="104" max="104" width="9.140625" customWidth="1"/>
    <col min="106" max="106" width="12.42578125" customWidth="1"/>
    <col min="108" max="108" width="10.140625" bestFit="1" customWidth="1"/>
    <col min="113" max="113" width="9.140625" customWidth="1"/>
    <col min="115" max="115" width="12.42578125" customWidth="1"/>
    <col min="122" max="122" width="9.140625" customWidth="1"/>
    <col min="124" max="124" width="12.42578125" customWidth="1"/>
    <col min="131" max="131" width="9.140625" customWidth="1"/>
    <col min="133" max="133" width="12.42578125" customWidth="1"/>
    <col min="140" max="140" width="9.140625" customWidth="1"/>
  </cols>
  <sheetData>
    <row r="1" spans="1:171" x14ac:dyDescent="0.5">
      <c r="C1" s="62" t="s">
        <v>890</v>
      </c>
      <c r="K1" s="62" t="s">
        <v>849</v>
      </c>
      <c r="S1" s="62" t="s">
        <v>802</v>
      </c>
      <c r="AA1" s="62" t="s">
        <v>750</v>
      </c>
      <c r="AI1" s="62" t="s">
        <v>709</v>
      </c>
      <c r="AR1" s="62" t="s">
        <v>659</v>
      </c>
      <c r="BA1" s="62" t="s">
        <v>618</v>
      </c>
      <c r="BI1" s="62" t="s">
        <v>568</v>
      </c>
      <c r="BR1" s="62" t="s">
        <v>527</v>
      </c>
      <c r="CA1" t="s">
        <v>467</v>
      </c>
      <c r="CJ1" t="s">
        <v>414</v>
      </c>
      <c r="CS1" t="s">
        <v>319</v>
      </c>
      <c r="DB1" s="171" t="s">
        <v>278</v>
      </c>
      <c r="DK1" t="s">
        <v>236</v>
      </c>
      <c r="DT1" t="s">
        <v>200</v>
      </c>
      <c r="EC1" t="s">
        <v>163</v>
      </c>
      <c r="EL1" t="s">
        <v>124</v>
      </c>
      <c r="EU1" t="s">
        <v>76</v>
      </c>
      <c r="FB1" s="33" t="s">
        <v>36</v>
      </c>
      <c r="FI1" s="33" t="s">
        <v>38</v>
      </c>
    </row>
    <row r="2" spans="1:171" x14ac:dyDescent="0.5">
      <c r="A2" s="236"/>
      <c r="B2" s="236"/>
      <c r="C2" s="327" t="s">
        <v>889</v>
      </c>
      <c r="D2" s="327" t="s">
        <v>888</v>
      </c>
      <c r="E2" s="328" t="s">
        <v>3</v>
      </c>
      <c r="F2" s="327" t="s">
        <v>850</v>
      </c>
      <c r="G2" s="327" t="s">
        <v>888</v>
      </c>
      <c r="H2" s="328" t="s">
        <v>3</v>
      </c>
      <c r="I2" s="236"/>
      <c r="J2" s="236"/>
      <c r="K2" s="327" t="s">
        <v>851</v>
      </c>
      <c r="L2" s="327" t="s">
        <v>850</v>
      </c>
      <c r="M2" s="328" t="s">
        <v>3</v>
      </c>
      <c r="N2" s="327" t="s">
        <v>803</v>
      </c>
      <c r="O2" s="327" t="s">
        <v>850</v>
      </c>
      <c r="P2" s="328" t="s">
        <v>3</v>
      </c>
      <c r="Q2" s="236"/>
      <c r="R2" s="236"/>
      <c r="S2" s="327" t="s">
        <v>798</v>
      </c>
      <c r="T2" s="327" t="s">
        <v>803</v>
      </c>
      <c r="U2" s="328" t="s">
        <v>3</v>
      </c>
      <c r="V2" s="327">
        <v>24047</v>
      </c>
      <c r="W2" s="327" t="s">
        <v>803</v>
      </c>
      <c r="X2" s="328" t="s">
        <v>3</v>
      </c>
      <c r="Y2" s="236"/>
      <c r="Z2" s="236"/>
      <c r="AA2" s="327" t="s">
        <v>747</v>
      </c>
      <c r="AB2" s="327" t="s">
        <v>752</v>
      </c>
      <c r="AC2" s="328" t="s">
        <v>3</v>
      </c>
      <c r="AD2" s="327" t="s">
        <v>715</v>
      </c>
      <c r="AE2" s="327" t="s">
        <v>753</v>
      </c>
      <c r="AF2" s="328" t="s">
        <v>3</v>
      </c>
      <c r="AG2" s="236"/>
      <c r="AH2" s="236"/>
      <c r="AI2" s="327" t="s">
        <v>706</v>
      </c>
      <c r="AJ2" s="327" t="s">
        <v>710</v>
      </c>
      <c r="AK2" s="328" t="s">
        <v>3</v>
      </c>
      <c r="AL2" s="327" t="s">
        <v>665</v>
      </c>
      <c r="AM2" s="327" t="s">
        <v>711</v>
      </c>
      <c r="AN2" s="328" t="s">
        <v>3</v>
      </c>
      <c r="AP2" s="236"/>
      <c r="AQ2" s="236"/>
      <c r="AR2" s="327" t="s">
        <v>654</v>
      </c>
      <c r="AS2" s="327" t="s">
        <v>661</v>
      </c>
      <c r="AT2" s="328" t="s">
        <v>3</v>
      </c>
      <c r="AU2" s="327" t="s">
        <v>622</v>
      </c>
      <c r="AV2" s="327" t="s">
        <v>662</v>
      </c>
      <c r="AW2" s="328" t="s">
        <v>3</v>
      </c>
      <c r="AX2" s="62"/>
      <c r="AY2" s="236"/>
      <c r="AZ2" s="236"/>
      <c r="BA2" s="327" t="s">
        <v>613</v>
      </c>
      <c r="BB2" s="327" t="s">
        <v>616</v>
      </c>
      <c r="BC2" s="328" t="s">
        <v>3</v>
      </c>
      <c r="BD2" s="327" t="s">
        <v>573</v>
      </c>
      <c r="BE2" s="327" t="s">
        <v>617</v>
      </c>
      <c r="BF2" s="328" t="s">
        <v>3</v>
      </c>
      <c r="BG2" s="62"/>
      <c r="BH2" s="236"/>
      <c r="BI2" s="327" t="s">
        <v>565</v>
      </c>
      <c r="BJ2" s="327" t="s">
        <v>569</v>
      </c>
      <c r="BK2" s="328" t="s">
        <v>3</v>
      </c>
      <c r="BL2" s="327" t="s">
        <v>533</v>
      </c>
      <c r="BM2" s="327" t="s">
        <v>570</v>
      </c>
      <c r="BN2" s="328" t="s">
        <v>3</v>
      </c>
      <c r="BO2" s="62"/>
      <c r="BP2" s="236"/>
      <c r="BQ2" s="236"/>
      <c r="BR2" s="327" t="s">
        <v>518</v>
      </c>
      <c r="BS2" s="327" t="s">
        <v>528</v>
      </c>
      <c r="BT2" s="328" t="s">
        <v>3</v>
      </c>
      <c r="BU2" s="327" t="s">
        <v>475</v>
      </c>
      <c r="BV2" s="327" t="s">
        <v>529</v>
      </c>
      <c r="BW2" s="328" t="s">
        <v>3</v>
      </c>
      <c r="BX2" s="62"/>
      <c r="BY2" s="236"/>
      <c r="BZ2" s="236"/>
      <c r="CA2" s="329" t="s">
        <v>470</v>
      </c>
      <c r="CB2" s="329" t="s">
        <v>471</v>
      </c>
      <c r="CC2" s="328" t="s">
        <v>3</v>
      </c>
      <c r="CD2" s="329" t="s">
        <v>468</v>
      </c>
      <c r="CE2" s="329" t="s">
        <v>469</v>
      </c>
      <c r="CF2" s="328" t="s">
        <v>3</v>
      </c>
      <c r="CG2" s="62"/>
      <c r="CH2" s="236"/>
      <c r="CI2" s="236"/>
      <c r="CJ2" s="237" t="s">
        <v>411</v>
      </c>
      <c r="CK2" s="237" t="s">
        <v>415</v>
      </c>
      <c r="CL2" s="236" t="s">
        <v>3</v>
      </c>
      <c r="CM2" s="237" t="s">
        <v>371</v>
      </c>
      <c r="CN2" s="237" t="s">
        <v>416</v>
      </c>
      <c r="CO2" s="236" t="s">
        <v>3</v>
      </c>
      <c r="CP2" s="62"/>
      <c r="CQ2" s="236"/>
      <c r="CR2" s="236"/>
      <c r="CS2" s="237" t="s">
        <v>317</v>
      </c>
      <c r="CT2" s="237" t="s">
        <v>321</v>
      </c>
      <c r="CU2" s="236" t="s">
        <v>3</v>
      </c>
      <c r="CV2" s="237" t="s">
        <v>280</v>
      </c>
      <c r="CW2" s="237" t="s">
        <v>322</v>
      </c>
      <c r="CX2" s="236" t="s">
        <v>3</v>
      </c>
      <c r="CY2" s="62"/>
      <c r="CZ2" s="179"/>
      <c r="DA2" s="179"/>
      <c r="DB2" s="197" t="s">
        <v>277</v>
      </c>
      <c r="DC2" s="180" t="s">
        <v>280</v>
      </c>
      <c r="DD2" s="179" t="s">
        <v>3</v>
      </c>
      <c r="DE2" s="197" t="s">
        <v>238</v>
      </c>
      <c r="DF2" s="180" t="s">
        <v>280</v>
      </c>
      <c r="DG2" s="179" t="s">
        <v>3</v>
      </c>
      <c r="DH2" s="62"/>
      <c r="DI2" s="98"/>
      <c r="DJ2" s="98"/>
      <c r="DK2" s="143" t="s">
        <v>232</v>
      </c>
      <c r="DL2" s="143" t="s">
        <v>238</v>
      </c>
      <c r="DM2" s="98" t="s">
        <v>3</v>
      </c>
      <c r="DN2" s="145" t="s">
        <v>202</v>
      </c>
      <c r="DO2" s="143" t="s">
        <v>238</v>
      </c>
      <c r="DP2" s="98" t="s">
        <v>3</v>
      </c>
      <c r="DQ2" s="62"/>
      <c r="DR2" s="118"/>
      <c r="DS2" s="118"/>
      <c r="DT2" s="131" t="s">
        <v>199</v>
      </c>
      <c r="DU2" s="131" t="s">
        <v>202</v>
      </c>
      <c r="DV2" s="118" t="s">
        <v>3</v>
      </c>
      <c r="DW2" s="119" t="s">
        <v>165</v>
      </c>
      <c r="DX2" s="119" t="s">
        <v>202</v>
      </c>
      <c r="DY2" s="118" t="s">
        <v>3</v>
      </c>
      <c r="DZ2" s="62"/>
      <c r="EA2" s="98"/>
      <c r="EB2" s="98"/>
      <c r="EC2" s="99" t="s">
        <v>162</v>
      </c>
      <c r="ED2" s="99" t="s">
        <v>165</v>
      </c>
      <c r="EE2" s="98" t="s">
        <v>3</v>
      </c>
      <c r="EF2" s="99" t="s">
        <v>127</v>
      </c>
      <c r="EG2" s="99" t="s">
        <v>165</v>
      </c>
      <c r="EH2" s="98" t="s">
        <v>3</v>
      </c>
      <c r="EI2" s="62"/>
      <c r="EJ2" s="84"/>
      <c r="EK2" s="84"/>
      <c r="EL2" s="85" t="s">
        <v>122</v>
      </c>
      <c r="EM2" s="85" t="s">
        <v>127</v>
      </c>
      <c r="EN2" s="84" t="s">
        <v>3</v>
      </c>
      <c r="EO2" s="85" t="s">
        <v>126</v>
      </c>
      <c r="EP2" s="85" t="s">
        <v>127</v>
      </c>
      <c r="EQ2" s="84" t="s">
        <v>3</v>
      </c>
      <c r="ER2" s="62"/>
      <c r="ES2" s="54"/>
      <c r="ET2" s="54"/>
      <c r="EU2" s="55">
        <v>18537</v>
      </c>
      <c r="EV2" s="55">
        <v>18568</v>
      </c>
      <c r="EW2" s="54" t="s">
        <v>3</v>
      </c>
      <c r="EX2" s="55">
        <v>18203</v>
      </c>
      <c r="EY2" s="55">
        <v>18568</v>
      </c>
      <c r="EZ2" s="54" t="s">
        <v>3</v>
      </c>
      <c r="FA2" s="62"/>
      <c r="FB2" s="30">
        <v>18172</v>
      </c>
      <c r="FC2" s="30">
        <v>18203</v>
      </c>
      <c r="FD2" s="29" t="s">
        <v>3</v>
      </c>
      <c r="FE2" s="30">
        <v>17838</v>
      </c>
      <c r="FF2" s="30">
        <v>18203</v>
      </c>
      <c r="FG2" s="29" t="s">
        <v>3</v>
      </c>
      <c r="FI2" s="38"/>
      <c r="FJ2" s="39">
        <v>17807</v>
      </c>
      <c r="FK2" s="39">
        <v>17838</v>
      </c>
      <c r="FL2" s="38" t="s">
        <v>3</v>
      </c>
      <c r="FM2" s="39">
        <v>17472</v>
      </c>
      <c r="FN2" s="39">
        <v>17838</v>
      </c>
      <c r="FO2" s="38" t="s">
        <v>3</v>
      </c>
    </row>
    <row r="3" spans="1:171" x14ac:dyDescent="0.5">
      <c r="A3" s="229" t="s">
        <v>0</v>
      </c>
      <c r="B3" s="229"/>
      <c r="C3" s="230">
        <v>150489</v>
      </c>
      <c r="D3" s="230">
        <v>146167</v>
      </c>
      <c r="E3" s="231">
        <f>((D3-C3)/C3)*100</f>
        <v>-2.8719707088225719</v>
      </c>
      <c r="F3" s="230">
        <v>148142</v>
      </c>
      <c r="G3" s="230">
        <v>146167</v>
      </c>
      <c r="H3" s="231">
        <f>(G3-F3)/F3*100</f>
        <v>-1.3331803269835698</v>
      </c>
      <c r="I3" s="229" t="s">
        <v>0</v>
      </c>
      <c r="J3" s="229"/>
      <c r="K3" s="230">
        <v>149010</v>
      </c>
      <c r="L3" s="230">
        <v>148142</v>
      </c>
      <c r="M3" s="231">
        <f>((L3-K3)/K3)*100</f>
        <v>-0.58251124085631834</v>
      </c>
      <c r="N3" s="230">
        <v>178045</v>
      </c>
      <c r="O3" s="230">
        <v>148142</v>
      </c>
      <c r="P3" s="231">
        <f>(O3-N3)/N3*100</f>
        <v>-16.795192226684268</v>
      </c>
      <c r="Q3" s="229" t="s">
        <v>0</v>
      </c>
      <c r="R3" s="229"/>
      <c r="S3" s="230">
        <v>140114</v>
      </c>
      <c r="T3" s="230">
        <v>178045</v>
      </c>
      <c r="U3" s="231">
        <f>((T3-S3)/S3)*100</f>
        <v>27.071527470488316</v>
      </c>
      <c r="V3" s="230">
        <v>189040</v>
      </c>
      <c r="W3" s="230">
        <v>178045</v>
      </c>
      <c r="X3" s="231">
        <f>(W3-V3)/V3*100</f>
        <v>-5.8162293694456197</v>
      </c>
      <c r="Y3" s="229" t="s">
        <v>0</v>
      </c>
      <c r="Z3" s="229"/>
      <c r="AA3" s="230">
        <v>171644</v>
      </c>
      <c r="AB3" s="230">
        <v>189040</v>
      </c>
      <c r="AC3" s="231">
        <f>((AB3-AA3)/AA3)*100</f>
        <v>10.13493043741698</v>
      </c>
      <c r="AD3" s="230">
        <v>188493</v>
      </c>
      <c r="AE3" s="230">
        <v>189040</v>
      </c>
      <c r="AF3" s="231">
        <f>(AE3-AD3)/AD3*100</f>
        <v>0.29019645291867602</v>
      </c>
      <c r="AG3" s="229" t="s">
        <v>0</v>
      </c>
      <c r="AH3" s="229"/>
      <c r="AI3" s="230">
        <v>144844</v>
      </c>
      <c r="AJ3" s="230">
        <v>188493</v>
      </c>
      <c r="AK3" s="231">
        <f>((AJ3-AI3)/AI3)*100</f>
        <v>30.135179917704562</v>
      </c>
      <c r="AL3" s="230">
        <v>175569</v>
      </c>
      <c r="AM3" s="230">
        <v>188493</v>
      </c>
      <c r="AN3" s="231">
        <f>(AM3-AL3)/AL3*100</f>
        <v>7.3612084137860325</v>
      </c>
      <c r="AP3" s="229" t="s">
        <v>0</v>
      </c>
      <c r="AQ3" s="229"/>
      <c r="AR3" s="230">
        <v>166636</v>
      </c>
      <c r="AS3" s="230">
        <f>AS4+AS5</f>
        <v>175569</v>
      </c>
      <c r="AT3" s="231">
        <f>((AS3-AR3)/AR3)*100</f>
        <v>5.3607863846947836</v>
      </c>
      <c r="AU3" s="230">
        <v>171799</v>
      </c>
      <c r="AV3" s="230">
        <v>175569</v>
      </c>
      <c r="AW3" s="231">
        <f>(AV3-AU3)/AU3*100</f>
        <v>2.1944248802379525</v>
      </c>
      <c r="AX3" s="73"/>
      <c r="AY3" s="229" t="s">
        <v>0</v>
      </c>
      <c r="AZ3" s="229"/>
      <c r="BA3" s="230">
        <v>161318</v>
      </c>
      <c r="BB3" s="230">
        <v>171799</v>
      </c>
      <c r="BC3" s="231">
        <f>((BB3-BA3)/BA3)*100</f>
        <v>6.4971050967653943</v>
      </c>
      <c r="BD3" s="230">
        <v>189690</v>
      </c>
      <c r="BE3" s="230">
        <v>171799</v>
      </c>
      <c r="BF3" s="231">
        <f>(BE3-BD3)/BD3*100</f>
        <v>-9.4317043597448471</v>
      </c>
      <c r="BG3" s="73"/>
      <c r="BH3" s="229"/>
      <c r="BI3" s="230">
        <v>167314</v>
      </c>
      <c r="BJ3" s="230">
        <v>189690</v>
      </c>
      <c r="BK3" s="231">
        <f>((BJ3-BI3)/BI3)*100</f>
        <v>13.373656717309967</v>
      </c>
      <c r="BL3" s="230">
        <v>192451</v>
      </c>
      <c r="BM3" s="230">
        <v>189690</v>
      </c>
      <c r="BN3" s="231">
        <f>(BM3-BL3)/BL3*100</f>
        <v>-1.434650898150698</v>
      </c>
      <c r="BO3" s="73"/>
      <c r="BP3" s="229" t="s">
        <v>0</v>
      </c>
      <c r="BQ3" s="229"/>
      <c r="BR3" s="230">
        <v>164175</v>
      </c>
      <c r="BS3" s="230">
        <v>192451</v>
      </c>
      <c r="BT3" s="231">
        <f>((BS3-BR3)/BR3)*100</f>
        <v>17.22308512258261</v>
      </c>
      <c r="BU3" s="230">
        <v>163400</v>
      </c>
      <c r="BV3" s="230">
        <v>192451</v>
      </c>
      <c r="BW3" s="231">
        <f>(BV3-BU3)/BU3*100</f>
        <v>17.779069767441861</v>
      </c>
      <c r="BX3" s="73"/>
      <c r="BY3" s="229" t="s">
        <v>0</v>
      </c>
      <c r="BZ3" s="229"/>
      <c r="CA3" s="230">
        <v>155483</v>
      </c>
      <c r="CB3" s="230">
        <v>163400</v>
      </c>
      <c r="CC3" s="231">
        <f>((CB3-CA3)/CA3)*100</f>
        <v>5.0918749959802678</v>
      </c>
      <c r="CD3" s="230">
        <v>135714</v>
      </c>
      <c r="CE3" s="230">
        <v>163400</v>
      </c>
      <c r="CF3" s="231">
        <f>(CE3-CD3)/CD3*100</f>
        <v>20.400253474217841</v>
      </c>
      <c r="CG3" s="73"/>
      <c r="CH3" s="229" t="s">
        <v>0</v>
      </c>
      <c r="CI3" s="229"/>
      <c r="CJ3" s="230">
        <f>ต.ค.!CI3</f>
        <v>145279</v>
      </c>
      <c r="CK3" s="230" t="e">
        <f t="shared" ref="CK3:CK18" si="0">CN3</f>
        <v>#REF!</v>
      </c>
      <c r="CL3" s="231" t="e">
        <f>((CK3-CJ3)/CJ3)*100</f>
        <v>#REF!</v>
      </c>
      <c r="CM3" s="230" t="e">
        <f>#REF!</f>
        <v>#REF!</v>
      </c>
      <c r="CN3" s="230" t="e">
        <f>#REF!</f>
        <v>#REF!</v>
      </c>
      <c r="CO3" s="231" t="e">
        <f>(CN3-CM3)/CM3*100</f>
        <v>#REF!</v>
      </c>
      <c r="CP3" s="73"/>
      <c r="CQ3" s="229" t="s">
        <v>0</v>
      </c>
      <c r="CR3" s="229"/>
      <c r="CS3" s="230">
        <f>SUM(CS4:CS5)</f>
        <v>163385</v>
      </c>
      <c r="CT3" s="230">
        <f>SUM(CT4:CT5)</f>
        <v>164466</v>
      </c>
      <c r="CU3" s="231">
        <f>((CT3-CS3)/CS3)*100</f>
        <v>0.661627444379839</v>
      </c>
      <c r="CV3" s="230">
        <f>SUM(CV4:CV5)</f>
        <v>196615</v>
      </c>
      <c r="CW3" s="230">
        <v>164466</v>
      </c>
      <c r="CX3" s="231">
        <f>((CW3-CV3)/CV3)*100</f>
        <v>-16.351244818554029</v>
      </c>
      <c r="CY3" s="73"/>
      <c r="CZ3" s="181" t="s">
        <v>0</v>
      </c>
      <c r="DA3" s="181"/>
      <c r="DB3" s="182">
        <f>SUM(DB4:DB5)</f>
        <v>202118</v>
      </c>
      <c r="DC3" s="182">
        <f>SUM(DC4:DC5)</f>
        <v>196615</v>
      </c>
      <c r="DD3" s="183">
        <f>((DC3-DB3)/DB3)*100</f>
        <v>-2.7226669569261523</v>
      </c>
      <c r="DE3" s="182">
        <v>33424</v>
      </c>
      <c r="DF3" s="182">
        <f>SUM(DF4:DF5)</f>
        <v>196615</v>
      </c>
      <c r="DG3" s="183">
        <f>((DF3-DE3)/DE3)*100</f>
        <v>488.2449736716132</v>
      </c>
      <c r="DH3" s="73"/>
      <c r="DI3" s="100" t="s">
        <v>0</v>
      </c>
      <c r="DJ3" s="100"/>
      <c r="DK3" s="101">
        <v>66369</v>
      </c>
      <c r="DL3" s="101">
        <f>SUM(DL4:DL5)</f>
        <v>33424</v>
      </c>
      <c r="DM3" s="102">
        <f>((DL3-DK3)/DK3)*100</f>
        <v>-49.639138754539019</v>
      </c>
      <c r="DN3" s="101">
        <v>175866</v>
      </c>
      <c r="DO3" s="101">
        <v>33424</v>
      </c>
      <c r="DP3" s="102">
        <f>((DO3-DN3)/DN3)*100</f>
        <v>-80.994620904552335</v>
      </c>
      <c r="DQ3" s="73"/>
      <c r="DR3" s="120" t="s">
        <v>0</v>
      </c>
      <c r="DS3" s="120"/>
      <c r="DT3" s="133">
        <f>SUM(DT4:DT5)</f>
        <v>183242</v>
      </c>
      <c r="DU3" s="133">
        <f>SUM(DU4:DU5)</f>
        <v>175866</v>
      </c>
      <c r="DV3" s="125">
        <f>((DU3-DT3)/DT3)*100</f>
        <v>-4.0252780476091727</v>
      </c>
      <c r="DW3" s="121">
        <v>165557</v>
      </c>
      <c r="DX3" s="133">
        <f>SUM(DX4:DX5)</f>
        <v>175866</v>
      </c>
      <c r="DY3" s="125">
        <f>((DX3-DW3)/DW3)*100</f>
        <v>6.2268584233828834</v>
      </c>
      <c r="DZ3" s="127"/>
      <c r="EA3" s="100" t="s">
        <v>0</v>
      </c>
      <c r="EB3" s="100"/>
      <c r="EC3" s="101">
        <v>163863</v>
      </c>
      <c r="ED3" s="101">
        <f>SUM(ED4:ED5)</f>
        <v>165557</v>
      </c>
      <c r="EE3" s="102">
        <f>((ED3-EC3)/EC3)*100</f>
        <v>1.0337904224870778</v>
      </c>
      <c r="EF3" s="101">
        <f>SUM(EF4:EF5)</f>
        <v>173782</v>
      </c>
      <c r="EG3" s="101">
        <v>165557</v>
      </c>
      <c r="EH3" s="102">
        <f>((EG3-EF3)/EF3)*100</f>
        <v>-4.7329412712478858</v>
      </c>
      <c r="EI3" s="73"/>
      <c r="EJ3" s="74" t="s">
        <v>0</v>
      </c>
      <c r="EK3" s="74"/>
      <c r="EL3" s="75">
        <f>SUM(EL4:EL5)</f>
        <v>176726</v>
      </c>
      <c r="EM3" s="75">
        <f>SUM(EM4:EM5)</f>
        <v>173782</v>
      </c>
      <c r="EN3" s="76">
        <f>((EM3-EL3)/EL3)*100</f>
        <v>-1.6658556183017779</v>
      </c>
      <c r="EO3" s="75">
        <f>SUM(EO4:EO5)</f>
        <v>141998</v>
      </c>
      <c r="EP3" s="75">
        <f>SUM(EP4:EP5)</f>
        <v>173782</v>
      </c>
      <c r="EQ3" s="76">
        <f>((EP3-EO3)/EO3)*100</f>
        <v>22.383413850899309</v>
      </c>
      <c r="ER3" s="73"/>
      <c r="ES3" s="63" t="s">
        <v>0</v>
      </c>
      <c r="ET3" s="63"/>
      <c r="EU3" s="64">
        <f>SUM(EU4:EU5)</f>
        <v>136569</v>
      </c>
      <c r="EV3" s="64">
        <f>EV4+EV5</f>
        <v>139514</v>
      </c>
      <c r="EW3" s="65">
        <f t="shared" ref="EW3:EW18" si="1">(EV3-EU3)/EU3*100</f>
        <v>2.1564190995028154</v>
      </c>
      <c r="EX3" s="64">
        <f>EX4+EX5</f>
        <v>155646</v>
      </c>
      <c r="EY3" s="64">
        <f>EY4+EY5</f>
        <v>139514</v>
      </c>
      <c r="EZ3" s="65">
        <f t="shared" ref="EZ3:EZ18" si="2">(EY3-EX3)/EX3*100</f>
        <v>-10.364545185870501</v>
      </c>
      <c r="FA3" s="73"/>
      <c r="FB3" s="25">
        <v>148127</v>
      </c>
      <c r="FC3" s="50">
        <v>155646</v>
      </c>
      <c r="FD3" s="32">
        <f>((FC3-FB3)/FB3)*100</f>
        <v>5.0760496060812681</v>
      </c>
      <c r="FE3" s="27">
        <v>225594</v>
      </c>
      <c r="FF3" s="25">
        <f>FC3</f>
        <v>155646</v>
      </c>
      <c r="FG3" s="32">
        <f>((FF3-FE3)/FE3)*100</f>
        <v>-31.006143780419691</v>
      </c>
      <c r="FI3" s="4" t="s">
        <v>0</v>
      </c>
      <c r="FJ3" s="5">
        <v>203856</v>
      </c>
      <c r="FK3" s="5">
        <v>225594</v>
      </c>
      <c r="FL3" s="36">
        <f>(FK3-FJ3)/FJ3*100</f>
        <v>10.663409465505062</v>
      </c>
      <c r="FM3" s="46">
        <v>336305</v>
      </c>
      <c r="FN3" s="5">
        <v>225594</v>
      </c>
      <c r="FO3" s="47">
        <f>((FN3-FM3)/FM3)*100</f>
        <v>-32.919819806425714</v>
      </c>
    </row>
    <row r="4" spans="1:171" x14ac:dyDescent="0.5">
      <c r="A4" s="232"/>
      <c r="B4" s="232" t="s">
        <v>444</v>
      </c>
      <c r="C4" s="233">
        <v>131260</v>
      </c>
      <c r="D4" s="233">
        <v>119855</v>
      </c>
      <c r="E4" s="231">
        <f>((D4-C4)/C4)*100</f>
        <v>-8.688861801005638</v>
      </c>
      <c r="F4" s="233">
        <v>116329</v>
      </c>
      <c r="G4" s="233">
        <v>119855</v>
      </c>
      <c r="H4" s="231">
        <f>(G4-F4)/F4*100</f>
        <v>3.0310584634957749</v>
      </c>
      <c r="I4" s="232"/>
      <c r="J4" s="232" t="s">
        <v>444</v>
      </c>
      <c r="K4" s="233">
        <v>116833</v>
      </c>
      <c r="L4" s="233">
        <v>116329</v>
      </c>
      <c r="M4" s="231">
        <f>((L4-K4)/K4)*100</f>
        <v>-0.43138496828806927</v>
      </c>
      <c r="N4" s="233">
        <v>135391</v>
      </c>
      <c r="O4" s="233">
        <v>116329</v>
      </c>
      <c r="P4" s="231">
        <f>(O4-N4)/N4*100</f>
        <v>-14.079222400307259</v>
      </c>
      <c r="Q4" s="232"/>
      <c r="R4" s="232" t="s">
        <v>444</v>
      </c>
      <c r="S4" s="233">
        <v>105106</v>
      </c>
      <c r="T4" s="233">
        <v>135391</v>
      </c>
      <c r="U4" s="231">
        <f>((T4-S4)/S4)*100</f>
        <v>28.813768957052883</v>
      </c>
      <c r="V4" s="233">
        <v>147360</v>
      </c>
      <c r="W4" s="233">
        <v>135391</v>
      </c>
      <c r="X4" s="231">
        <f>(W4-V4)/V4*100</f>
        <v>-8.1222855591748111</v>
      </c>
      <c r="Y4" s="232"/>
      <c r="Z4" s="232" t="s">
        <v>444</v>
      </c>
      <c r="AA4" s="233">
        <v>132382</v>
      </c>
      <c r="AB4" s="233">
        <v>147360</v>
      </c>
      <c r="AC4" s="231">
        <f>((AB4-AA4)/AA4)*100</f>
        <v>11.314227009714312</v>
      </c>
      <c r="AD4" s="233">
        <v>147555</v>
      </c>
      <c r="AE4" s="233">
        <v>147360</v>
      </c>
      <c r="AF4" s="231">
        <f t="shared" ref="AF4:AF8" si="3">(AE4-AD4)/AD4*100</f>
        <v>-0.1321541120260242</v>
      </c>
      <c r="AG4" s="232"/>
      <c r="AH4" s="232" t="s">
        <v>444</v>
      </c>
      <c r="AI4" s="233">
        <v>108997</v>
      </c>
      <c r="AJ4" s="233">
        <v>147555</v>
      </c>
      <c r="AK4" s="231">
        <f>((AJ4-AI4)/AI4)*100</f>
        <v>35.375285558318119</v>
      </c>
      <c r="AL4" s="233">
        <v>137471</v>
      </c>
      <c r="AM4" s="233">
        <v>147555</v>
      </c>
      <c r="AN4" s="231">
        <f t="shared" ref="AN4:AN8" si="4">(AM4-AL4)/AL4*100</f>
        <v>7.335365277040248</v>
      </c>
      <c r="AP4" s="232"/>
      <c r="AQ4" s="232" t="s">
        <v>444</v>
      </c>
      <c r="AR4" s="233">
        <v>137036</v>
      </c>
      <c r="AS4" s="233">
        <v>137471</v>
      </c>
      <c r="AT4" s="231">
        <f>((AS4-AR4)/AR4)*100</f>
        <v>0.3174348346419919</v>
      </c>
      <c r="AU4" s="233">
        <v>143103</v>
      </c>
      <c r="AV4" s="233">
        <v>137471</v>
      </c>
      <c r="AW4" s="231">
        <f t="shared" ref="AW4:AW8" si="5">(AV4-AU4)/AU4*100</f>
        <v>-3.9356267863007761</v>
      </c>
      <c r="AX4" s="73"/>
      <c r="AY4" s="232"/>
      <c r="AZ4" s="232" t="s">
        <v>444</v>
      </c>
      <c r="BA4" s="233">
        <v>133950</v>
      </c>
      <c r="BB4" s="233">
        <v>143103</v>
      </c>
      <c r="BC4" s="231">
        <f>((BB4-BA4)/BA4)*100</f>
        <v>6.833146696528555</v>
      </c>
      <c r="BD4" s="233">
        <v>148502</v>
      </c>
      <c r="BE4" s="233">
        <v>143103</v>
      </c>
      <c r="BF4" s="231">
        <f t="shared" ref="BF4:BF14" si="6">(BE4-BD4)/BD4*100</f>
        <v>-3.6356412708246353</v>
      </c>
      <c r="BG4" s="73"/>
      <c r="BH4" s="232" t="s">
        <v>444</v>
      </c>
      <c r="BI4" s="233">
        <v>137629</v>
      </c>
      <c r="BJ4" s="233">
        <v>148502</v>
      </c>
      <c r="BK4" s="231">
        <f>((BJ4-BI4)/BI4)*100</f>
        <v>7.9002245166353031</v>
      </c>
      <c r="BL4" s="233">
        <v>146474</v>
      </c>
      <c r="BM4" s="233">
        <v>148502</v>
      </c>
      <c r="BN4" s="231">
        <f t="shared" ref="BN4:BN14" si="7">(BM4-BL4)/BL4*100</f>
        <v>1.3845460627824733</v>
      </c>
      <c r="BO4" s="73"/>
      <c r="BP4" s="232"/>
      <c r="BQ4" s="232" t="s">
        <v>444</v>
      </c>
      <c r="BR4" s="233">
        <v>126172</v>
      </c>
      <c r="BS4" s="233">
        <v>146474</v>
      </c>
      <c r="BT4" s="231">
        <f t="shared" ref="BT4:BT18" si="8">((BS4-BR4)/BR4)*100</f>
        <v>16.090733284722443</v>
      </c>
      <c r="BU4" s="233">
        <v>122861</v>
      </c>
      <c r="BV4" s="233">
        <v>146474</v>
      </c>
      <c r="BW4" s="231">
        <f>(BV4-BU4)/BU4*100</f>
        <v>19.219280324920032</v>
      </c>
      <c r="BX4" s="73"/>
      <c r="BY4" s="232"/>
      <c r="BZ4" s="232" t="s">
        <v>444</v>
      </c>
      <c r="CA4" s="233">
        <v>114527</v>
      </c>
      <c r="CB4" s="233">
        <v>122861</v>
      </c>
      <c r="CC4" s="231">
        <f t="shared" ref="CC4:CC18" si="9">((CB4-CA4)/CA4)*100</f>
        <v>7.276886673011604</v>
      </c>
      <c r="CD4" s="233">
        <v>103877</v>
      </c>
      <c r="CE4" s="233">
        <v>122861</v>
      </c>
      <c r="CF4" s="231">
        <f t="shared" ref="CF4:CF18" si="10">(CE4-CD4)/CD4*100</f>
        <v>18.275460400281101</v>
      </c>
      <c r="CG4" s="73"/>
      <c r="CH4" s="232"/>
      <c r="CI4" s="232" t="s">
        <v>57</v>
      </c>
      <c r="CJ4" s="233">
        <f>ต.ค.!CI4</f>
        <v>114653</v>
      </c>
      <c r="CK4" s="233" t="e">
        <f t="shared" si="0"/>
        <v>#REF!</v>
      </c>
      <c r="CL4" s="231" t="e">
        <f t="shared" ref="CL4:CL18" si="11">((CK4-CJ4)/CJ4)*100</f>
        <v>#REF!</v>
      </c>
      <c r="CM4" s="233" t="e">
        <f>#REF!</f>
        <v>#REF!</v>
      </c>
      <c r="CN4" s="233" t="e">
        <f>#REF!</f>
        <v>#REF!</v>
      </c>
      <c r="CO4" s="231" t="e">
        <f t="shared" ref="CO4:CO18" si="12">(CN4-CM4)/CM4*100</f>
        <v>#REF!</v>
      </c>
      <c r="CP4" s="73"/>
      <c r="CQ4" s="232"/>
      <c r="CR4" s="232" t="s">
        <v>57</v>
      </c>
      <c r="CS4" s="233">
        <v>132502</v>
      </c>
      <c r="CT4" s="233">
        <v>133675</v>
      </c>
      <c r="CU4" s="231">
        <f t="shared" ref="CU4:CU18" si="13">((CT4-CS4)/CS4)*100</f>
        <v>0.88526965630707466</v>
      </c>
      <c r="CV4" s="233">
        <v>173288</v>
      </c>
      <c r="CW4" s="233">
        <v>133675</v>
      </c>
      <c r="CX4" s="231">
        <f t="shared" ref="CX4:CX18" si="14">((CW4-CV4)/CV4)*100</f>
        <v>-22.859632519274271</v>
      </c>
      <c r="CY4" s="73"/>
      <c r="CZ4" s="184"/>
      <c r="DA4" s="184" t="s">
        <v>57</v>
      </c>
      <c r="DB4" s="185">
        <v>179262</v>
      </c>
      <c r="DC4" s="185">
        <v>173288</v>
      </c>
      <c r="DD4" s="183">
        <f t="shared" ref="DD4:DD18" si="15">((DC4-DB4)/DB4)*100</f>
        <v>-3.3325523535383961</v>
      </c>
      <c r="DE4" s="185">
        <v>31492</v>
      </c>
      <c r="DF4" s="185">
        <v>173288</v>
      </c>
      <c r="DG4" s="183">
        <f t="shared" ref="DG4:DG18" si="16">((DF4-DE4)/DE4)*100</f>
        <v>450.26038358948301</v>
      </c>
      <c r="DH4" s="73"/>
      <c r="DI4" s="103"/>
      <c r="DJ4" s="103" t="s">
        <v>57</v>
      </c>
      <c r="DK4" s="104">
        <v>46498</v>
      </c>
      <c r="DL4" s="104">
        <v>31492</v>
      </c>
      <c r="DM4" s="102">
        <f t="shared" ref="DM4:DM18" si="17">((DL4-DK4)/DK4)*100</f>
        <v>-32.272355800249471</v>
      </c>
      <c r="DN4" s="104">
        <v>163863</v>
      </c>
      <c r="DO4" s="104">
        <v>31492</v>
      </c>
      <c r="DP4" s="102">
        <f t="shared" ref="DP4:DP18" si="18">((DO4-DN4)/DN4)*100</f>
        <v>-80.781506502383095</v>
      </c>
      <c r="DQ4" s="73"/>
      <c r="DR4" s="24"/>
      <c r="DS4" s="24" t="s">
        <v>57</v>
      </c>
      <c r="DT4" s="50">
        <v>173828</v>
      </c>
      <c r="DU4" s="50">
        <f>163686+177</f>
        <v>163863</v>
      </c>
      <c r="DV4" s="128">
        <f t="shared" ref="DV4:DV18" si="19">((DU4-DT4)/DT4)*100</f>
        <v>-5.7326782796787628</v>
      </c>
      <c r="DW4" s="123">
        <v>155123</v>
      </c>
      <c r="DX4" s="50">
        <f>163686+177</f>
        <v>163863</v>
      </c>
      <c r="DY4" s="128">
        <f t="shared" ref="DY4:DY18" si="20">((DX4-DW4)/DW4)*100</f>
        <v>5.6342386364368915</v>
      </c>
      <c r="DZ4" s="130"/>
      <c r="EA4" s="103"/>
      <c r="EB4" s="103" t="s">
        <v>57</v>
      </c>
      <c r="EC4" s="104">
        <v>155470</v>
      </c>
      <c r="ED4" s="104">
        <v>155123</v>
      </c>
      <c r="EE4" s="112">
        <f t="shared" ref="EE4:EE18" si="21">((ED4-EC4)/EC4)*100</f>
        <v>-0.22319418537338392</v>
      </c>
      <c r="EF4" s="104">
        <v>154637</v>
      </c>
      <c r="EG4" s="104">
        <v>155123</v>
      </c>
      <c r="EH4" s="112">
        <f t="shared" ref="EH4:EH18" si="22">((EG4-EF4)/EF4)*100</f>
        <v>0.31428442093418779</v>
      </c>
      <c r="EI4" s="61"/>
      <c r="EJ4" s="77"/>
      <c r="EK4" s="77" t="s">
        <v>57</v>
      </c>
      <c r="EL4" s="78">
        <v>161656</v>
      </c>
      <c r="EM4" s="78">
        <v>154637</v>
      </c>
      <c r="EN4" s="79">
        <f t="shared" ref="EN4:EN18" si="23">((EM4-EL4)/EL4)*100</f>
        <v>-4.3419359627851737</v>
      </c>
      <c r="EO4" s="80">
        <v>134728</v>
      </c>
      <c r="EP4" s="78">
        <v>154637</v>
      </c>
      <c r="EQ4" s="79">
        <f t="shared" ref="EQ4:EQ18" si="24">((EP4-EO4)/EO4)*100</f>
        <v>14.77718068998278</v>
      </c>
      <c r="ER4" s="61"/>
      <c r="ES4" s="42"/>
      <c r="ET4" s="42" t="s">
        <v>57</v>
      </c>
      <c r="EU4" s="58">
        <v>127782</v>
      </c>
      <c r="EV4" s="58">
        <v>134728</v>
      </c>
      <c r="EW4" s="44">
        <f t="shared" si="1"/>
        <v>5.4358203815873907</v>
      </c>
      <c r="EX4" s="43">
        <v>148768</v>
      </c>
      <c r="EY4" s="58">
        <v>134728</v>
      </c>
      <c r="EZ4" s="44">
        <f t="shared" si="2"/>
        <v>-9.4375134437513442</v>
      </c>
      <c r="FA4" s="61"/>
      <c r="FB4" s="25">
        <v>144203</v>
      </c>
      <c r="FC4" s="50">
        <v>158601</v>
      </c>
      <c r="FD4" s="32">
        <f>((FC4-FB4)/FB4)*100</f>
        <v>9.9845356892713752</v>
      </c>
      <c r="FE4" s="27">
        <v>197728</v>
      </c>
      <c r="FF4" s="25">
        <f>FC4</f>
        <v>158601</v>
      </c>
      <c r="FG4" s="32">
        <f>((FF4-FE4)/FE4)*100</f>
        <v>-19.788295031558505</v>
      </c>
      <c r="FI4" s="4" t="s">
        <v>1</v>
      </c>
      <c r="FJ4" s="5">
        <v>188599</v>
      </c>
      <c r="FK4" s="5">
        <v>197728</v>
      </c>
      <c r="FL4" s="36">
        <f>(FK4-FJ4)/FJ4*100</f>
        <v>4.8404286342981671</v>
      </c>
      <c r="FM4" s="37">
        <v>200249</v>
      </c>
      <c r="FN4" s="5">
        <v>197728</v>
      </c>
      <c r="FO4" s="47">
        <f>((FN4-FM4)/FM4)*100</f>
        <v>-1.2589326288770482</v>
      </c>
    </row>
    <row r="5" spans="1:171" x14ac:dyDescent="0.5">
      <c r="A5" s="232"/>
      <c r="B5" s="232" t="s">
        <v>58</v>
      </c>
      <c r="C5" s="233">
        <v>17557</v>
      </c>
      <c r="D5" s="233">
        <v>23324</v>
      </c>
      <c r="E5" s="231">
        <f>((D5-C5)/C5)*100</f>
        <v>32.847297374266674</v>
      </c>
      <c r="F5" s="233">
        <v>27641</v>
      </c>
      <c r="G5" s="233">
        <v>23324</v>
      </c>
      <c r="H5" s="231">
        <f>(G5-F5)/F5*100</f>
        <v>-15.61810354184002</v>
      </c>
      <c r="I5" s="232"/>
      <c r="J5" s="232" t="s">
        <v>58</v>
      </c>
      <c r="K5" s="233">
        <v>28681</v>
      </c>
      <c r="L5" s="233">
        <v>27641</v>
      </c>
      <c r="M5" s="231">
        <f>((L5-K5)/K5)*100</f>
        <v>-3.6260939297792962</v>
      </c>
      <c r="N5" s="233">
        <v>42554</v>
      </c>
      <c r="O5" s="233">
        <v>27641</v>
      </c>
      <c r="P5" s="231">
        <f>(O5-N5)/N5*100</f>
        <v>-35.044884147201202</v>
      </c>
      <c r="Q5" s="232"/>
      <c r="R5" s="232" t="s">
        <v>58</v>
      </c>
      <c r="S5" s="233">
        <v>34958</v>
      </c>
      <c r="T5" s="233">
        <v>42554</v>
      </c>
      <c r="U5" s="231">
        <f>((T5-S5)/S5)*100</f>
        <v>21.728931861090452</v>
      </c>
      <c r="V5" s="233">
        <v>41680</v>
      </c>
      <c r="W5" s="233">
        <v>42554</v>
      </c>
      <c r="X5" s="231">
        <f>(W5-V5)/V5*100</f>
        <v>2.0969289827255277</v>
      </c>
      <c r="Y5" s="232"/>
      <c r="Z5" s="232" t="s">
        <v>58</v>
      </c>
      <c r="AA5" s="233">
        <v>39262</v>
      </c>
      <c r="AB5" s="233">
        <v>41680</v>
      </c>
      <c r="AC5" s="231">
        <f>((AB5-AA5)/AA5)*100</f>
        <v>6.1586266619122814</v>
      </c>
      <c r="AD5" s="233">
        <v>40938</v>
      </c>
      <c r="AE5" s="233">
        <v>41680</v>
      </c>
      <c r="AF5" s="231">
        <f t="shared" si="3"/>
        <v>1.8124969466021787</v>
      </c>
      <c r="AG5" s="232"/>
      <c r="AH5" s="232" t="s">
        <v>58</v>
      </c>
      <c r="AI5" s="233">
        <v>35847</v>
      </c>
      <c r="AJ5" s="233">
        <v>40938</v>
      </c>
      <c r="AK5" s="231">
        <f>((AJ5-AI5)/AI5)*100</f>
        <v>14.202025274081512</v>
      </c>
      <c r="AL5" s="233">
        <v>38098</v>
      </c>
      <c r="AM5" s="233">
        <v>40938</v>
      </c>
      <c r="AN5" s="231">
        <f t="shared" si="4"/>
        <v>7.4544595516825032</v>
      </c>
      <c r="AP5" s="232"/>
      <c r="AQ5" s="232" t="s">
        <v>58</v>
      </c>
      <c r="AR5" s="233">
        <v>29600</v>
      </c>
      <c r="AS5" s="233">
        <v>38098</v>
      </c>
      <c r="AT5" s="231">
        <f>((AS5-AR5)/AR5)*100</f>
        <v>28.709459459459456</v>
      </c>
      <c r="AU5" s="233">
        <v>28696</v>
      </c>
      <c r="AV5" s="233">
        <v>38098</v>
      </c>
      <c r="AW5" s="231">
        <f t="shared" si="5"/>
        <v>32.764148313353772</v>
      </c>
      <c r="AX5" s="73"/>
      <c r="AY5" s="232"/>
      <c r="AZ5" s="232" t="s">
        <v>58</v>
      </c>
      <c r="BA5" s="233">
        <v>27368</v>
      </c>
      <c r="BB5" s="233">
        <v>28696</v>
      </c>
      <c r="BC5" s="231">
        <f>((BB5-BA5)/BA5)*100</f>
        <v>4.8523823443437593</v>
      </c>
      <c r="BD5" s="233">
        <v>41188</v>
      </c>
      <c r="BE5" s="233">
        <v>28696</v>
      </c>
      <c r="BF5" s="231">
        <f t="shared" si="6"/>
        <v>-30.3292221035253</v>
      </c>
      <c r="BG5" s="73"/>
      <c r="BH5" s="232" t="s">
        <v>58</v>
      </c>
      <c r="BI5" s="233">
        <v>29685</v>
      </c>
      <c r="BJ5" s="233">
        <v>41188</v>
      </c>
      <c r="BK5" s="231">
        <f>((BJ5-BI5)/BI5)*100</f>
        <v>38.750210544045814</v>
      </c>
      <c r="BL5" s="233">
        <v>45977</v>
      </c>
      <c r="BM5" s="233">
        <v>41188</v>
      </c>
      <c r="BN5" s="231">
        <f t="shared" si="7"/>
        <v>-10.416077604019401</v>
      </c>
      <c r="BO5" s="73"/>
      <c r="BP5" s="232"/>
      <c r="BQ5" s="232" t="s">
        <v>58</v>
      </c>
      <c r="BR5" s="233">
        <v>38003</v>
      </c>
      <c r="BS5" s="233">
        <v>45977</v>
      </c>
      <c r="BT5" s="231">
        <f t="shared" si="8"/>
        <v>20.982554008894034</v>
      </c>
      <c r="BU5" s="233">
        <v>40539</v>
      </c>
      <c r="BV5" s="233">
        <v>45977</v>
      </c>
      <c r="BW5" s="231">
        <f>(BV5-BU5)/BU5*100</f>
        <v>13.414243074570168</v>
      </c>
      <c r="BX5" s="73"/>
      <c r="BY5" s="232"/>
      <c r="BZ5" s="232" t="s">
        <v>58</v>
      </c>
      <c r="CA5" s="233">
        <v>40956</v>
      </c>
      <c r="CB5" s="233">
        <v>40539</v>
      </c>
      <c r="CC5" s="231">
        <f t="shared" si="9"/>
        <v>-1.0181658365074715</v>
      </c>
      <c r="CD5" s="233">
        <v>31837</v>
      </c>
      <c r="CE5" s="233">
        <v>40539</v>
      </c>
      <c r="CF5" s="231">
        <f t="shared" si="10"/>
        <v>27.332977353393851</v>
      </c>
      <c r="CG5" s="73"/>
      <c r="CH5" s="232"/>
      <c r="CI5" s="232" t="s">
        <v>58</v>
      </c>
      <c r="CJ5" s="233">
        <f>ต.ค.!CI5</f>
        <v>30626</v>
      </c>
      <c r="CK5" s="233" t="e">
        <f t="shared" si="0"/>
        <v>#REF!</v>
      </c>
      <c r="CL5" s="231" t="e">
        <f t="shared" si="11"/>
        <v>#REF!</v>
      </c>
      <c r="CM5" s="233" t="e">
        <f>#REF!</f>
        <v>#REF!</v>
      </c>
      <c r="CN5" s="233" t="e">
        <f>#REF!</f>
        <v>#REF!</v>
      </c>
      <c r="CO5" s="231" t="e">
        <f t="shared" si="12"/>
        <v>#REF!</v>
      </c>
      <c r="CP5" s="73"/>
      <c r="CQ5" s="232"/>
      <c r="CR5" s="232" t="s">
        <v>58</v>
      </c>
      <c r="CS5" s="233">
        <v>30883</v>
      </c>
      <c r="CT5" s="233">
        <v>30791</v>
      </c>
      <c r="CU5" s="231">
        <f t="shared" si="13"/>
        <v>-0.29789852022148111</v>
      </c>
      <c r="CV5" s="233">
        <v>23327</v>
      </c>
      <c r="CW5" s="233">
        <v>30791</v>
      </c>
      <c r="CX5" s="231">
        <f t="shared" si="14"/>
        <v>31.997256398165213</v>
      </c>
      <c r="CY5" s="73"/>
      <c r="CZ5" s="184"/>
      <c r="DA5" s="184" t="s">
        <v>58</v>
      </c>
      <c r="DB5" s="185">
        <v>22856</v>
      </c>
      <c r="DC5" s="185">
        <v>23327</v>
      </c>
      <c r="DD5" s="183">
        <f t="shared" si="15"/>
        <v>2.0607280364018199</v>
      </c>
      <c r="DE5" s="185">
        <v>1932</v>
      </c>
      <c r="DF5" s="185">
        <v>23327</v>
      </c>
      <c r="DG5" s="183">
        <f t="shared" si="16"/>
        <v>1107.4016563146997</v>
      </c>
      <c r="DH5" s="73"/>
      <c r="DI5" s="103"/>
      <c r="DJ5" s="103" t="s">
        <v>58</v>
      </c>
      <c r="DK5" s="104">
        <v>19871</v>
      </c>
      <c r="DL5" s="104">
        <v>1932</v>
      </c>
      <c r="DM5" s="102">
        <f t="shared" si="17"/>
        <v>-90.277288510895275</v>
      </c>
      <c r="DN5" s="104">
        <v>12003</v>
      </c>
      <c r="DO5" s="104">
        <v>1932</v>
      </c>
      <c r="DP5" s="102">
        <f t="shared" si="18"/>
        <v>-83.904023994001491</v>
      </c>
      <c r="DQ5" s="73"/>
      <c r="DR5" s="24"/>
      <c r="DS5" s="24" t="s">
        <v>58</v>
      </c>
      <c r="DT5" s="50">
        <v>9414</v>
      </c>
      <c r="DU5" s="50">
        <f>11999+4</f>
        <v>12003</v>
      </c>
      <c r="DV5" s="128">
        <f t="shared" si="19"/>
        <v>27.501593371574252</v>
      </c>
      <c r="DW5" s="123">
        <v>10434</v>
      </c>
      <c r="DX5" s="50">
        <f>11999+4</f>
        <v>12003</v>
      </c>
      <c r="DY5" s="128">
        <f t="shared" si="20"/>
        <v>15.03737780333525</v>
      </c>
      <c r="DZ5" s="130"/>
      <c r="EA5" s="103"/>
      <c r="EB5" s="103" t="s">
        <v>58</v>
      </c>
      <c r="EC5" s="104">
        <v>8393</v>
      </c>
      <c r="ED5" s="104">
        <v>10434</v>
      </c>
      <c r="EE5" s="112">
        <f t="shared" si="21"/>
        <v>24.317883950911472</v>
      </c>
      <c r="EF5" s="104">
        <v>19145</v>
      </c>
      <c r="EG5" s="104">
        <v>10434</v>
      </c>
      <c r="EH5" s="112">
        <f t="shared" si="22"/>
        <v>-45.500130582397489</v>
      </c>
      <c r="EI5" s="61"/>
      <c r="EJ5" s="77"/>
      <c r="EK5" s="77" t="s">
        <v>58</v>
      </c>
      <c r="EL5" s="78">
        <v>15070</v>
      </c>
      <c r="EM5" s="78">
        <v>19145</v>
      </c>
      <c r="EN5" s="79">
        <f t="shared" si="23"/>
        <v>27.040477770404774</v>
      </c>
      <c r="EO5" s="80">
        <v>7270</v>
      </c>
      <c r="EP5" s="78">
        <v>19145</v>
      </c>
      <c r="EQ5" s="79">
        <f t="shared" si="24"/>
        <v>163.34250343878955</v>
      </c>
      <c r="ER5" s="61"/>
      <c r="ES5" s="42"/>
      <c r="ET5" s="42" t="s">
        <v>58</v>
      </c>
      <c r="EU5" s="58">
        <v>8787</v>
      </c>
      <c r="EV5" s="58">
        <v>4786</v>
      </c>
      <c r="EW5" s="44">
        <f t="shared" si="1"/>
        <v>-45.533174007055877</v>
      </c>
      <c r="EX5" s="45">
        <v>6878</v>
      </c>
      <c r="EY5" s="58">
        <v>4786</v>
      </c>
      <c r="EZ5" s="44">
        <f t="shared" si="2"/>
        <v>-30.415818551904621</v>
      </c>
      <c r="FA5" s="61"/>
      <c r="FB5" s="25">
        <v>6019</v>
      </c>
      <c r="FC5" s="50">
        <v>6149</v>
      </c>
      <c r="FD5" s="32">
        <f>((FC5-FB5)/FB5)*100</f>
        <v>2.159827213822894</v>
      </c>
      <c r="FE5" s="27">
        <v>15479</v>
      </c>
      <c r="FF5" s="25">
        <f>FC5</f>
        <v>6149</v>
      </c>
      <c r="FG5" s="32">
        <f>((FF5-FE5)/FE5)*100</f>
        <v>-60.275211576975252</v>
      </c>
      <c r="FI5" s="4" t="s">
        <v>2</v>
      </c>
      <c r="FJ5" s="5">
        <v>12307</v>
      </c>
      <c r="FK5" s="5">
        <v>15479</v>
      </c>
      <c r="FL5" s="36">
        <f>(FK5-FJ5)/FJ5*100</f>
        <v>25.773949784675388</v>
      </c>
      <c r="FM5" s="46">
        <v>72122</v>
      </c>
      <c r="FN5" s="5">
        <v>15479</v>
      </c>
      <c r="FO5" s="47">
        <f>((FN5-FM5)/FM5)*100</f>
        <v>-78.537755469898229</v>
      </c>
    </row>
    <row r="6" spans="1:171" x14ac:dyDescent="0.5">
      <c r="A6" s="232"/>
      <c r="B6" s="362" t="s">
        <v>795</v>
      </c>
      <c r="C6" s="364">
        <v>68</v>
      </c>
      <c r="D6" s="364">
        <v>1541</v>
      </c>
      <c r="E6" s="231">
        <f>((D6-C6)/C6)*100</f>
        <v>2166.1764705882351</v>
      </c>
      <c r="F6" s="233" t="s">
        <v>17</v>
      </c>
      <c r="G6" s="364">
        <v>1541</v>
      </c>
      <c r="H6" s="231" t="e">
        <f t="shared" ref="H6:H7" si="25">(G6-F6)/F6*100</f>
        <v>#VALUE!</v>
      </c>
      <c r="I6" s="232"/>
      <c r="J6" s="362" t="s">
        <v>795</v>
      </c>
      <c r="K6" s="364" t="s">
        <v>17</v>
      </c>
      <c r="L6" s="364" t="s">
        <v>17</v>
      </c>
      <c r="M6" s="231" t="e">
        <f>((L6-K6)/K6)*100</f>
        <v>#VALUE!</v>
      </c>
      <c r="N6" s="233">
        <v>100</v>
      </c>
      <c r="O6" s="364" t="s">
        <v>17</v>
      </c>
      <c r="P6" s="231" t="e">
        <f>(O6-N6)/N6*100</f>
        <v>#VALUE!</v>
      </c>
      <c r="Q6" s="232"/>
      <c r="R6" s="362" t="s">
        <v>795</v>
      </c>
      <c r="S6" s="233">
        <v>50</v>
      </c>
      <c r="T6" s="233">
        <v>100</v>
      </c>
      <c r="U6" s="231">
        <f>((T6-S6)/S6)*100</f>
        <v>100</v>
      </c>
      <c r="V6" s="233"/>
      <c r="W6" s="233">
        <v>100</v>
      </c>
      <c r="X6" s="231" t="e">
        <f>(W6-V6)/V6*100</f>
        <v>#DIV/0!</v>
      </c>
      <c r="Y6" s="232"/>
      <c r="Z6" s="232"/>
      <c r="AA6" s="233"/>
      <c r="AB6" s="233"/>
      <c r="AC6" s="231"/>
      <c r="AD6" s="233"/>
      <c r="AE6" s="233"/>
      <c r="AF6" s="231"/>
      <c r="AG6" s="232"/>
      <c r="AH6" s="232"/>
      <c r="AI6" s="233"/>
      <c r="AJ6" s="233"/>
      <c r="AK6" s="231"/>
      <c r="AL6" s="233"/>
      <c r="AM6" s="233"/>
      <c r="AN6" s="231"/>
      <c r="AP6" s="232"/>
      <c r="AQ6" s="232"/>
      <c r="AR6" s="233"/>
      <c r="AS6" s="233"/>
      <c r="AT6" s="231"/>
      <c r="AU6" s="233"/>
      <c r="AV6" s="233"/>
      <c r="AW6" s="231"/>
      <c r="AX6" s="73"/>
      <c r="AY6" s="232"/>
      <c r="AZ6" s="232"/>
      <c r="BA6" s="233"/>
      <c r="BB6" s="233"/>
      <c r="BC6" s="231"/>
      <c r="BD6" s="233"/>
      <c r="BE6" s="233"/>
      <c r="BF6" s="231"/>
      <c r="BG6" s="73"/>
      <c r="BH6" s="232"/>
      <c r="BI6" s="233"/>
      <c r="BJ6" s="233"/>
      <c r="BK6" s="231"/>
      <c r="BL6" s="233"/>
      <c r="BM6" s="233"/>
      <c r="BN6" s="231"/>
      <c r="BO6" s="73"/>
      <c r="BP6" s="232"/>
      <c r="BQ6" s="232"/>
      <c r="BR6" s="233"/>
      <c r="BS6" s="233"/>
      <c r="BT6" s="231"/>
      <c r="BU6" s="233"/>
      <c r="BV6" s="233"/>
      <c r="BW6" s="231"/>
      <c r="BX6" s="73"/>
      <c r="BY6" s="232"/>
      <c r="BZ6" s="232"/>
      <c r="CA6" s="233"/>
      <c r="CB6" s="233"/>
      <c r="CC6" s="231"/>
      <c r="CD6" s="233"/>
      <c r="CE6" s="233"/>
      <c r="CF6" s="231"/>
      <c r="CG6" s="73"/>
      <c r="CH6" s="232"/>
      <c r="CI6" s="232"/>
      <c r="CJ6" s="233"/>
      <c r="CK6" s="233"/>
      <c r="CL6" s="231"/>
      <c r="CM6" s="233"/>
      <c r="CN6" s="233"/>
      <c r="CO6" s="231"/>
      <c r="CP6" s="73"/>
      <c r="CQ6" s="232"/>
      <c r="CR6" s="232"/>
      <c r="CS6" s="233"/>
      <c r="CT6" s="233"/>
      <c r="CU6" s="231"/>
      <c r="CV6" s="233"/>
      <c r="CW6" s="233"/>
      <c r="CX6" s="231"/>
      <c r="CY6" s="73"/>
      <c r="CZ6" s="184"/>
      <c r="DA6" s="184"/>
      <c r="DB6" s="185"/>
      <c r="DC6" s="185"/>
      <c r="DD6" s="183"/>
      <c r="DE6" s="185"/>
      <c r="DF6" s="185"/>
      <c r="DG6" s="183"/>
      <c r="DH6" s="73"/>
      <c r="DI6" s="103"/>
      <c r="DJ6" s="103"/>
      <c r="DK6" s="104"/>
      <c r="DL6" s="104"/>
      <c r="DM6" s="102"/>
      <c r="DN6" s="104"/>
      <c r="DO6" s="104"/>
      <c r="DP6" s="102"/>
      <c r="DQ6" s="73"/>
      <c r="DR6" s="24"/>
      <c r="DS6" s="24"/>
      <c r="DT6" s="50"/>
      <c r="DU6" s="50"/>
      <c r="DV6" s="128"/>
      <c r="DW6" s="123"/>
      <c r="DX6" s="50"/>
      <c r="DY6" s="128"/>
      <c r="DZ6" s="130"/>
      <c r="EA6" s="103"/>
      <c r="EB6" s="103"/>
      <c r="EC6" s="104"/>
      <c r="ED6" s="104"/>
      <c r="EE6" s="112"/>
      <c r="EF6" s="104"/>
      <c r="EG6" s="104"/>
      <c r="EH6" s="112"/>
      <c r="EI6" s="61"/>
      <c r="EJ6" s="77"/>
      <c r="EK6" s="77"/>
      <c r="EL6" s="78"/>
      <c r="EM6" s="78"/>
      <c r="EN6" s="79"/>
      <c r="EO6" s="80"/>
      <c r="EP6" s="78"/>
      <c r="EQ6" s="79"/>
      <c r="ER6" s="61"/>
      <c r="ES6" s="42"/>
      <c r="ET6" s="42"/>
      <c r="EU6" s="58"/>
      <c r="EV6" s="58"/>
      <c r="EW6" s="44"/>
      <c r="EX6" s="45"/>
      <c r="EY6" s="58"/>
      <c r="EZ6" s="44"/>
      <c r="FA6" s="61"/>
      <c r="FB6" s="25"/>
      <c r="FC6" s="50"/>
      <c r="FD6" s="32"/>
      <c r="FE6" s="27"/>
      <c r="FF6" s="25"/>
      <c r="FG6" s="32"/>
      <c r="FI6" s="4"/>
      <c r="FJ6" s="5"/>
      <c r="FK6" s="5"/>
      <c r="FL6" s="36"/>
      <c r="FM6" s="46"/>
      <c r="FN6" s="5"/>
      <c r="FO6" s="47"/>
    </row>
    <row r="7" spans="1:171" x14ac:dyDescent="0.5">
      <c r="A7" s="232"/>
      <c r="B7" s="362" t="s">
        <v>808</v>
      </c>
      <c r="C7" s="233">
        <v>1604</v>
      </c>
      <c r="D7" s="233">
        <v>1447</v>
      </c>
      <c r="E7" s="231">
        <v>-6.7733333333333343</v>
      </c>
      <c r="F7" s="233">
        <v>4172</v>
      </c>
      <c r="G7" s="233">
        <v>1447</v>
      </c>
      <c r="H7" s="231">
        <f t="shared" si="25"/>
        <v>-65.316395014381584</v>
      </c>
      <c r="I7" s="232"/>
      <c r="J7" s="362" t="s">
        <v>808</v>
      </c>
      <c r="K7" s="233">
        <v>3496</v>
      </c>
      <c r="L7" s="233">
        <v>4172</v>
      </c>
      <c r="M7" s="231">
        <v>-6.7733333333333343</v>
      </c>
      <c r="N7" s="233">
        <v>0</v>
      </c>
      <c r="O7" s="233">
        <v>4172</v>
      </c>
      <c r="P7" s="231" t="e">
        <v>#DIV/0!</v>
      </c>
      <c r="Q7" s="232"/>
      <c r="R7" s="362"/>
      <c r="S7" s="233"/>
      <c r="T7" s="233"/>
      <c r="U7" s="231"/>
      <c r="V7" s="233"/>
      <c r="W7" s="233"/>
      <c r="X7" s="231"/>
      <c r="Y7" s="232"/>
      <c r="Z7" s="232"/>
      <c r="AA7" s="233"/>
      <c r="AB7" s="233"/>
      <c r="AC7" s="231"/>
      <c r="AD7" s="233"/>
      <c r="AE7" s="233"/>
      <c r="AF7" s="231"/>
      <c r="AG7" s="232"/>
      <c r="AH7" s="232"/>
      <c r="AI7" s="233"/>
      <c r="AJ7" s="233"/>
      <c r="AK7" s="231"/>
      <c r="AL7" s="233"/>
      <c r="AM7" s="233"/>
      <c r="AN7" s="231"/>
      <c r="AP7" s="232"/>
      <c r="AQ7" s="232"/>
      <c r="AR7" s="233"/>
      <c r="AS7" s="233"/>
      <c r="AT7" s="231"/>
      <c r="AU7" s="233"/>
      <c r="AV7" s="233"/>
      <c r="AW7" s="231"/>
      <c r="AX7" s="73"/>
      <c r="AY7" s="232"/>
      <c r="AZ7" s="232"/>
      <c r="BA7" s="233"/>
      <c r="BB7" s="233"/>
      <c r="BC7" s="231"/>
      <c r="BD7" s="233"/>
      <c r="BE7" s="233"/>
      <c r="BF7" s="231"/>
      <c r="BG7" s="73"/>
      <c r="BH7" s="232"/>
      <c r="BI7" s="233"/>
      <c r="BJ7" s="233"/>
      <c r="BK7" s="231"/>
      <c r="BL7" s="233"/>
      <c r="BM7" s="233"/>
      <c r="BN7" s="231"/>
      <c r="BO7" s="73"/>
      <c r="BP7" s="232"/>
      <c r="BQ7" s="232"/>
      <c r="BR7" s="233"/>
      <c r="BS7" s="233"/>
      <c r="BT7" s="231"/>
      <c r="BU7" s="233"/>
      <c r="BV7" s="233"/>
      <c r="BW7" s="231"/>
      <c r="BX7" s="73"/>
      <c r="BY7" s="232"/>
      <c r="BZ7" s="232"/>
      <c r="CA7" s="233"/>
      <c r="CB7" s="233"/>
      <c r="CC7" s="231"/>
      <c r="CD7" s="233"/>
      <c r="CE7" s="233"/>
      <c r="CF7" s="231"/>
      <c r="CG7" s="73"/>
      <c r="CH7" s="232"/>
      <c r="CI7" s="232"/>
      <c r="CJ7" s="233"/>
      <c r="CK7" s="233"/>
      <c r="CL7" s="231"/>
      <c r="CM7" s="233"/>
      <c r="CN7" s="233"/>
      <c r="CO7" s="231"/>
      <c r="CP7" s="73"/>
      <c r="CQ7" s="232"/>
      <c r="CR7" s="232"/>
      <c r="CS7" s="233"/>
      <c r="CT7" s="233"/>
      <c r="CU7" s="231"/>
      <c r="CV7" s="233"/>
      <c r="CW7" s="233"/>
      <c r="CX7" s="231"/>
      <c r="CY7" s="73"/>
      <c r="CZ7" s="184"/>
      <c r="DA7" s="184"/>
      <c r="DB7" s="185"/>
      <c r="DC7" s="185"/>
      <c r="DD7" s="183"/>
      <c r="DE7" s="185"/>
      <c r="DF7" s="185"/>
      <c r="DG7" s="183"/>
      <c r="DH7" s="73"/>
      <c r="DI7" s="103"/>
      <c r="DJ7" s="103"/>
      <c r="DK7" s="104"/>
      <c r="DL7" s="104"/>
      <c r="DM7" s="102"/>
      <c r="DN7" s="104"/>
      <c r="DO7" s="104"/>
      <c r="DP7" s="102"/>
      <c r="DQ7" s="73"/>
      <c r="DR7" s="24"/>
      <c r="DS7" s="24"/>
      <c r="DT7" s="50"/>
      <c r="DU7" s="50"/>
      <c r="DV7" s="128"/>
      <c r="DW7" s="123"/>
      <c r="DX7" s="50"/>
      <c r="DY7" s="128"/>
      <c r="DZ7" s="130"/>
      <c r="EA7" s="103"/>
      <c r="EB7" s="103"/>
      <c r="EC7" s="104"/>
      <c r="ED7" s="104"/>
      <c r="EE7" s="112"/>
      <c r="EF7" s="104"/>
      <c r="EG7" s="104"/>
      <c r="EH7" s="112"/>
      <c r="EI7" s="61"/>
      <c r="EJ7" s="77"/>
      <c r="EK7" s="77"/>
      <c r="EL7" s="78"/>
      <c r="EM7" s="78"/>
      <c r="EN7" s="79"/>
      <c r="EO7" s="80"/>
      <c r="EP7" s="78"/>
      <c r="EQ7" s="79"/>
      <c r="ER7" s="61"/>
      <c r="ES7" s="42"/>
      <c r="ET7" s="42"/>
      <c r="EU7" s="58"/>
      <c r="EV7" s="58"/>
      <c r="EW7" s="44"/>
      <c r="EX7" s="45"/>
      <c r="EY7" s="58"/>
      <c r="EZ7" s="44"/>
      <c r="FA7" s="61"/>
      <c r="FB7" s="25"/>
      <c r="FC7" s="50"/>
      <c r="FD7" s="32"/>
      <c r="FE7" s="27"/>
      <c r="FF7" s="25"/>
      <c r="FG7" s="32"/>
      <c r="FI7" s="4"/>
      <c r="FJ7" s="5"/>
      <c r="FK7" s="5"/>
      <c r="FL7" s="36"/>
      <c r="FM7" s="46"/>
      <c r="FN7" s="5"/>
      <c r="FO7" s="47"/>
    </row>
    <row r="8" spans="1:171" x14ac:dyDescent="0.5">
      <c r="A8" s="229" t="s">
        <v>1</v>
      </c>
      <c r="B8" s="229"/>
      <c r="C8" s="338">
        <v>133706</v>
      </c>
      <c r="D8" s="230">
        <f>D10+D11+D12+D13+D14</f>
        <v>128430</v>
      </c>
      <c r="E8" s="231">
        <f>((D8-C8)/C8)*100</f>
        <v>-3.9459710110241875</v>
      </c>
      <c r="F8" s="230">
        <v>136622</v>
      </c>
      <c r="G8" s="230">
        <f>G10+G11+G12+G13+G14</f>
        <v>128430</v>
      </c>
      <c r="H8" s="231">
        <f>(G8-F8)/F8*100</f>
        <v>-5.9961060444145158</v>
      </c>
      <c r="I8" s="229" t="s">
        <v>1</v>
      </c>
      <c r="J8" s="229"/>
      <c r="K8" s="338">
        <v>140113</v>
      </c>
      <c r="L8" s="230">
        <v>136622</v>
      </c>
      <c r="M8" s="231">
        <f>((L8-K8)/K8)*100</f>
        <v>-2.4915603834048232</v>
      </c>
      <c r="N8" s="230">
        <v>143121</v>
      </c>
      <c r="O8" s="230">
        <v>136622</v>
      </c>
      <c r="P8" s="231">
        <f>(O8-N8)/N8*100</f>
        <v>-4.5409129338112502</v>
      </c>
      <c r="Q8" s="229" t="s">
        <v>1</v>
      </c>
      <c r="R8" s="229"/>
      <c r="S8" s="338">
        <v>134978</v>
      </c>
      <c r="T8" s="230">
        <v>143121</v>
      </c>
      <c r="U8" s="231">
        <f>((T8-S8)/S8)*100</f>
        <v>6.0328349805153429</v>
      </c>
      <c r="V8" s="230">
        <v>150980</v>
      </c>
      <c r="W8" s="230">
        <v>143121</v>
      </c>
      <c r="X8" s="231">
        <f>(W8-V8)/V8*100</f>
        <v>-5.2053252086369053</v>
      </c>
      <c r="Y8" s="229" t="s">
        <v>1</v>
      </c>
      <c r="Z8" s="229"/>
      <c r="AA8" s="230">
        <v>134019</v>
      </c>
      <c r="AB8" s="230">
        <v>150980</v>
      </c>
      <c r="AC8" s="231">
        <f>((AB8-AA8)/AA8)*100</f>
        <v>12.655668226147037</v>
      </c>
      <c r="AD8" s="230">
        <v>144648</v>
      </c>
      <c r="AE8" s="230">
        <v>150980</v>
      </c>
      <c r="AF8" s="231">
        <f t="shared" si="3"/>
        <v>4.3775233670704052</v>
      </c>
      <c r="AG8" s="229" t="s">
        <v>1</v>
      </c>
      <c r="AH8" s="229"/>
      <c r="AI8" s="230">
        <v>114285</v>
      </c>
      <c r="AJ8" s="230">
        <v>144648</v>
      </c>
      <c r="AK8" s="231">
        <f>((AJ8-AI8)/AI8)*100</f>
        <v>26.567791048694055</v>
      </c>
      <c r="AL8" s="230">
        <v>120062</v>
      </c>
      <c r="AM8" s="230">
        <v>144648</v>
      </c>
      <c r="AN8" s="231">
        <f t="shared" si="4"/>
        <v>20.477753160866886</v>
      </c>
      <c r="AP8" s="229" t="s">
        <v>1</v>
      </c>
      <c r="AQ8" s="229"/>
      <c r="AR8" s="230">
        <v>126323</v>
      </c>
      <c r="AS8" s="230">
        <v>120062</v>
      </c>
      <c r="AT8" s="231">
        <f>((AS8-AR8)/AR8)*100</f>
        <v>-4.9563420754731924</v>
      </c>
      <c r="AU8" s="230">
        <v>135458</v>
      </c>
      <c r="AV8" s="230">
        <v>120062</v>
      </c>
      <c r="AW8" s="231">
        <f t="shared" si="5"/>
        <v>-11.365884628445718</v>
      </c>
      <c r="AX8" s="73"/>
      <c r="AY8" s="229" t="s">
        <v>1</v>
      </c>
      <c r="AZ8" s="229"/>
      <c r="BA8" s="230">
        <v>142434</v>
      </c>
      <c r="BB8" s="230">
        <v>135458</v>
      </c>
      <c r="BC8" s="231">
        <f>((BB8-BA8)/BA8)*100</f>
        <v>-4.8977070081581644</v>
      </c>
      <c r="BD8" s="230">
        <v>145633</v>
      </c>
      <c r="BE8" s="230">
        <v>135458</v>
      </c>
      <c r="BF8" s="231">
        <f t="shared" si="6"/>
        <v>-6.9867406425741425</v>
      </c>
      <c r="BG8" s="73"/>
      <c r="BH8" s="229"/>
      <c r="BI8" s="230">
        <v>139290</v>
      </c>
      <c r="BJ8" s="230">
        <v>145633</v>
      </c>
      <c r="BK8" s="231">
        <f>((BJ8-BI8)/BI8)*100</f>
        <v>4.5538086007610019</v>
      </c>
      <c r="BL8" s="230">
        <v>153058</v>
      </c>
      <c r="BM8" s="230">
        <v>145633</v>
      </c>
      <c r="BN8" s="231">
        <f t="shared" si="7"/>
        <v>-4.8511021965529411</v>
      </c>
      <c r="BO8" s="73"/>
      <c r="BP8" s="229" t="s">
        <v>1</v>
      </c>
      <c r="BQ8" s="229"/>
      <c r="BR8" s="230">
        <v>135575</v>
      </c>
      <c r="BS8" s="230">
        <v>153058</v>
      </c>
      <c r="BT8" s="231">
        <f t="shared" si="8"/>
        <v>12.895445325465611</v>
      </c>
      <c r="BU8" s="230">
        <v>137291</v>
      </c>
      <c r="BV8" s="230">
        <v>153058</v>
      </c>
      <c r="BW8" s="231">
        <f>(BV8-BU8)/BU8*100</f>
        <v>11.484365326204921</v>
      </c>
      <c r="BX8" s="73"/>
      <c r="BY8" s="229" t="s">
        <v>1</v>
      </c>
      <c r="BZ8" s="229"/>
      <c r="CA8" s="230">
        <v>126184</v>
      </c>
      <c r="CB8" s="230">
        <v>137291</v>
      </c>
      <c r="CC8" s="231">
        <f t="shared" si="9"/>
        <v>8.8022253217523616</v>
      </c>
      <c r="CD8" s="230">
        <v>121599</v>
      </c>
      <c r="CE8" s="230">
        <v>137291</v>
      </c>
      <c r="CF8" s="231">
        <f t="shared" si="10"/>
        <v>12.904711387429174</v>
      </c>
      <c r="CG8" s="73"/>
      <c r="CH8" s="229" t="s">
        <v>1</v>
      </c>
      <c r="CI8" s="229"/>
      <c r="CJ8" s="230">
        <f>ต.ค.!CI8</f>
        <v>118516</v>
      </c>
      <c r="CK8" s="230" t="e">
        <f t="shared" si="0"/>
        <v>#REF!</v>
      </c>
      <c r="CL8" s="231" t="e">
        <f t="shared" si="11"/>
        <v>#REF!</v>
      </c>
      <c r="CM8" s="230" t="e">
        <f>#REF!</f>
        <v>#REF!</v>
      </c>
      <c r="CN8" s="230" t="e">
        <f>#REF!</f>
        <v>#REF!</v>
      </c>
      <c r="CO8" s="231" t="e">
        <f t="shared" si="12"/>
        <v>#REF!</v>
      </c>
      <c r="CP8" s="73"/>
      <c r="CQ8" s="229" t="s">
        <v>1</v>
      </c>
      <c r="CR8" s="229"/>
      <c r="CS8" s="230">
        <f>SUM(CS9:CS12)</f>
        <v>148900</v>
      </c>
      <c r="CT8" s="230">
        <f>SUM(CT9:CT12)</f>
        <v>138750</v>
      </c>
      <c r="CU8" s="231">
        <f t="shared" si="13"/>
        <v>-6.816655473472129</v>
      </c>
      <c r="CV8" s="230">
        <f>SUM(CV9:CV12)</f>
        <v>165774</v>
      </c>
      <c r="CW8" s="230">
        <v>138750</v>
      </c>
      <c r="CX8" s="231">
        <f t="shared" si="14"/>
        <v>-16.301711969307611</v>
      </c>
      <c r="CY8" s="73"/>
      <c r="CZ8" s="181" t="s">
        <v>1</v>
      </c>
      <c r="DA8" s="181"/>
      <c r="DB8" s="182">
        <v>167009</v>
      </c>
      <c r="DC8" s="182">
        <f>SUM(DC9:DC12)</f>
        <v>165774</v>
      </c>
      <c r="DD8" s="183">
        <f t="shared" si="15"/>
        <v>-0.73948110580866899</v>
      </c>
      <c r="DE8" s="182">
        <v>128324</v>
      </c>
      <c r="DF8" s="182">
        <f>SUM(DF9:DF12)</f>
        <v>165774</v>
      </c>
      <c r="DG8" s="183">
        <f t="shared" si="16"/>
        <v>29.183940650229108</v>
      </c>
      <c r="DH8" s="73"/>
      <c r="DI8" s="100" t="s">
        <v>1</v>
      </c>
      <c r="DJ8" s="100"/>
      <c r="DK8" s="101">
        <v>134811</v>
      </c>
      <c r="DL8" s="101">
        <f>SUM(DL9:DL12)</f>
        <v>128324</v>
      </c>
      <c r="DM8" s="102">
        <f t="shared" si="17"/>
        <v>-4.8119218758113211</v>
      </c>
      <c r="DN8" s="101">
        <v>144220</v>
      </c>
      <c r="DO8" s="101">
        <v>128324</v>
      </c>
      <c r="DP8" s="102">
        <f t="shared" si="18"/>
        <v>-11.022049646373596</v>
      </c>
      <c r="DQ8" s="73"/>
      <c r="DR8" s="120" t="s">
        <v>1</v>
      </c>
      <c r="DS8" s="120"/>
      <c r="DT8" s="133">
        <f>SUM(DT9:DT12)</f>
        <v>139150</v>
      </c>
      <c r="DU8" s="133">
        <f>SUM(DU9:DU12)</f>
        <v>144220</v>
      </c>
      <c r="DV8" s="125">
        <f t="shared" si="19"/>
        <v>3.6435501257635643</v>
      </c>
      <c r="DW8" s="121">
        <v>130264</v>
      </c>
      <c r="DX8" s="133">
        <f>SUM(DX9:DX12)</f>
        <v>144220</v>
      </c>
      <c r="DY8" s="125">
        <f t="shared" si="20"/>
        <v>10.713627709881472</v>
      </c>
      <c r="DZ8" s="127"/>
      <c r="EA8" s="100" t="s">
        <v>1</v>
      </c>
      <c r="EB8" s="100"/>
      <c r="EC8" s="101">
        <v>119918</v>
      </c>
      <c r="ED8" s="101">
        <f>SUM(ED9:ED12)</f>
        <v>130264</v>
      </c>
      <c r="EE8" s="102">
        <f t="shared" si="21"/>
        <v>8.6275621674811127</v>
      </c>
      <c r="EF8" s="101">
        <f>SUM(EF9:EF12)</f>
        <v>125322</v>
      </c>
      <c r="EG8" s="101">
        <v>130264</v>
      </c>
      <c r="EH8" s="102">
        <f t="shared" si="22"/>
        <v>3.943441694195752</v>
      </c>
      <c r="EI8" s="73"/>
      <c r="EJ8" s="74" t="s">
        <v>1</v>
      </c>
      <c r="EK8" s="74"/>
      <c r="EL8" s="75">
        <f>SUM(EL9:EL12)</f>
        <v>138437</v>
      </c>
      <c r="EM8" s="75">
        <f>SUM(EM9:EM12)</f>
        <v>125323</v>
      </c>
      <c r="EN8" s="76">
        <f t="shared" si="23"/>
        <v>-9.4729010307937909</v>
      </c>
      <c r="EO8" s="75">
        <f>SUM(EO9:EO12)</f>
        <v>129608</v>
      </c>
      <c r="EP8" s="75">
        <f>SUM(EP9:EP12)</f>
        <v>125323</v>
      </c>
      <c r="EQ8" s="76">
        <f t="shared" si="24"/>
        <v>-3.3061230788222948</v>
      </c>
      <c r="ER8" s="73"/>
      <c r="ES8" s="63" t="s">
        <v>1</v>
      </c>
      <c r="ET8" s="63"/>
      <c r="EU8" s="64">
        <f>SUM(EU9:EU12)</f>
        <v>125975</v>
      </c>
      <c r="EV8" s="64">
        <v>129608</v>
      </c>
      <c r="EW8" s="65">
        <f t="shared" si="1"/>
        <v>2.8839055368128594</v>
      </c>
      <c r="EX8" s="64">
        <f>EX9+EX10+EX12</f>
        <v>159737</v>
      </c>
      <c r="EY8" s="64">
        <v>129608</v>
      </c>
      <c r="EZ8" s="65">
        <f t="shared" si="2"/>
        <v>-18.861628802343851</v>
      </c>
      <c r="FA8" s="73"/>
    </row>
    <row r="9" spans="1:171" x14ac:dyDescent="0.5">
      <c r="A9" s="232"/>
      <c r="B9" s="232" t="s">
        <v>521</v>
      </c>
      <c r="C9" s="334">
        <v>0</v>
      </c>
      <c r="D9" s="339">
        <v>0</v>
      </c>
      <c r="E9" s="343" t="s">
        <v>530</v>
      </c>
      <c r="F9" s="339">
        <v>0</v>
      </c>
      <c r="G9" s="339">
        <v>0</v>
      </c>
      <c r="H9" s="343" t="s">
        <v>530</v>
      </c>
      <c r="I9" s="232"/>
      <c r="J9" s="232" t="s">
        <v>521</v>
      </c>
      <c r="K9" s="334">
        <v>0</v>
      </c>
      <c r="L9" s="339">
        <v>0</v>
      </c>
      <c r="M9" s="343" t="s">
        <v>530</v>
      </c>
      <c r="N9" s="339">
        <v>0</v>
      </c>
      <c r="O9" s="339">
        <v>0</v>
      </c>
      <c r="P9" s="343" t="s">
        <v>530</v>
      </c>
      <c r="Q9" s="232"/>
      <c r="R9" s="232" t="s">
        <v>521</v>
      </c>
      <c r="S9" s="334">
        <v>0</v>
      </c>
      <c r="T9" s="339">
        <v>0</v>
      </c>
      <c r="U9" s="343" t="s">
        <v>530</v>
      </c>
      <c r="V9" s="339">
        <v>0</v>
      </c>
      <c r="W9" s="339">
        <v>0</v>
      </c>
      <c r="X9" s="343" t="s">
        <v>530</v>
      </c>
      <c r="Y9" s="232"/>
      <c r="Z9" s="232" t="s">
        <v>521</v>
      </c>
      <c r="AA9" s="334">
        <v>0</v>
      </c>
      <c r="AB9" s="339">
        <v>0</v>
      </c>
      <c r="AC9" s="343" t="s">
        <v>530</v>
      </c>
      <c r="AD9" s="339" t="s">
        <v>530</v>
      </c>
      <c r="AE9" s="339">
        <v>0</v>
      </c>
      <c r="AF9" s="343" t="s">
        <v>530</v>
      </c>
      <c r="AG9" s="232"/>
      <c r="AH9" s="232" t="s">
        <v>521</v>
      </c>
      <c r="AI9" s="334" t="s">
        <v>530</v>
      </c>
      <c r="AJ9" s="339" t="s">
        <v>530</v>
      </c>
      <c r="AK9" s="343" t="s">
        <v>530</v>
      </c>
      <c r="AL9" s="339" t="s">
        <v>530</v>
      </c>
      <c r="AM9" s="339" t="s">
        <v>530</v>
      </c>
      <c r="AN9" s="343" t="s">
        <v>530</v>
      </c>
      <c r="AP9" s="232"/>
      <c r="AQ9" s="232" t="s">
        <v>521</v>
      </c>
      <c r="AR9" s="334" t="s">
        <v>530</v>
      </c>
      <c r="AS9" s="339" t="s">
        <v>530</v>
      </c>
      <c r="AT9" s="343" t="s">
        <v>530</v>
      </c>
      <c r="AU9" s="339" t="s">
        <v>530</v>
      </c>
      <c r="AV9" s="339" t="s">
        <v>530</v>
      </c>
      <c r="AW9" s="343" t="s">
        <v>530</v>
      </c>
      <c r="AX9" s="73"/>
      <c r="AY9" s="232"/>
      <c r="AZ9" s="232" t="s">
        <v>521</v>
      </c>
      <c r="BA9" s="334" t="s">
        <v>530</v>
      </c>
      <c r="BB9" s="339" t="s">
        <v>530</v>
      </c>
      <c r="BC9" s="343" t="s">
        <v>530</v>
      </c>
      <c r="BD9" s="339" t="s">
        <v>530</v>
      </c>
      <c r="BE9" s="339" t="s">
        <v>530</v>
      </c>
      <c r="BF9" s="343" t="s">
        <v>530</v>
      </c>
      <c r="BG9" s="73"/>
      <c r="BH9" s="232" t="s">
        <v>521</v>
      </c>
      <c r="BI9" s="334" t="s">
        <v>530</v>
      </c>
      <c r="BJ9" s="339" t="s">
        <v>530</v>
      </c>
      <c r="BK9" s="343" t="s">
        <v>530</v>
      </c>
      <c r="BL9" s="339">
        <v>1</v>
      </c>
      <c r="BM9" s="339" t="s">
        <v>530</v>
      </c>
      <c r="BN9" s="231">
        <f t="shared" si="7"/>
        <v>-100</v>
      </c>
      <c r="BO9" s="73"/>
      <c r="BP9" s="232"/>
      <c r="BQ9" s="232" t="s">
        <v>521</v>
      </c>
      <c r="BR9" s="334" t="s">
        <v>530</v>
      </c>
      <c r="BS9" s="234">
        <v>1</v>
      </c>
      <c r="BT9" s="231"/>
      <c r="BU9" s="234"/>
      <c r="BV9" s="234">
        <v>1</v>
      </c>
      <c r="BW9" s="231"/>
      <c r="BX9" s="73"/>
      <c r="BY9" s="232"/>
      <c r="BZ9" s="232" t="s">
        <v>435</v>
      </c>
      <c r="CA9" s="234">
        <v>14</v>
      </c>
      <c r="CB9" s="234">
        <v>8</v>
      </c>
      <c r="CC9" s="231">
        <f t="shared" si="9"/>
        <v>-42.857142857142854</v>
      </c>
      <c r="CD9" s="234"/>
      <c r="CE9" s="234">
        <v>8</v>
      </c>
      <c r="CF9" s="231"/>
      <c r="CG9" s="73"/>
      <c r="CH9" s="232"/>
      <c r="CI9" s="232" t="s">
        <v>57</v>
      </c>
      <c r="CJ9" s="234">
        <f>ต.ค.!CI9</f>
        <v>59890</v>
      </c>
      <c r="CK9" s="234" t="e">
        <f t="shared" si="0"/>
        <v>#REF!</v>
      </c>
      <c r="CL9" s="231" t="e">
        <f t="shared" si="11"/>
        <v>#REF!</v>
      </c>
      <c r="CM9" s="234" t="e">
        <f>#REF!</f>
        <v>#REF!</v>
      </c>
      <c r="CN9" s="234" t="e">
        <f>#REF!</f>
        <v>#REF!</v>
      </c>
      <c r="CO9" s="231" t="e">
        <f t="shared" si="12"/>
        <v>#REF!</v>
      </c>
      <c r="CP9" s="73"/>
      <c r="CQ9" s="232"/>
      <c r="CR9" s="232" t="s">
        <v>57</v>
      </c>
      <c r="CS9" s="234">
        <v>71468</v>
      </c>
      <c r="CT9" s="234">
        <v>68128</v>
      </c>
      <c r="CU9" s="231">
        <f t="shared" si="13"/>
        <v>-4.6734202720098503</v>
      </c>
      <c r="CV9" s="234">
        <v>72521</v>
      </c>
      <c r="CW9" s="234">
        <v>68128</v>
      </c>
      <c r="CX9" s="231">
        <f t="shared" si="14"/>
        <v>-6.0575557424745936</v>
      </c>
      <c r="CY9" s="73"/>
      <c r="CZ9" s="184"/>
      <c r="DA9" s="184" t="s">
        <v>57</v>
      </c>
      <c r="DB9" s="186">
        <v>74163</v>
      </c>
      <c r="DC9" s="186">
        <v>72521</v>
      </c>
      <c r="DD9" s="183">
        <f t="shared" si="15"/>
        <v>-2.2140420425279452</v>
      </c>
      <c r="DE9" s="186">
        <v>57995</v>
      </c>
      <c r="DF9" s="186">
        <v>72521</v>
      </c>
      <c r="DG9" s="183">
        <f t="shared" si="16"/>
        <v>25.046986809207688</v>
      </c>
      <c r="DH9" s="73"/>
      <c r="DI9" s="103"/>
      <c r="DJ9" s="103" t="s">
        <v>57</v>
      </c>
      <c r="DK9" s="105">
        <v>69548</v>
      </c>
      <c r="DL9" s="105">
        <v>57995</v>
      </c>
      <c r="DM9" s="102">
        <f t="shared" si="17"/>
        <v>-16.611548858342438</v>
      </c>
      <c r="DN9" s="105">
        <v>66767</v>
      </c>
      <c r="DO9" s="105">
        <v>57995</v>
      </c>
      <c r="DP9" s="102">
        <f t="shared" si="18"/>
        <v>-13.138226968412539</v>
      </c>
      <c r="DQ9" s="73"/>
      <c r="DR9" s="24"/>
      <c r="DS9" s="24" t="s">
        <v>57</v>
      </c>
      <c r="DT9" s="50">
        <v>65193</v>
      </c>
      <c r="DU9" s="50">
        <v>66767</v>
      </c>
      <c r="DV9" s="128">
        <f t="shared" si="19"/>
        <v>2.4143696409123678</v>
      </c>
      <c r="DW9" s="25">
        <v>63240</v>
      </c>
      <c r="DX9" s="50">
        <v>66767</v>
      </c>
      <c r="DY9" s="128">
        <f t="shared" si="20"/>
        <v>5.5771663504111322</v>
      </c>
      <c r="DZ9" s="130"/>
      <c r="EA9" s="103"/>
      <c r="EB9" s="103" t="s">
        <v>57</v>
      </c>
      <c r="EC9" s="105">
        <v>59550</v>
      </c>
      <c r="ED9" s="105">
        <v>63240</v>
      </c>
      <c r="EE9" s="112">
        <f t="shared" si="21"/>
        <v>6.19647355163728</v>
      </c>
      <c r="EF9" s="105">
        <v>63270</v>
      </c>
      <c r="EG9" s="105">
        <v>63240</v>
      </c>
      <c r="EH9" s="112">
        <f t="shared" si="22"/>
        <v>-4.7415836889521099E-2</v>
      </c>
      <c r="EI9" s="61"/>
      <c r="EJ9" s="77"/>
      <c r="EK9" s="77" t="s">
        <v>57</v>
      </c>
      <c r="EL9" s="80">
        <v>75129</v>
      </c>
      <c r="EM9" s="80">
        <v>66671</v>
      </c>
      <c r="EN9" s="79">
        <f t="shared" si="23"/>
        <v>-11.25796962557734</v>
      </c>
      <c r="EO9" s="81">
        <v>67453</v>
      </c>
      <c r="EP9" s="80">
        <v>66671</v>
      </c>
      <c r="EQ9" s="79">
        <f t="shared" si="24"/>
        <v>-1.1593257527463567</v>
      </c>
      <c r="ER9" s="61"/>
      <c r="ES9" s="42"/>
      <c r="ET9" s="42" t="s">
        <v>57</v>
      </c>
      <c r="EU9" s="43">
        <f>62926+3931</f>
        <v>66857</v>
      </c>
      <c r="EV9" s="43"/>
      <c r="EW9" s="44">
        <f t="shared" si="1"/>
        <v>-100</v>
      </c>
      <c r="EX9" s="45">
        <v>83180</v>
      </c>
      <c r="EY9" s="43"/>
      <c r="EZ9" s="44">
        <f t="shared" si="2"/>
        <v>-100</v>
      </c>
      <c r="FA9" s="61"/>
      <c r="FB9" s="34" t="s">
        <v>37</v>
      </c>
      <c r="FI9" s="34" t="s">
        <v>39</v>
      </c>
    </row>
    <row r="10" spans="1:171" x14ac:dyDescent="0.5">
      <c r="A10" s="232"/>
      <c r="B10" s="232" t="s">
        <v>522</v>
      </c>
      <c r="C10" s="339">
        <v>42419</v>
      </c>
      <c r="D10" s="234">
        <v>40214</v>
      </c>
      <c r="E10" s="231">
        <f>((D10-C10)/C10)*100</f>
        <v>-5.1981423418751032</v>
      </c>
      <c r="F10" s="234">
        <v>48007</v>
      </c>
      <c r="G10" s="234">
        <v>40214</v>
      </c>
      <c r="H10" s="231">
        <f t="shared" ref="H10:H18" si="26">(G10-F10)/F10*100</f>
        <v>-16.233049346970233</v>
      </c>
      <c r="I10" s="232"/>
      <c r="J10" s="232" t="s">
        <v>522</v>
      </c>
      <c r="K10" s="339">
        <v>52375</v>
      </c>
      <c r="L10" s="234">
        <v>48007</v>
      </c>
      <c r="M10" s="231">
        <f>((L10-K10)/K10)*100</f>
        <v>-8.339856801909308</v>
      </c>
      <c r="N10" s="234">
        <v>53291</v>
      </c>
      <c r="O10" s="234">
        <v>48007</v>
      </c>
      <c r="P10" s="231">
        <f t="shared" ref="P10:P18" si="27">(O10-N10)/N10*100</f>
        <v>-9.9153703251956244</v>
      </c>
      <c r="Q10" s="232"/>
      <c r="R10" s="232" t="s">
        <v>522</v>
      </c>
      <c r="S10" s="339">
        <v>49220</v>
      </c>
      <c r="T10" s="234">
        <v>53291</v>
      </c>
      <c r="U10" s="231">
        <f>((T10-S10)/S10)*100</f>
        <v>8.2710280373831786</v>
      </c>
      <c r="V10" s="234">
        <v>70688</v>
      </c>
      <c r="W10" s="234">
        <v>53291</v>
      </c>
      <c r="X10" s="231">
        <f t="shared" ref="X10:X18" si="28">(W10-V10)/V10*100</f>
        <v>-24.610966500679041</v>
      </c>
      <c r="Y10" s="232"/>
      <c r="Z10" s="232" t="s">
        <v>522</v>
      </c>
      <c r="AA10" s="234">
        <v>64631</v>
      </c>
      <c r="AB10" s="234">
        <v>70688</v>
      </c>
      <c r="AC10" s="231">
        <f>((AB10-AA10)/AA10)*100</f>
        <v>9.3716637526883382</v>
      </c>
      <c r="AD10" s="234">
        <v>66454</v>
      </c>
      <c r="AE10" s="234">
        <v>70688</v>
      </c>
      <c r="AF10" s="231">
        <f t="shared" ref="AF10:AF14" si="29">(AE10-AD10)/AD10*100</f>
        <v>6.3713245252355017</v>
      </c>
      <c r="AG10" s="232"/>
      <c r="AH10" s="232" t="s">
        <v>522</v>
      </c>
      <c r="AI10" s="234">
        <v>52928</v>
      </c>
      <c r="AJ10" s="234">
        <v>66454</v>
      </c>
      <c r="AK10" s="231">
        <f>((AJ10-AI10)/AI10)*100</f>
        <v>25.555471584038692</v>
      </c>
      <c r="AL10" s="234">
        <v>55990</v>
      </c>
      <c r="AM10" s="234">
        <v>66454</v>
      </c>
      <c r="AN10" s="231">
        <f t="shared" ref="AN10:AN14" si="30">(AM10-AL10)/AL10*100</f>
        <v>18.689051616360064</v>
      </c>
      <c r="AP10" s="232"/>
      <c r="AQ10" s="232" t="s">
        <v>522</v>
      </c>
      <c r="AR10" s="234">
        <v>59938</v>
      </c>
      <c r="AS10" s="234">
        <v>55990</v>
      </c>
      <c r="AT10" s="231">
        <f>((AS10-AR10)/AR10)*100</f>
        <v>-6.5868063665787986</v>
      </c>
      <c r="AU10" s="234">
        <v>68831</v>
      </c>
      <c r="AV10" s="234">
        <v>55990</v>
      </c>
      <c r="AW10" s="231">
        <f t="shared" ref="AW10:AW14" si="31">(AV10-AU10)/AU10*100</f>
        <v>-18.655838212433352</v>
      </c>
      <c r="AX10" s="73"/>
      <c r="AY10" s="232"/>
      <c r="AZ10" s="232" t="s">
        <v>522</v>
      </c>
      <c r="BA10" s="234">
        <v>70876</v>
      </c>
      <c r="BB10" s="234">
        <v>68831</v>
      </c>
      <c r="BC10" s="231">
        <f>((BB10-BA10)/BA10)*100</f>
        <v>-2.8853208420339747</v>
      </c>
      <c r="BD10" s="234">
        <v>77235</v>
      </c>
      <c r="BE10" s="234">
        <v>68831</v>
      </c>
      <c r="BF10" s="231">
        <f t="shared" si="6"/>
        <v>-10.88107723182495</v>
      </c>
      <c r="BG10" s="73"/>
      <c r="BH10" s="232" t="s">
        <v>522</v>
      </c>
      <c r="BI10" s="234">
        <v>70519</v>
      </c>
      <c r="BJ10" s="234">
        <v>77235</v>
      </c>
      <c r="BK10" s="231">
        <f>((BJ10-BI10)/BI10)*100</f>
        <v>9.5236744707100218</v>
      </c>
      <c r="BL10" s="234">
        <v>79895</v>
      </c>
      <c r="BM10" s="234">
        <v>77235</v>
      </c>
      <c r="BN10" s="231">
        <f t="shared" si="7"/>
        <v>-3.329369797859691</v>
      </c>
      <c r="BO10" s="73"/>
      <c r="BP10" s="232"/>
      <c r="BQ10" s="232" t="s">
        <v>522</v>
      </c>
      <c r="BR10" s="234">
        <v>70137</v>
      </c>
      <c r="BS10" s="234">
        <v>79895</v>
      </c>
      <c r="BT10" s="231">
        <f t="shared" si="8"/>
        <v>13.912770720161967</v>
      </c>
      <c r="BU10" s="234"/>
      <c r="BV10" s="234">
        <v>79895</v>
      </c>
      <c r="BW10" s="231"/>
      <c r="BX10" s="73"/>
      <c r="BY10" s="232"/>
      <c r="BZ10" s="232" t="s">
        <v>436</v>
      </c>
      <c r="CA10" s="234">
        <v>108209</v>
      </c>
      <c r="CB10" s="234">
        <v>117649</v>
      </c>
      <c r="CC10" s="231">
        <f t="shared" si="9"/>
        <v>8.7238584590930515</v>
      </c>
      <c r="CD10" s="234"/>
      <c r="CE10" s="234">
        <v>117649</v>
      </c>
      <c r="CF10" s="231"/>
      <c r="CG10" s="73"/>
      <c r="CH10" s="232"/>
      <c r="CI10" s="232" t="s">
        <v>59</v>
      </c>
      <c r="CJ10" s="234">
        <f>ต.ค.!CI10</f>
        <v>43686</v>
      </c>
      <c r="CK10" s="234" t="e">
        <f t="shared" si="0"/>
        <v>#REF!</v>
      </c>
      <c r="CL10" s="231" t="e">
        <f t="shared" si="11"/>
        <v>#REF!</v>
      </c>
      <c r="CM10" s="234" t="e">
        <f>#REF!</f>
        <v>#REF!</v>
      </c>
      <c r="CN10" s="234" t="e">
        <f>#REF!</f>
        <v>#REF!</v>
      </c>
      <c r="CO10" s="231" t="e">
        <f t="shared" si="12"/>
        <v>#REF!</v>
      </c>
      <c r="CP10" s="73"/>
      <c r="CQ10" s="232"/>
      <c r="CR10" s="232" t="s">
        <v>59</v>
      </c>
      <c r="CS10" s="234">
        <v>63656</v>
      </c>
      <c r="CT10" s="234">
        <v>57898</v>
      </c>
      <c r="CU10" s="231">
        <f t="shared" si="13"/>
        <v>-9.0454945331154963</v>
      </c>
      <c r="CV10" s="234">
        <v>85406</v>
      </c>
      <c r="CW10" s="234">
        <v>57898</v>
      </c>
      <c r="CX10" s="231">
        <f t="shared" si="14"/>
        <v>-32.208509940753579</v>
      </c>
      <c r="CY10" s="73"/>
      <c r="CZ10" s="184"/>
      <c r="DA10" s="184" t="s">
        <v>59</v>
      </c>
      <c r="DB10" s="186">
        <v>84791</v>
      </c>
      <c r="DC10" s="186">
        <v>85406</v>
      </c>
      <c r="DD10" s="183">
        <f t="shared" si="15"/>
        <v>0.72531282801240704</v>
      </c>
      <c r="DE10" s="186">
        <v>63063</v>
      </c>
      <c r="DF10" s="186">
        <v>85406</v>
      </c>
      <c r="DG10" s="183">
        <f t="shared" si="16"/>
        <v>35.429649715364</v>
      </c>
      <c r="DH10" s="73"/>
      <c r="DI10" s="103"/>
      <c r="DJ10" s="103" t="s">
        <v>59</v>
      </c>
      <c r="DK10" s="105">
        <v>59825</v>
      </c>
      <c r="DL10" s="105">
        <v>63063</v>
      </c>
      <c r="DM10" s="102">
        <f t="shared" si="17"/>
        <v>5.4124529878813208</v>
      </c>
      <c r="DN10" s="105">
        <v>75078</v>
      </c>
      <c r="DO10" s="105">
        <v>63063</v>
      </c>
      <c r="DP10" s="102">
        <f t="shared" si="18"/>
        <v>-16.0033565092304</v>
      </c>
      <c r="DQ10" s="73"/>
      <c r="DR10" s="24"/>
      <c r="DS10" s="24" t="s">
        <v>59</v>
      </c>
      <c r="DT10" s="50">
        <v>71617</v>
      </c>
      <c r="DU10" s="50">
        <v>75078</v>
      </c>
      <c r="DV10" s="128">
        <f t="shared" si="19"/>
        <v>4.8326514654341848</v>
      </c>
      <c r="DW10" s="25">
        <v>61341</v>
      </c>
      <c r="DX10" s="50">
        <v>75078</v>
      </c>
      <c r="DY10" s="128">
        <f t="shared" si="20"/>
        <v>22.394483298283365</v>
      </c>
      <c r="DZ10" s="130"/>
      <c r="EA10" s="103"/>
      <c r="EB10" s="103" t="s">
        <v>58</v>
      </c>
      <c r="EC10" s="105">
        <v>55003</v>
      </c>
      <c r="ED10" s="105">
        <v>61341</v>
      </c>
      <c r="EE10" s="112">
        <f t="shared" si="21"/>
        <v>11.523007835936221</v>
      </c>
      <c r="EF10" s="105">
        <v>56921</v>
      </c>
      <c r="EG10" s="105">
        <v>61341</v>
      </c>
      <c r="EH10" s="112">
        <f t="shared" si="22"/>
        <v>7.7651481878392863</v>
      </c>
      <c r="EI10" s="61"/>
      <c r="EJ10" s="77"/>
      <c r="EK10" s="77" t="s">
        <v>58</v>
      </c>
      <c r="EL10" s="80">
        <v>1829</v>
      </c>
      <c r="EM10" s="80">
        <v>1486</v>
      </c>
      <c r="EN10" s="79">
        <f t="shared" si="23"/>
        <v>-18.753417167851286</v>
      </c>
      <c r="EO10" s="81">
        <v>1320</v>
      </c>
      <c r="EP10" s="80">
        <v>1486</v>
      </c>
      <c r="EQ10" s="79">
        <f t="shared" si="24"/>
        <v>12.575757575757576</v>
      </c>
      <c r="ER10" s="61"/>
      <c r="ES10" s="42"/>
      <c r="ET10" s="42" t="s">
        <v>58</v>
      </c>
      <c r="EU10" s="43">
        <f>1070+323</f>
        <v>1393</v>
      </c>
      <c r="EV10" s="43"/>
      <c r="EW10" s="44">
        <f t="shared" si="1"/>
        <v>-100</v>
      </c>
      <c r="EX10" s="45">
        <v>1632</v>
      </c>
      <c r="EY10" s="43"/>
      <c r="EZ10" s="44">
        <f t="shared" si="2"/>
        <v>-100</v>
      </c>
      <c r="FA10" s="61"/>
      <c r="FB10" s="30">
        <v>18172</v>
      </c>
      <c r="FC10" s="30">
        <v>18203</v>
      </c>
      <c r="FD10" s="29" t="s">
        <v>3</v>
      </c>
      <c r="FE10" s="30">
        <v>17838</v>
      </c>
      <c r="FF10" s="30">
        <v>18203</v>
      </c>
      <c r="FG10" s="29" t="s">
        <v>3</v>
      </c>
      <c r="FI10" s="48"/>
      <c r="FJ10" s="49">
        <v>17807</v>
      </c>
      <c r="FK10" s="49">
        <v>17838</v>
      </c>
      <c r="FL10" s="48" t="s">
        <v>3</v>
      </c>
      <c r="FM10" s="49">
        <v>17472</v>
      </c>
      <c r="FN10" s="49">
        <v>17838</v>
      </c>
      <c r="FO10" s="48" t="s">
        <v>3</v>
      </c>
    </row>
    <row r="11" spans="1:171" x14ac:dyDescent="0.5">
      <c r="A11" s="232"/>
      <c r="B11" s="232" t="s">
        <v>523</v>
      </c>
      <c r="C11" s="339">
        <v>61415</v>
      </c>
      <c r="D11" s="234">
        <v>59677</v>
      </c>
      <c r="E11" s="231">
        <f t="shared" ref="E11:E18" si="32">((D11-C11)/C11)*100</f>
        <v>-2.8299275421314012</v>
      </c>
      <c r="F11" s="234">
        <v>55557</v>
      </c>
      <c r="G11" s="234">
        <v>59677</v>
      </c>
      <c r="H11" s="231">
        <f t="shared" si="26"/>
        <v>7.4158071890130852</v>
      </c>
      <c r="I11" s="232"/>
      <c r="J11" s="232" t="s">
        <v>523</v>
      </c>
      <c r="K11" s="339">
        <v>55892</v>
      </c>
      <c r="L11" s="234">
        <v>55557</v>
      </c>
      <c r="M11" s="231">
        <f t="shared" ref="M11:M18" si="33">((L11-K11)/K11)*100</f>
        <v>-0.59937021398411228</v>
      </c>
      <c r="N11" s="234">
        <v>51508</v>
      </c>
      <c r="O11" s="234">
        <v>55557</v>
      </c>
      <c r="P11" s="231">
        <f t="shared" si="27"/>
        <v>7.8609148093500041</v>
      </c>
      <c r="Q11" s="232"/>
      <c r="R11" s="232" t="s">
        <v>523</v>
      </c>
      <c r="S11" s="339">
        <v>48725</v>
      </c>
      <c r="T11" s="234">
        <v>51508</v>
      </c>
      <c r="U11" s="231">
        <f t="shared" ref="U11:U18" si="34">((T11-S11)/S11)*100</f>
        <v>5.7116469984607487</v>
      </c>
      <c r="V11" s="234">
        <v>43477</v>
      </c>
      <c r="W11" s="234">
        <v>51508</v>
      </c>
      <c r="X11" s="231">
        <f t="shared" si="28"/>
        <v>18.471835683234815</v>
      </c>
      <c r="Y11" s="232"/>
      <c r="Z11" s="232" t="s">
        <v>523</v>
      </c>
      <c r="AA11" s="234">
        <v>37973</v>
      </c>
      <c r="AB11" s="234">
        <v>43477</v>
      </c>
      <c r="AC11" s="231">
        <f t="shared" ref="AC11:AC18" si="35">((AB11-AA11)/AA11)*100</f>
        <v>14.494509256577043</v>
      </c>
      <c r="AD11" s="234">
        <v>41063</v>
      </c>
      <c r="AE11" s="234">
        <v>43477</v>
      </c>
      <c r="AF11" s="231">
        <f t="shared" si="29"/>
        <v>5.8787716435720716</v>
      </c>
      <c r="AG11" s="232"/>
      <c r="AH11" s="232" t="s">
        <v>523</v>
      </c>
      <c r="AI11" s="234">
        <v>32383</v>
      </c>
      <c r="AJ11" s="234">
        <v>41063</v>
      </c>
      <c r="AK11" s="231">
        <f t="shared" ref="AK11:AK18" si="36">((AJ11-AI11)/AI11)*100</f>
        <v>26.804187382268474</v>
      </c>
      <c r="AL11" s="234">
        <v>34216</v>
      </c>
      <c r="AM11" s="234">
        <v>41063</v>
      </c>
      <c r="AN11" s="231">
        <f t="shared" si="30"/>
        <v>20.011105915361235</v>
      </c>
      <c r="AP11" s="232"/>
      <c r="AQ11" s="232" t="s">
        <v>523</v>
      </c>
      <c r="AR11" s="234">
        <v>36975</v>
      </c>
      <c r="AS11" s="234">
        <v>34216</v>
      </c>
      <c r="AT11" s="231">
        <f t="shared" ref="AT11:AT18" si="37">((AS11-AR11)/AR11)*100</f>
        <v>-7.4617985125084507</v>
      </c>
      <c r="AU11" s="234">
        <v>36123</v>
      </c>
      <c r="AV11" s="234">
        <v>34216</v>
      </c>
      <c r="AW11" s="231">
        <f t="shared" si="31"/>
        <v>-5.2791850067823827</v>
      </c>
      <c r="AX11" s="73"/>
      <c r="AY11" s="232"/>
      <c r="AZ11" s="232" t="s">
        <v>523</v>
      </c>
      <c r="BA11" s="234">
        <v>39904</v>
      </c>
      <c r="BB11" s="234">
        <v>36123</v>
      </c>
      <c r="BC11" s="231">
        <f t="shared" ref="BC11:BC18" si="38">((BB11-BA11)/BA11)*100</f>
        <v>-9.4752405773857262</v>
      </c>
      <c r="BD11" s="234">
        <v>38102</v>
      </c>
      <c r="BE11" s="234">
        <v>36123</v>
      </c>
      <c r="BF11" s="231">
        <f t="shared" si="6"/>
        <v>-5.1939530733294843</v>
      </c>
      <c r="BG11" s="73"/>
      <c r="BH11" s="232" t="s">
        <v>523</v>
      </c>
      <c r="BI11" s="234">
        <v>38430</v>
      </c>
      <c r="BJ11" s="234">
        <v>38102</v>
      </c>
      <c r="BK11" s="231">
        <f t="shared" ref="BK11:BK18" si="39">((BJ11-BI11)/BI11)*100</f>
        <v>-0.8534998698933125</v>
      </c>
      <c r="BL11" s="234">
        <v>44466</v>
      </c>
      <c r="BM11" s="234">
        <v>38102</v>
      </c>
      <c r="BN11" s="231">
        <f t="shared" si="7"/>
        <v>-14.312058651553997</v>
      </c>
      <c r="BO11" s="73"/>
      <c r="BP11" s="232"/>
      <c r="BQ11" s="232" t="s">
        <v>523</v>
      </c>
      <c r="BR11" s="234">
        <v>39260</v>
      </c>
      <c r="BS11" s="234">
        <v>44466</v>
      </c>
      <c r="BT11" s="231">
        <f t="shared" si="8"/>
        <v>13.260315843097301</v>
      </c>
      <c r="BU11" s="234"/>
      <c r="BV11" s="234">
        <v>44466</v>
      </c>
      <c r="BW11" s="231"/>
      <c r="BX11" s="73"/>
      <c r="BY11" s="232"/>
      <c r="BZ11" s="232" t="s">
        <v>437</v>
      </c>
      <c r="CA11" s="234">
        <v>11816</v>
      </c>
      <c r="CB11" s="234">
        <v>13144</v>
      </c>
      <c r="CC11" s="231">
        <f t="shared" si="9"/>
        <v>11.23899796885579</v>
      </c>
      <c r="CD11" s="234"/>
      <c r="CE11" s="234">
        <v>13144</v>
      </c>
      <c r="CF11" s="231"/>
      <c r="CG11" s="73"/>
      <c r="CH11" s="232"/>
      <c r="CI11" s="232"/>
      <c r="CJ11" s="234"/>
      <c r="CK11" s="234"/>
      <c r="CL11" s="231"/>
      <c r="CM11" s="234"/>
      <c r="CN11" s="234"/>
      <c r="CO11" s="231"/>
      <c r="CP11" s="73"/>
      <c r="CQ11" s="232"/>
      <c r="CR11" s="232"/>
      <c r="CS11" s="234"/>
      <c r="CT11" s="234"/>
      <c r="CU11" s="231"/>
      <c r="CV11" s="234"/>
      <c r="CW11" s="234"/>
      <c r="CX11" s="231"/>
      <c r="CY11" s="73"/>
      <c r="CZ11" s="184"/>
      <c r="DA11" s="184"/>
      <c r="DB11" s="186"/>
      <c r="DC11" s="186"/>
      <c r="DD11" s="183"/>
      <c r="DE11" s="186"/>
      <c r="DF11" s="186"/>
      <c r="DG11" s="183"/>
      <c r="DH11" s="73"/>
      <c r="DI11" s="103"/>
      <c r="DJ11" s="103"/>
      <c r="DK11" s="105"/>
      <c r="DL11" s="105"/>
      <c r="DM11" s="102"/>
      <c r="DN11" s="105"/>
      <c r="DO11" s="105"/>
      <c r="DP11" s="102"/>
      <c r="DQ11" s="73"/>
      <c r="DR11" s="24"/>
      <c r="DS11" s="24"/>
      <c r="DT11" s="50"/>
      <c r="DU11" s="50"/>
      <c r="DV11" s="128"/>
      <c r="DW11" s="25"/>
      <c r="DX11" s="50"/>
      <c r="DY11" s="128"/>
      <c r="DZ11" s="130"/>
      <c r="EA11" s="103"/>
      <c r="EB11" s="103"/>
      <c r="EC11" s="105"/>
      <c r="ED11" s="105"/>
      <c r="EE11" s="112"/>
      <c r="EF11" s="105"/>
      <c r="EG11" s="105"/>
      <c r="EH11" s="112"/>
      <c r="EI11" s="61"/>
      <c r="EJ11" s="77"/>
      <c r="EK11" s="77"/>
      <c r="EL11" s="80"/>
      <c r="EM11" s="80"/>
      <c r="EN11" s="79"/>
      <c r="EO11" s="81"/>
      <c r="EP11" s="80"/>
      <c r="EQ11" s="79"/>
      <c r="ER11" s="61"/>
      <c r="ES11" s="42"/>
      <c r="ET11" s="42"/>
      <c r="EU11" s="43"/>
      <c r="EV11" s="43"/>
      <c r="EW11" s="44"/>
      <c r="EX11" s="45"/>
      <c r="EY11" s="43"/>
      <c r="EZ11" s="44"/>
      <c r="FA11" s="61"/>
      <c r="FB11" s="30"/>
      <c r="FC11" s="30"/>
      <c r="FD11" s="29"/>
      <c r="FE11" s="30"/>
      <c r="FF11" s="30"/>
      <c r="FG11" s="29"/>
      <c r="FI11" s="48"/>
      <c r="FJ11" s="49"/>
      <c r="FK11" s="49"/>
      <c r="FL11" s="48"/>
      <c r="FM11" s="49"/>
      <c r="FN11" s="49"/>
      <c r="FO11" s="48"/>
    </row>
    <row r="12" spans="1:171" x14ac:dyDescent="0.5">
      <c r="A12" s="232"/>
      <c r="B12" s="232" t="s">
        <v>524</v>
      </c>
      <c r="C12" s="339">
        <v>22808</v>
      </c>
      <c r="D12" s="234">
        <v>21942</v>
      </c>
      <c r="E12" s="231">
        <f t="shared" si="32"/>
        <v>-3.796913363732024</v>
      </c>
      <c r="F12" s="234">
        <v>24744</v>
      </c>
      <c r="G12" s="234">
        <v>21942</v>
      </c>
      <c r="H12" s="231">
        <f t="shared" si="26"/>
        <v>-11.323957322987392</v>
      </c>
      <c r="I12" s="232"/>
      <c r="J12" s="232" t="s">
        <v>524</v>
      </c>
      <c r="K12" s="339">
        <v>23679</v>
      </c>
      <c r="L12" s="234">
        <v>24744</v>
      </c>
      <c r="M12" s="231">
        <f t="shared" si="33"/>
        <v>4.4976561510198909</v>
      </c>
      <c r="N12" s="234">
        <v>29754</v>
      </c>
      <c r="O12" s="234">
        <v>24744</v>
      </c>
      <c r="P12" s="231">
        <f t="shared" si="27"/>
        <v>-16.838072191974188</v>
      </c>
      <c r="Q12" s="232"/>
      <c r="R12" s="232" t="s">
        <v>524</v>
      </c>
      <c r="S12" s="339">
        <v>28616</v>
      </c>
      <c r="T12" s="234">
        <v>29754</v>
      </c>
      <c r="U12" s="231">
        <f t="shared" si="34"/>
        <v>3.9767961979312276</v>
      </c>
      <c r="V12" s="234">
        <v>29652</v>
      </c>
      <c r="W12" s="234">
        <v>29754</v>
      </c>
      <c r="X12" s="231">
        <f t="shared" si="28"/>
        <v>0.34399028733306358</v>
      </c>
      <c r="Y12" s="232"/>
      <c r="Z12" s="232" t="s">
        <v>524</v>
      </c>
      <c r="AA12" s="234">
        <v>26151</v>
      </c>
      <c r="AB12" s="234">
        <v>29652</v>
      </c>
      <c r="AC12" s="231">
        <f t="shared" si="35"/>
        <v>13.387633360100953</v>
      </c>
      <c r="AD12" s="234">
        <v>28920</v>
      </c>
      <c r="AE12" s="234">
        <v>29652</v>
      </c>
      <c r="AF12" s="231">
        <f t="shared" si="29"/>
        <v>2.5311203319502074</v>
      </c>
      <c r="AG12" s="232"/>
      <c r="AH12" s="232" t="s">
        <v>524</v>
      </c>
      <c r="AI12" s="234">
        <v>21790</v>
      </c>
      <c r="AJ12" s="234">
        <v>28920</v>
      </c>
      <c r="AK12" s="231">
        <f t="shared" si="36"/>
        <v>32.721431849472232</v>
      </c>
      <c r="AL12" s="234">
        <v>24638</v>
      </c>
      <c r="AM12" s="234">
        <v>28920</v>
      </c>
      <c r="AN12" s="231">
        <f t="shared" si="30"/>
        <v>17.37965743972725</v>
      </c>
      <c r="AP12" s="232"/>
      <c r="AQ12" s="232" t="s">
        <v>524</v>
      </c>
      <c r="AR12" s="234">
        <v>23772</v>
      </c>
      <c r="AS12" s="234">
        <v>24638</v>
      </c>
      <c r="AT12" s="231">
        <f t="shared" si="37"/>
        <v>3.6429412754501094</v>
      </c>
      <c r="AU12" s="234">
        <v>24928</v>
      </c>
      <c r="AV12" s="234">
        <v>24638</v>
      </c>
      <c r="AW12" s="231">
        <f t="shared" si="31"/>
        <v>-1.1633504492939666</v>
      </c>
      <c r="AX12" s="73"/>
      <c r="AY12" s="232"/>
      <c r="AZ12" s="232" t="s">
        <v>524</v>
      </c>
      <c r="BA12" s="234">
        <v>26065</v>
      </c>
      <c r="BB12" s="234">
        <v>24928</v>
      </c>
      <c r="BC12" s="231">
        <f t="shared" si="38"/>
        <v>-4.3621714943410703</v>
      </c>
      <c r="BD12" s="234">
        <v>25136</v>
      </c>
      <c r="BE12" s="234">
        <v>24928</v>
      </c>
      <c r="BF12" s="231">
        <f t="shared" si="6"/>
        <v>-0.82749840865690638</v>
      </c>
      <c r="BG12" s="73"/>
      <c r="BH12" s="232" t="s">
        <v>524</v>
      </c>
      <c r="BI12" s="234">
        <v>24894</v>
      </c>
      <c r="BJ12" s="234">
        <v>25136</v>
      </c>
      <c r="BK12" s="231">
        <f t="shared" si="39"/>
        <v>0.97212179641680729</v>
      </c>
      <c r="BL12" s="234">
        <v>24240</v>
      </c>
      <c r="BM12" s="234">
        <v>25136</v>
      </c>
      <c r="BN12" s="231">
        <f t="shared" si="7"/>
        <v>3.6963696369636962</v>
      </c>
      <c r="BO12" s="73"/>
      <c r="BP12" s="232"/>
      <c r="BQ12" s="232" t="s">
        <v>524</v>
      </c>
      <c r="BR12" s="234">
        <v>21519</v>
      </c>
      <c r="BS12" s="234">
        <v>24240</v>
      </c>
      <c r="BT12" s="231">
        <f t="shared" si="8"/>
        <v>12.644639620800223</v>
      </c>
      <c r="BU12" s="234"/>
      <c r="BV12" s="234">
        <v>24240</v>
      </c>
      <c r="BW12" s="231"/>
      <c r="BX12" s="73"/>
      <c r="BY12" s="232"/>
      <c r="BZ12" s="232" t="s">
        <v>438</v>
      </c>
      <c r="CA12" s="234">
        <v>6145</v>
      </c>
      <c r="CB12" s="234">
        <v>6490</v>
      </c>
      <c r="CC12" s="231">
        <f t="shared" si="9"/>
        <v>5.6143205858421483</v>
      </c>
      <c r="CD12" s="234"/>
      <c r="CE12" s="234">
        <v>6490</v>
      </c>
      <c r="CF12" s="231"/>
      <c r="CG12" s="73"/>
      <c r="CH12" s="232"/>
      <c r="CI12" s="232" t="s">
        <v>58</v>
      </c>
      <c r="CJ12" s="234">
        <f>ต.ค.!CI12</f>
        <v>14940</v>
      </c>
      <c r="CK12" s="234" t="e">
        <f t="shared" si="0"/>
        <v>#REF!</v>
      </c>
      <c r="CL12" s="231" t="e">
        <f t="shared" si="11"/>
        <v>#REF!</v>
      </c>
      <c r="CM12" s="234" t="e">
        <f>#REF!</f>
        <v>#REF!</v>
      </c>
      <c r="CN12" s="234" t="e">
        <f>#REF!</f>
        <v>#REF!</v>
      </c>
      <c r="CO12" s="231" t="e">
        <f t="shared" si="12"/>
        <v>#REF!</v>
      </c>
      <c r="CP12" s="73"/>
      <c r="CQ12" s="232"/>
      <c r="CR12" s="232" t="s">
        <v>58</v>
      </c>
      <c r="CS12" s="234">
        <v>13776</v>
      </c>
      <c r="CT12" s="234">
        <v>12724</v>
      </c>
      <c r="CU12" s="231">
        <f t="shared" si="13"/>
        <v>-7.6364692218350756</v>
      </c>
      <c r="CV12" s="234">
        <v>7847</v>
      </c>
      <c r="CW12" s="234">
        <v>12724</v>
      </c>
      <c r="CX12" s="231">
        <f t="shared" si="14"/>
        <v>62.151140563272591</v>
      </c>
      <c r="CY12" s="73"/>
      <c r="CZ12" s="184"/>
      <c r="DA12" s="184" t="s">
        <v>58</v>
      </c>
      <c r="DB12" s="186">
        <v>8055</v>
      </c>
      <c r="DC12" s="186">
        <v>7847</v>
      </c>
      <c r="DD12" s="183">
        <f t="shared" si="15"/>
        <v>-2.5822470515207945</v>
      </c>
      <c r="DE12" s="186">
        <v>7266</v>
      </c>
      <c r="DF12" s="186">
        <v>7847</v>
      </c>
      <c r="DG12" s="183">
        <f t="shared" si="16"/>
        <v>7.9961464354527942</v>
      </c>
      <c r="DH12" s="73"/>
      <c r="DI12" s="103"/>
      <c r="DJ12" s="103" t="s">
        <v>58</v>
      </c>
      <c r="DK12" s="105">
        <v>5438</v>
      </c>
      <c r="DL12" s="105">
        <v>7266</v>
      </c>
      <c r="DM12" s="102">
        <f t="shared" si="17"/>
        <v>33.615299742552409</v>
      </c>
      <c r="DN12" s="105">
        <v>2375</v>
      </c>
      <c r="DO12" s="105">
        <v>7266</v>
      </c>
      <c r="DP12" s="102">
        <f t="shared" si="18"/>
        <v>205.93684210526314</v>
      </c>
      <c r="DQ12" s="73"/>
      <c r="DR12" s="24"/>
      <c r="DS12" s="24" t="s">
        <v>58</v>
      </c>
      <c r="DT12" s="50">
        <v>2340</v>
      </c>
      <c r="DU12" s="50">
        <v>2375</v>
      </c>
      <c r="DV12" s="128">
        <f t="shared" si="19"/>
        <v>1.4957264957264957</v>
      </c>
      <c r="DW12" s="25">
        <v>5683</v>
      </c>
      <c r="DX12" s="50">
        <v>2375</v>
      </c>
      <c r="DY12" s="128">
        <f t="shared" si="20"/>
        <v>-58.208692591940881</v>
      </c>
      <c r="DZ12" s="130"/>
      <c r="EA12" s="103"/>
      <c r="EB12" s="103" t="s">
        <v>59</v>
      </c>
      <c r="EC12" s="105">
        <v>5365</v>
      </c>
      <c r="ED12" s="105">
        <v>5683</v>
      </c>
      <c r="EE12" s="112">
        <f t="shared" si="21"/>
        <v>5.9273066169617898</v>
      </c>
      <c r="EF12" s="105">
        <v>5131</v>
      </c>
      <c r="EG12" s="105">
        <v>5683</v>
      </c>
      <c r="EH12" s="112">
        <f t="shared" si="22"/>
        <v>10.758136815435588</v>
      </c>
      <c r="EI12" s="61"/>
      <c r="EJ12" s="77"/>
      <c r="EK12" s="77" t="s">
        <v>59</v>
      </c>
      <c r="EL12" s="80">
        <v>61479</v>
      </c>
      <c r="EM12" s="80">
        <v>57166</v>
      </c>
      <c r="EN12" s="79">
        <f t="shared" si="23"/>
        <v>-7.0154036337611219</v>
      </c>
      <c r="EO12" s="81">
        <v>60835</v>
      </c>
      <c r="EP12" s="80">
        <v>57166</v>
      </c>
      <c r="EQ12" s="79">
        <f t="shared" si="24"/>
        <v>-6.0310676419824114</v>
      </c>
      <c r="ER12" s="61"/>
      <c r="ES12" s="42"/>
      <c r="ET12" s="42" t="s">
        <v>59</v>
      </c>
      <c r="EU12" s="43">
        <v>57725</v>
      </c>
      <c r="EV12" s="43"/>
      <c r="EW12" s="44">
        <f t="shared" si="1"/>
        <v>-100</v>
      </c>
      <c r="EX12" s="45">
        <v>74925</v>
      </c>
      <c r="EY12" s="43"/>
      <c r="EZ12" s="44">
        <f t="shared" si="2"/>
        <v>-100</v>
      </c>
      <c r="FA12" s="61"/>
      <c r="FB12" s="21">
        <v>101264</v>
      </c>
      <c r="FC12" s="51">
        <v>101117</v>
      </c>
      <c r="FD12" s="31">
        <f>((FC12-FB12)/FB12)*100</f>
        <v>-0.14516511297203349</v>
      </c>
      <c r="FE12" s="35">
        <v>108176</v>
      </c>
      <c r="FF12" s="21">
        <f>FC12</f>
        <v>101117</v>
      </c>
      <c r="FG12" s="31">
        <f>((FF12-FE12)/FE12)*100</f>
        <v>-6.5254770004437219</v>
      </c>
      <c r="FI12" s="42" t="s">
        <v>0</v>
      </c>
      <c r="FJ12" s="45">
        <v>104629</v>
      </c>
      <c r="FK12" s="45">
        <v>108176</v>
      </c>
      <c r="FL12" s="44">
        <f>(FK12-FJ12)/FJ12*100</f>
        <v>3.3900734977874198</v>
      </c>
      <c r="FM12" s="45">
        <v>89880</v>
      </c>
      <c r="FN12" s="45">
        <v>108176</v>
      </c>
      <c r="FO12" s="44">
        <f>(FN12-FM12)/FM12*100</f>
        <v>20.356030262572318</v>
      </c>
    </row>
    <row r="13" spans="1:171" x14ac:dyDescent="0.5">
      <c r="A13" s="232"/>
      <c r="B13" s="232" t="s">
        <v>525</v>
      </c>
      <c r="C13" s="339">
        <v>6145</v>
      </c>
      <c r="D13" s="234">
        <v>5794</v>
      </c>
      <c r="E13" s="231">
        <f t="shared" si="32"/>
        <v>-5.711960943856794</v>
      </c>
      <c r="F13" s="234">
        <v>7417</v>
      </c>
      <c r="G13" s="234">
        <v>5794</v>
      </c>
      <c r="H13" s="231">
        <f t="shared" si="26"/>
        <v>-21.882162599433734</v>
      </c>
      <c r="I13" s="232"/>
      <c r="J13" s="232" t="s">
        <v>525</v>
      </c>
      <c r="K13" s="339">
        <v>7343</v>
      </c>
      <c r="L13" s="234">
        <v>7417</v>
      </c>
      <c r="M13" s="231">
        <f t="shared" si="33"/>
        <v>1.0077624948930954</v>
      </c>
      <c r="N13" s="234">
        <v>7499</v>
      </c>
      <c r="O13" s="234">
        <v>7417</v>
      </c>
      <c r="P13" s="231">
        <f t="shared" si="27"/>
        <v>-1.0934791305507401</v>
      </c>
      <c r="Q13" s="232"/>
      <c r="R13" s="232" t="s">
        <v>525</v>
      </c>
      <c r="S13" s="339">
        <v>7399</v>
      </c>
      <c r="T13" s="234">
        <v>7499</v>
      </c>
      <c r="U13" s="231">
        <f t="shared" si="34"/>
        <v>1.3515339910798758</v>
      </c>
      <c r="V13" s="234">
        <v>5809</v>
      </c>
      <c r="W13" s="234">
        <v>7499</v>
      </c>
      <c r="X13" s="231">
        <f t="shared" si="28"/>
        <v>29.092787054570497</v>
      </c>
      <c r="Y13" s="232"/>
      <c r="Z13" s="232" t="s">
        <v>525</v>
      </c>
      <c r="AA13" s="234">
        <v>4242</v>
      </c>
      <c r="AB13" s="234">
        <v>5809</v>
      </c>
      <c r="AC13" s="231">
        <f t="shared" si="35"/>
        <v>36.940122583686943</v>
      </c>
      <c r="AD13" s="234">
        <v>6886</v>
      </c>
      <c r="AE13" s="234">
        <v>5809</v>
      </c>
      <c r="AF13" s="231">
        <f t="shared" si="29"/>
        <v>-15.640429857682253</v>
      </c>
      <c r="AG13" s="232"/>
      <c r="AH13" s="232" t="s">
        <v>525</v>
      </c>
      <c r="AI13" s="234">
        <v>6003</v>
      </c>
      <c r="AJ13" s="234">
        <v>6886</v>
      </c>
      <c r="AK13" s="231">
        <f t="shared" si="36"/>
        <v>14.709312010661336</v>
      </c>
      <c r="AL13" s="234">
        <v>3748</v>
      </c>
      <c r="AM13" s="234">
        <v>6886</v>
      </c>
      <c r="AN13" s="231">
        <f t="shared" si="30"/>
        <v>83.72465314834578</v>
      </c>
      <c r="AP13" s="232"/>
      <c r="AQ13" s="232" t="s">
        <v>525</v>
      </c>
      <c r="AR13" s="234">
        <v>4080</v>
      </c>
      <c r="AS13" s="234">
        <v>3748</v>
      </c>
      <c r="AT13" s="231">
        <f t="shared" si="37"/>
        <v>-8.1372549019607838</v>
      </c>
      <c r="AU13" s="234">
        <v>3690</v>
      </c>
      <c r="AV13" s="234">
        <v>3748</v>
      </c>
      <c r="AW13" s="231">
        <f t="shared" si="31"/>
        <v>1.5718157181571817</v>
      </c>
      <c r="AX13" s="73"/>
      <c r="AY13" s="232"/>
      <c r="AZ13" s="232" t="s">
        <v>525</v>
      </c>
      <c r="BA13" s="234">
        <v>3766</v>
      </c>
      <c r="BB13" s="234">
        <v>3690</v>
      </c>
      <c r="BC13" s="231">
        <f t="shared" si="38"/>
        <v>-2.0180562931492299</v>
      </c>
      <c r="BD13" s="234">
        <v>2924</v>
      </c>
      <c r="BE13" s="234">
        <v>3690</v>
      </c>
      <c r="BF13" s="231">
        <f t="shared" si="6"/>
        <v>26.196990424076606</v>
      </c>
      <c r="BG13" s="73"/>
      <c r="BH13" s="232" t="s">
        <v>525</v>
      </c>
      <c r="BI13" s="234">
        <v>3043</v>
      </c>
      <c r="BJ13" s="234">
        <v>2924</v>
      </c>
      <c r="BK13" s="231">
        <f t="shared" si="39"/>
        <v>-3.9106145251396649</v>
      </c>
      <c r="BL13" s="234">
        <v>2201</v>
      </c>
      <c r="BM13" s="234">
        <v>2924</v>
      </c>
      <c r="BN13" s="231">
        <f t="shared" si="7"/>
        <v>32.848705134029984</v>
      </c>
      <c r="BO13" s="73"/>
      <c r="BP13" s="232"/>
      <c r="BQ13" s="232" t="s">
        <v>525</v>
      </c>
      <c r="BR13" s="234">
        <v>1950</v>
      </c>
      <c r="BS13" s="234">
        <v>2201</v>
      </c>
      <c r="BT13" s="231">
        <f t="shared" si="8"/>
        <v>12.871794871794872</v>
      </c>
      <c r="BU13" s="234"/>
      <c r="BV13" s="234">
        <v>2201</v>
      </c>
      <c r="BW13" s="231"/>
      <c r="BX13" s="73"/>
      <c r="BY13" s="232"/>
      <c r="BZ13" s="232"/>
      <c r="CA13" s="234"/>
      <c r="CB13" s="234"/>
      <c r="CC13" s="231"/>
      <c r="CD13" s="234"/>
      <c r="CE13" s="234"/>
      <c r="CF13" s="231"/>
      <c r="CG13" s="73"/>
      <c r="CH13" s="232"/>
      <c r="CI13" s="232"/>
      <c r="CJ13" s="234"/>
      <c r="CK13" s="234"/>
      <c r="CL13" s="231"/>
      <c r="CM13" s="234"/>
      <c r="CN13" s="234"/>
      <c r="CO13" s="231"/>
      <c r="CP13" s="73"/>
      <c r="CQ13" s="232"/>
      <c r="CR13" s="232"/>
      <c r="CS13" s="234"/>
      <c r="CT13" s="234"/>
      <c r="CU13" s="231"/>
      <c r="CV13" s="234"/>
      <c r="CW13" s="234"/>
      <c r="CX13" s="231"/>
      <c r="CY13" s="73"/>
      <c r="CZ13" s="184"/>
      <c r="DA13" s="184"/>
      <c r="DB13" s="186"/>
      <c r="DC13" s="186"/>
      <c r="DD13" s="183"/>
      <c r="DE13" s="186"/>
      <c r="DF13" s="186"/>
      <c r="DG13" s="183"/>
      <c r="DH13" s="73"/>
      <c r="DI13" s="103"/>
      <c r="DJ13" s="103"/>
      <c r="DK13" s="105"/>
      <c r="DL13" s="105"/>
      <c r="DM13" s="102"/>
      <c r="DN13" s="105"/>
      <c r="DO13" s="105"/>
      <c r="DP13" s="102"/>
      <c r="DQ13" s="73"/>
      <c r="DR13" s="24"/>
      <c r="DS13" s="24"/>
      <c r="DT13" s="50"/>
      <c r="DU13" s="50"/>
      <c r="DV13" s="128"/>
      <c r="DW13" s="25"/>
      <c r="DX13" s="50"/>
      <c r="DY13" s="128"/>
      <c r="DZ13" s="130"/>
      <c r="EA13" s="103"/>
      <c r="EB13" s="103"/>
      <c r="EC13" s="105"/>
      <c r="ED13" s="105"/>
      <c r="EE13" s="112"/>
      <c r="EF13" s="105"/>
      <c r="EG13" s="105"/>
      <c r="EH13" s="112"/>
      <c r="EI13" s="61"/>
      <c r="EJ13" s="77"/>
      <c r="EK13" s="77"/>
      <c r="EL13" s="80"/>
      <c r="EM13" s="80"/>
      <c r="EN13" s="79"/>
      <c r="EO13" s="81"/>
      <c r="EP13" s="80"/>
      <c r="EQ13" s="79"/>
      <c r="ER13" s="61"/>
      <c r="ES13" s="42"/>
      <c r="ET13" s="42"/>
      <c r="EU13" s="43"/>
      <c r="EV13" s="43"/>
      <c r="EW13" s="44"/>
      <c r="EX13" s="45"/>
      <c r="EY13" s="43"/>
      <c r="EZ13" s="44"/>
      <c r="FA13" s="61"/>
      <c r="FB13" s="21"/>
      <c r="FC13" s="51"/>
      <c r="FD13" s="31"/>
      <c r="FE13" s="35"/>
      <c r="FF13" s="21"/>
      <c r="FG13" s="31"/>
      <c r="FI13" s="42"/>
      <c r="FJ13" s="45"/>
      <c r="FK13" s="45"/>
      <c r="FL13" s="44"/>
      <c r="FM13" s="45"/>
      <c r="FN13" s="45"/>
      <c r="FO13" s="44"/>
    </row>
    <row r="14" spans="1:171" x14ac:dyDescent="0.5">
      <c r="A14" s="232"/>
      <c r="B14" s="232" t="s">
        <v>526</v>
      </c>
      <c r="C14" s="339">
        <v>919</v>
      </c>
      <c r="D14" s="234">
        <v>803</v>
      </c>
      <c r="E14" s="231">
        <f t="shared" si="32"/>
        <v>-12.622415669205658</v>
      </c>
      <c r="F14" s="234">
        <v>897</v>
      </c>
      <c r="G14" s="234">
        <v>803</v>
      </c>
      <c r="H14" s="231">
        <f t="shared" si="26"/>
        <v>-10.479375696767001</v>
      </c>
      <c r="I14" s="232"/>
      <c r="J14" s="232" t="s">
        <v>526</v>
      </c>
      <c r="K14" s="339">
        <v>824</v>
      </c>
      <c r="L14" s="234">
        <v>897</v>
      </c>
      <c r="M14" s="231">
        <f t="shared" si="33"/>
        <v>8.8592233009708732</v>
      </c>
      <c r="N14" s="234">
        <v>1069</v>
      </c>
      <c r="O14" s="234">
        <v>897</v>
      </c>
      <c r="P14" s="231">
        <f t="shared" si="27"/>
        <v>-16.089803554724043</v>
      </c>
      <c r="Q14" s="232"/>
      <c r="R14" s="232" t="s">
        <v>526</v>
      </c>
      <c r="S14" s="339">
        <v>1018</v>
      </c>
      <c r="T14" s="234">
        <v>1069</v>
      </c>
      <c r="U14" s="231">
        <f t="shared" si="34"/>
        <v>5.0098231827111981</v>
      </c>
      <c r="V14" s="234">
        <v>1354</v>
      </c>
      <c r="W14" s="234">
        <v>1069</v>
      </c>
      <c r="X14" s="231">
        <f t="shared" si="28"/>
        <v>-21.048744460856721</v>
      </c>
      <c r="Y14" s="232"/>
      <c r="Z14" s="232" t="s">
        <v>526</v>
      </c>
      <c r="AA14" s="234">
        <v>1022</v>
      </c>
      <c r="AB14" s="234">
        <v>1354</v>
      </c>
      <c r="AC14" s="231">
        <f t="shared" si="35"/>
        <v>32.485322896281801</v>
      </c>
      <c r="AD14" s="234">
        <v>1325</v>
      </c>
      <c r="AE14" s="234">
        <v>1354</v>
      </c>
      <c r="AF14" s="231">
        <f t="shared" si="29"/>
        <v>2.1886792452830188</v>
      </c>
      <c r="AG14" s="232"/>
      <c r="AH14" s="232" t="s">
        <v>526</v>
      </c>
      <c r="AI14" s="234">
        <v>1181</v>
      </c>
      <c r="AJ14" s="234">
        <v>1325</v>
      </c>
      <c r="AK14" s="231">
        <f t="shared" si="36"/>
        <v>12.193056731583404</v>
      </c>
      <c r="AL14" s="234">
        <v>1470</v>
      </c>
      <c r="AM14" s="234">
        <v>1325</v>
      </c>
      <c r="AN14" s="231">
        <f t="shared" si="30"/>
        <v>-9.8639455782312915</v>
      </c>
      <c r="AP14" s="232"/>
      <c r="AQ14" s="232" t="s">
        <v>526</v>
      </c>
      <c r="AR14" s="234">
        <v>1558</v>
      </c>
      <c r="AS14" s="234">
        <v>1470</v>
      </c>
      <c r="AT14" s="231">
        <f t="shared" si="37"/>
        <v>-5.6482670089858793</v>
      </c>
      <c r="AU14" s="234">
        <v>1886</v>
      </c>
      <c r="AV14" s="234">
        <v>1470</v>
      </c>
      <c r="AW14" s="231">
        <f t="shared" si="31"/>
        <v>-22.057264050901377</v>
      </c>
      <c r="AX14" s="73"/>
      <c r="AY14" s="232"/>
      <c r="AZ14" s="232" t="s">
        <v>526</v>
      </c>
      <c r="BA14" s="234">
        <v>1823</v>
      </c>
      <c r="BB14" s="234">
        <v>1886</v>
      </c>
      <c r="BC14" s="231">
        <f t="shared" si="38"/>
        <v>3.4558420186505763</v>
      </c>
      <c r="BD14" s="234">
        <v>2236</v>
      </c>
      <c r="BE14" s="234">
        <v>1886</v>
      </c>
      <c r="BF14" s="231">
        <f t="shared" si="6"/>
        <v>-15.652951699463328</v>
      </c>
      <c r="BG14" s="73"/>
      <c r="BH14" s="232" t="s">
        <v>526</v>
      </c>
      <c r="BI14" s="234">
        <v>2404</v>
      </c>
      <c r="BJ14" s="234">
        <v>2236</v>
      </c>
      <c r="BK14" s="231">
        <f t="shared" si="39"/>
        <v>-6.988352745424292</v>
      </c>
      <c r="BL14" s="234">
        <v>2255</v>
      </c>
      <c r="BM14" s="234">
        <v>2236</v>
      </c>
      <c r="BN14" s="231">
        <f t="shared" si="7"/>
        <v>-0.84257206208425728</v>
      </c>
      <c r="BO14" s="73"/>
      <c r="BP14" s="232"/>
      <c r="BQ14" s="232" t="s">
        <v>526</v>
      </c>
      <c r="BR14" s="234">
        <v>2709</v>
      </c>
      <c r="BS14" s="234">
        <v>2255</v>
      </c>
      <c r="BT14" s="231">
        <f t="shared" si="8"/>
        <v>-16.758951642672574</v>
      </c>
      <c r="BU14" s="234"/>
      <c r="BV14" s="234">
        <v>2255</v>
      </c>
      <c r="BW14" s="231"/>
      <c r="BX14" s="73"/>
      <c r="BY14" s="232"/>
      <c r="BZ14" s="232"/>
      <c r="CA14" s="234"/>
      <c r="CB14" s="234"/>
      <c r="CC14" s="231"/>
      <c r="CD14" s="234"/>
      <c r="CE14" s="234"/>
      <c r="CF14" s="231"/>
      <c r="CG14" s="73"/>
      <c r="CH14" s="232"/>
      <c r="CI14" s="232"/>
      <c r="CJ14" s="234"/>
      <c r="CK14" s="234"/>
      <c r="CL14" s="231"/>
      <c r="CM14" s="234"/>
      <c r="CN14" s="234"/>
      <c r="CO14" s="231"/>
      <c r="CP14" s="73"/>
      <c r="CQ14" s="232"/>
      <c r="CR14" s="232"/>
      <c r="CS14" s="234"/>
      <c r="CT14" s="234"/>
      <c r="CU14" s="231"/>
      <c r="CV14" s="234"/>
      <c r="CW14" s="234"/>
      <c r="CX14" s="231"/>
      <c r="CY14" s="73"/>
      <c r="CZ14" s="184"/>
      <c r="DA14" s="184"/>
      <c r="DB14" s="186"/>
      <c r="DC14" s="186"/>
      <c r="DD14" s="183"/>
      <c r="DE14" s="186"/>
      <c r="DF14" s="186"/>
      <c r="DG14" s="183"/>
      <c r="DH14" s="73"/>
      <c r="DI14" s="103"/>
      <c r="DJ14" s="103"/>
      <c r="DK14" s="105"/>
      <c r="DL14" s="105"/>
      <c r="DM14" s="102"/>
      <c r="DN14" s="105"/>
      <c r="DO14" s="105"/>
      <c r="DP14" s="102"/>
      <c r="DQ14" s="73"/>
      <c r="DR14" s="24"/>
      <c r="DS14" s="24"/>
      <c r="DT14" s="50"/>
      <c r="DU14" s="50"/>
      <c r="DV14" s="128"/>
      <c r="DW14" s="25"/>
      <c r="DX14" s="50"/>
      <c r="DY14" s="128"/>
      <c r="DZ14" s="130"/>
      <c r="EA14" s="103"/>
      <c r="EB14" s="103"/>
      <c r="EC14" s="105"/>
      <c r="ED14" s="105"/>
      <c r="EE14" s="112"/>
      <c r="EF14" s="105"/>
      <c r="EG14" s="105"/>
      <c r="EH14" s="112"/>
      <c r="EI14" s="61"/>
      <c r="EJ14" s="77"/>
      <c r="EK14" s="77"/>
      <c r="EL14" s="80"/>
      <c r="EM14" s="80"/>
      <c r="EN14" s="79"/>
      <c r="EO14" s="81"/>
      <c r="EP14" s="80"/>
      <c r="EQ14" s="79"/>
      <c r="ER14" s="61"/>
      <c r="ES14" s="42"/>
      <c r="ET14" s="42"/>
      <c r="EU14" s="43"/>
      <c r="EV14" s="43"/>
      <c r="EW14" s="44"/>
      <c r="EX14" s="45"/>
      <c r="EY14" s="43"/>
      <c r="EZ14" s="44"/>
      <c r="FA14" s="61"/>
      <c r="FB14" s="21"/>
      <c r="FC14" s="51"/>
      <c r="FD14" s="31"/>
      <c r="FE14" s="35"/>
      <c r="FF14" s="21"/>
      <c r="FG14" s="31"/>
      <c r="FI14" s="42"/>
      <c r="FJ14" s="45"/>
      <c r="FK14" s="45"/>
      <c r="FL14" s="44"/>
      <c r="FM14" s="45"/>
      <c r="FN14" s="45"/>
      <c r="FO14" s="44"/>
    </row>
    <row r="15" spans="1:171" x14ac:dyDescent="0.5">
      <c r="A15" s="229" t="s">
        <v>2</v>
      </c>
      <c r="B15" s="229" t="s">
        <v>60</v>
      </c>
      <c r="C15" s="242">
        <v>89570</v>
      </c>
      <c r="D15" s="242">
        <f>D16+D17</f>
        <v>80554</v>
      </c>
      <c r="E15" s="231">
        <f t="shared" si="32"/>
        <v>-10.065870269063302</v>
      </c>
      <c r="F15" s="242">
        <v>81225</v>
      </c>
      <c r="G15" s="242">
        <v>80554</v>
      </c>
      <c r="H15" s="231">
        <f t="shared" si="26"/>
        <v>-0.82610033856571252</v>
      </c>
      <c r="I15" s="229" t="s">
        <v>2</v>
      </c>
      <c r="J15" s="229" t="s">
        <v>60</v>
      </c>
      <c r="K15" s="242">
        <v>175066</v>
      </c>
      <c r="L15" s="242">
        <v>81225</v>
      </c>
      <c r="M15" s="231">
        <f t="shared" si="33"/>
        <v>-53.603212502713262</v>
      </c>
      <c r="N15" s="242">
        <v>76148</v>
      </c>
      <c r="O15" s="242">
        <v>81225</v>
      </c>
      <c r="P15" s="231">
        <f t="shared" si="27"/>
        <v>6.6672795083258922</v>
      </c>
      <c r="Q15" s="229" t="s">
        <v>2</v>
      </c>
      <c r="R15" s="229" t="s">
        <v>60</v>
      </c>
      <c r="S15" s="242">
        <v>68136</v>
      </c>
      <c r="T15" s="242">
        <v>76148</v>
      </c>
      <c r="U15" s="231">
        <f t="shared" si="34"/>
        <v>11.758835270635199</v>
      </c>
      <c r="V15" s="242">
        <v>89707</v>
      </c>
      <c r="W15" s="242">
        <v>76148</v>
      </c>
      <c r="X15" s="231">
        <f t="shared" si="28"/>
        <v>-15.114762504598303</v>
      </c>
      <c r="Y15" s="229" t="s">
        <v>2</v>
      </c>
      <c r="Z15" s="229" t="s">
        <v>60</v>
      </c>
      <c r="AA15" s="242">
        <v>90971</v>
      </c>
      <c r="AB15" s="242">
        <v>89707</v>
      </c>
      <c r="AC15" s="231">
        <f t="shared" si="35"/>
        <v>-1.3894537819744752</v>
      </c>
      <c r="AD15" s="242">
        <v>81029</v>
      </c>
      <c r="AE15" s="242">
        <v>89707</v>
      </c>
      <c r="AF15" s="231">
        <f>(AE15-AD15)/AD15*100</f>
        <v>10.709745893445556</v>
      </c>
      <c r="AG15" s="229" t="s">
        <v>2</v>
      </c>
      <c r="AH15" s="229" t="s">
        <v>60</v>
      </c>
      <c r="AI15" s="242">
        <v>78919</v>
      </c>
      <c r="AJ15" s="242">
        <v>81029</v>
      </c>
      <c r="AK15" s="231">
        <f t="shared" si="36"/>
        <v>2.6736273901088459</v>
      </c>
      <c r="AL15" s="242">
        <v>67261</v>
      </c>
      <c r="AM15" s="242">
        <v>81029</v>
      </c>
      <c r="AN15" s="231">
        <f>(AM15-AL15)/AL15*100</f>
        <v>20.46951428019209</v>
      </c>
      <c r="AP15" s="229" t="s">
        <v>2</v>
      </c>
      <c r="AQ15" s="229" t="s">
        <v>60</v>
      </c>
      <c r="AR15" s="242">
        <v>68871</v>
      </c>
      <c r="AS15" s="242">
        <v>67261</v>
      </c>
      <c r="AT15" s="231">
        <f t="shared" si="37"/>
        <v>-2.3377038230895439</v>
      </c>
      <c r="AU15" s="242">
        <v>94167</v>
      </c>
      <c r="AV15" s="242">
        <v>67261</v>
      </c>
      <c r="AW15" s="231">
        <f>(AV15-AU15)/AU15*100</f>
        <v>-28.572642220735499</v>
      </c>
      <c r="AX15" s="73"/>
      <c r="AY15" s="229" t="s">
        <v>2</v>
      </c>
      <c r="AZ15" s="229" t="s">
        <v>60</v>
      </c>
      <c r="BA15" s="242">
        <v>84047</v>
      </c>
      <c r="BB15" s="242">
        <v>94167</v>
      </c>
      <c r="BC15" s="231">
        <f t="shared" si="38"/>
        <v>12.040881887515319</v>
      </c>
      <c r="BD15" s="242">
        <v>86277</v>
      </c>
      <c r="BE15" s="242">
        <v>94167</v>
      </c>
      <c r="BF15" s="231">
        <f>(BE15-BD15)/BD15*100</f>
        <v>9.144963315831566</v>
      </c>
      <c r="BG15" s="73"/>
      <c r="BH15" s="229" t="s">
        <v>60</v>
      </c>
      <c r="BI15" s="242">
        <v>61602</v>
      </c>
      <c r="BJ15" s="242">
        <v>86277</v>
      </c>
      <c r="BK15" s="231">
        <f t="shared" si="39"/>
        <v>40.055517677997464</v>
      </c>
      <c r="BL15" s="242">
        <v>81842</v>
      </c>
      <c r="BM15" s="242">
        <v>86277</v>
      </c>
      <c r="BN15" s="231">
        <f>(BM15-BL15)/BL15*100</f>
        <v>5.4189780308399111</v>
      </c>
      <c r="BO15" s="73"/>
      <c r="BP15" s="229" t="s">
        <v>2</v>
      </c>
      <c r="BQ15" s="229" t="s">
        <v>60</v>
      </c>
      <c r="BR15" s="242">
        <v>61536</v>
      </c>
      <c r="BS15" s="242">
        <v>81842</v>
      </c>
      <c r="BT15" s="231">
        <f t="shared" si="8"/>
        <v>32.998569942797715</v>
      </c>
      <c r="BU15" s="242">
        <v>97248</v>
      </c>
      <c r="BV15" s="242">
        <v>81842</v>
      </c>
      <c r="BW15" s="231">
        <f>(BV15-BU15)/BU15*100</f>
        <v>-15.841971043106284</v>
      </c>
      <c r="BX15" s="73"/>
      <c r="BY15" s="229" t="s">
        <v>2</v>
      </c>
      <c r="BZ15" s="229" t="s">
        <v>60</v>
      </c>
      <c r="CA15" s="242">
        <v>77343</v>
      </c>
      <c r="CB15" s="242">
        <v>97248</v>
      </c>
      <c r="CC15" s="231">
        <f t="shared" si="9"/>
        <v>25.736007137038904</v>
      </c>
      <c r="CD15" s="230">
        <v>83791</v>
      </c>
      <c r="CE15" s="242">
        <v>97248</v>
      </c>
      <c r="CF15" s="231">
        <f t="shared" si="10"/>
        <v>16.060197395901707</v>
      </c>
      <c r="CG15" s="73"/>
      <c r="CH15" s="229" t="s">
        <v>2</v>
      </c>
      <c r="CI15" s="229" t="s">
        <v>60</v>
      </c>
      <c r="CJ15" s="242">
        <f>ต.ค.!CI15</f>
        <v>63462</v>
      </c>
      <c r="CK15" s="242" t="e">
        <f t="shared" si="0"/>
        <v>#REF!</v>
      </c>
      <c r="CL15" s="231" t="e">
        <f t="shared" si="11"/>
        <v>#REF!</v>
      </c>
      <c r="CM15" s="230" t="e">
        <f>#REF!</f>
        <v>#REF!</v>
      </c>
      <c r="CN15" s="242" t="e">
        <f>#REF!</f>
        <v>#REF!</v>
      </c>
      <c r="CO15" s="231" t="e">
        <f t="shared" si="12"/>
        <v>#REF!</v>
      </c>
      <c r="CP15" s="73"/>
      <c r="CQ15" s="229" t="s">
        <v>2</v>
      </c>
      <c r="CR15" s="229" t="s">
        <v>60</v>
      </c>
      <c r="CS15" s="242">
        <f>SUM(CS16:CS17)</f>
        <v>71836</v>
      </c>
      <c r="CT15" s="242">
        <f>SUM(CT16:CT17)</f>
        <v>88054</v>
      </c>
      <c r="CU15" s="231">
        <f t="shared" si="13"/>
        <v>22.576424077064424</v>
      </c>
      <c r="CV15" s="230">
        <f>SUM(CV16:CV17)</f>
        <v>81595</v>
      </c>
      <c r="CW15" s="242">
        <v>88054</v>
      </c>
      <c r="CX15" s="231">
        <f t="shared" si="14"/>
        <v>7.915926220969423</v>
      </c>
      <c r="CY15" s="73"/>
      <c r="CZ15" s="181" t="s">
        <v>2</v>
      </c>
      <c r="DA15" s="181" t="s">
        <v>60</v>
      </c>
      <c r="DB15" s="182">
        <f>SUM(DB16:DB17)</f>
        <v>70356</v>
      </c>
      <c r="DC15" s="182">
        <f>SUM(DC16:DC17)</f>
        <v>81595</v>
      </c>
      <c r="DD15" s="183">
        <f t="shared" si="15"/>
        <v>15.974472681789756</v>
      </c>
      <c r="DE15" s="182">
        <v>55796</v>
      </c>
      <c r="DF15" s="182">
        <f>SUM(DF16:DF17)</f>
        <v>81595</v>
      </c>
      <c r="DG15" s="183">
        <f t="shared" si="16"/>
        <v>46.238081582909167</v>
      </c>
      <c r="DH15" s="73"/>
      <c r="DI15" s="100" t="s">
        <v>2</v>
      </c>
      <c r="DJ15" s="100" t="s">
        <v>60</v>
      </c>
      <c r="DK15" s="101">
        <v>81409</v>
      </c>
      <c r="DL15" s="101">
        <f>SUM(DL16:DL17)</f>
        <v>37896</v>
      </c>
      <c r="DM15" s="102">
        <f t="shared" si="17"/>
        <v>-53.449864265621741</v>
      </c>
      <c r="DN15" s="101">
        <v>93967</v>
      </c>
      <c r="DO15" s="101">
        <v>55796</v>
      </c>
      <c r="DP15" s="102">
        <f t="shared" si="18"/>
        <v>-40.621707620760475</v>
      </c>
      <c r="DQ15" s="73"/>
      <c r="DR15" s="120" t="s">
        <v>2</v>
      </c>
      <c r="DS15" s="120" t="s">
        <v>60</v>
      </c>
      <c r="DT15" s="133">
        <v>78247</v>
      </c>
      <c r="DU15" s="133">
        <f>SUM(DU16:DU17)</f>
        <v>93967</v>
      </c>
      <c r="DV15" s="125">
        <f t="shared" si="19"/>
        <v>20.090227101358519</v>
      </c>
      <c r="DW15" s="121">
        <v>72299</v>
      </c>
      <c r="DX15" s="133">
        <f>SUM(DX16:DX17)</f>
        <v>93967</v>
      </c>
      <c r="DY15" s="125">
        <f t="shared" si="20"/>
        <v>29.969985753606547</v>
      </c>
      <c r="DZ15" s="127"/>
      <c r="EA15" s="100" t="s">
        <v>2</v>
      </c>
      <c r="EB15" s="100" t="s">
        <v>60</v>
      </c>
      <c r="EC15" s="101">
        <v>55047</v>
      </c>
      <c r="ED15" s="101">
        <f>SUM(ED16:ED17)</f>
        <v>72299</v>
      </c>
      <c r="EE15" s="102">
        <f t="shared" si="21"/>
        <v>31.340490853270843</v>
      </c>
      <c r="EF15" s="101">
        <f>SUM(EF16:EF17)</f>
        <v>70581</v>
      </c>
      <c r="EG15" s="101">
        <v>72299</v>
      </c>
      <c r="EH15" s="102">
        <f t="shared" si="22"/>
        <v>2.434082826823083</v>
      </c>
      <c r="EI15" s="73"/>
      <c r="EJ15" s="74" t="s">
        <v>2</v>
      </c>
      <c r="EK15" s="74" t="s">
        <v>60</v>
      </c>
      <c r="EL15" s="75">
        <f>EL16+EL17</f>
        <v>55048</v>
      </c>
      <c r="EM15" s="75">
        <f>SUM(EM16:EM17)</f>
        <v>70581</v>
      </c>
      <c r="EN15" s="76">
        <f t="shared" si="23"/>
        <v>28.217192268565615</v>
      </c>
      <c r="EO15" s="75">
        <v>144852</v>
      </c>
      <c r="EP15" s="75">
        <f>SUM(EP16:EP17)</f>
        <v>70581</v>
      </c>
      <c r="EQ15" s="76">
        <f t="shared" si="24"/>
        <v>-51.273713859663658</v>
      </c>
      <c r="ER15" s="73"/>
      <c r="ES15" s="63" t="s">
        <v>2</v>
      </c>
      <c r="ET15" s="63" t="s">
        <v>60</v>
      </c>
      <c r="EU15" s="64">
        <f>EU16+EU17</f>
        <v>170398</v>
      </c>
      <c r="EV15" s="64">
        <f>EV16+EV17</f>
        <v>144852</v>
      </c>
      <c r="EW15" s="65">
        <f t="shared" si="1"/>
        <v>-14.99195999953051</v>
      </c>
      <c r="EX15" s="64">
        <f>EX16+EX17</f>
        <v>137546</v>
      </c>
      <c r="EY15" s="64">
        <f>EY16+EY17</f>
        <v>144852</v>
      </c>
      <c r="EZ15" s="65">
        <f t="shared" si="2"/>
        <v>5.3116775478748925</v>
      </c>
      <c r="FA15" s="73"/>
      <c r="FB15" s="21">
        <v>50558</v>
      </c>
      <c r="FC15" s="51">
        <v>57800</v>
      </c>
      <c r="FD15" s="31">
        <f>((FC15-FB15)/FB15)*100</f>
        <v>14.324142568930734</v>
      </c>
      <c r="FE15" s="35">
        <v>63417</v>
      </c>
      <c r="FF15" s="21">
        <f>FC15</f>
        <v>57800</v>
      </c>
      <c r="FG15" s="31">
        <f>((FF15-FE15)/FE15)*100</f>
        <v>-8.8572464796505663</v>
      </c>
      <c r="FI15" s="42" t="s">
        <v>1</v>
      </c>
      <c r="FJ15" s="45">
        <v>57397</v>
      </c>
      <c r="FK15" s="45">
        <v>63417</v>
      </c>
      <c r="FL15" s="44">
        <f>(FK15-FJ15)/FJ15*100</f>
        <v>10.488353049810966</v>
      </c>
      <c r="FM15" s="45">
        <v>58578</v>
      </c>
      <c r="FN15" s="45">
        <v>63417</v>
      </c>
      <c r="FO15" s="44">
        <f>(FN15-FM15)/FM15*100</f>
        <v>8.2607804977978088</v>
      </c>
    </row>
    <row r="16" spans="1:171" x14ac:dyDescent="0.5">
      <c r="A16" s="232"/>
      <c r="B16" s="232" t="s">
        <v>61</v>
      </c>
      <c r="C16" s="244">
        <v>30898</v>
      </c>
      <c r="D16" s="244">
        <v>27081</v>
      </c>
      <c r="E16" s="231">
        <f t="shared" si="32"/>
        <v>-12.353550391611108</v>
      </c>
      <c r="F16" s="244">
        <v>35827</v>
      </c>
      <c r="G16" s="244">
        <v>27081</v>
      </c>
      <c r="H16" s="231">
        <f t="shared" si="26"/>
        <v>-24.411756496497055</v>
      </c>
      <c r="I16" s="232"/>
      <c r="J16" s="232" t="s">
        <v>61</v>
      </c>
      <c r="K16" s="244">
        <v>29681</v>
      </c>
      <c r="L16" s="244">
        <v>35827</v>
      </c>
      <c r="M16" s="231">
        <f t="shared" si="33"/>
        <v>20.706849499679929</v>
      </c>
      <c r="N16" s="244">
        <v>43347</v>
      </c>
      <c r="O16" s="244">
        <v>35827</v>
      </c>
      <c r="P16" s="231">
        <f t="shared" si="27"/>
        <v>-17.348374743350174</v>
      </c>
      <c r="Q16" s="232"/>
      <c r="R16" s="232" t="s">
        <v>61</v>
      </c>
      <c r="S16" s="244">
        <v>35606</v>
      </c>
      <c r="T16" s="244">
        <v>43347</v>
      </c>
      <c r="U16" s="231">
        <f t="shared" si="34"/>
        <v>21.740717856541032</v>
      </c>
      <c r="V16" s="244">
        <v>40697</v>
      </c>
      <c r="W16" s="244">
        <v>43347</v>
      </c>
      <c r="X16" s="231">
        <f t="shared" si="28"/>
        <v>6.5115364768901882</v>
      </c>
      <c r="Y16" s="232"/>
      <c r="Z16" s="232" t="s">
        <v>61</v>
      </c>
      <c r="AA16" s="244">
        <v>45711</v>
      </c>
      <c r="AB16" s="244">
        <v>40697</v>
      </c>
      <c r="AC16" s="231">
        <f t="shared" si="35"/>
        <v>-10.968913390649954</v>
      </c>
      <c r="AD16" s="244">
        <v>37890</v>
      </c>
      <c r="AE16" s="244">
        <v>40697</v>
      </c>
      <c r="AF16" s="231">
        <f>(AE16-AD16)/AD16*100</f>
        <v>7.4082871470044873</v>
      </c>
      <c r="AG16" s="232"/>
      <c r="AH16" s="232" t="s">
        <v>61</v>
      </c>
      <c r="AI16" s="244">
        <v>30989</v>
      </c>
      <c r="AJ16" s="244">
        <v>37890</v>
      </c>
      <c r="AK16" s="231">
        <f t="shared" si="36"/>
        <v>22.269192294039822</v>
      </c>
      <c r="AL16" s="244">
        <v>28819</v>
      </c>
      <c r="AM16" s="244">
        <v>37890</v>
      </c>
      <c r="AN16" s="231">
        <f>(AM16-AL16)/AL16*100</f>
        <v>31.475762517783405</v>
      </c>
      <c r="AP16" s="232"/>
      <c r="AQ16" s="232" t="s">
        <v>61</v>
      </c>
      <c r="AR16" s="244">
        <v>25363</v>
      </c>
      <c r="AS16" s="244">
        <v>28819</v>
      </c>
      <c r="AT16" s="231">
        <f t="shared" si="37"/>
        <v>13.626148326302093</v>
      </c>
      <c r="AU16" s="244">
        <v>31277</v>
      </c>
      <c r="AV16" s="244">
        <v>28819</v>
      </c>
      <c r="AW16" s="231">
        <f>(AV16-AU16)/AU16*100</f>
        <v>-7.8588099881702203</v>
      </c>
      <c r="AX16" s="73"/>
      <c r="AY16" s="232"/>
      <c r="AZ16" s="232" t="s">
        <v>61</v>
      </c>
      <c r="BA16" s="244">
        <v>26057</v>
      </c>
      <c r="BB16" s="244">
        <v>31277</v>
      </c>
      <c r="BC16" s="231">
        <f t="shared" si="38"/>
        <v>20.033004566911004</v>
      </c>
      <c r="BD16" s="244">
        <v>32174</v>
      </c>
      <c r="BE16" s="244">
        <v>31277</v>
      </c>
      <c r="BF16" s="231">
        <f>(BE16-BD16)/BD16*100</f>
        <v>-2.7879654379312488</v>
      </c>
      <c r="BG16" s="73"/>
      <c r="BH16" s="232" t="s">
        <v>61</v>
      </c>
      <c r="BI16" s="244">
        <v>27590</v>
      </c>
      <c r="BJ16" s="244">
        <v>32174</v>
      </c>
      <c r="BK16" s="231">
        <f t="shared" si="39"/>
        <v>16.614715476621964</v>
      </c>
      <c r="BL16" s="244">
        <v>33822</v>
      </c>
      <c r="BM16" s="244">
        <v>32174</v>
      </c>
      <c r="BN16" s="231">
        <f>(BM16-BL16)/BL16*100</f>
        <v>-4.8725681509076937</v>
      </c>
      <c r="BO16" s="73"/>
      <c r="BP16" s="232"/>
      <c r="BQ16" s="232" t="s">
        <v>61</v>
      </c>
      <c r="BR16" s="244">
        <v>29839</v>
      </c>
      <c r="BS16" s="244">
        <v>33822</v>
      </c>
      <c r="BT16" s="231">
        <f t="shared" si="8"/>
        <v>13.348302557056202</v>
      </c>
      <c r="BU16" s="244">
        <v>29934</v>
      </c>
      <c r="BV16" s="244">
        <v>33822</v>
      </c>
      <c r="BW16" s="231">
        <f>(BV16-BU16)/BU16*100</f>
        <v>12.988574864702345</v>
      </c>
      <c r="BX16" s="73"/>
      <c r="BY16" s="232"/>
      <c r="BZ16" s="232" t="s">
        <v>61</v>
      </c>
      <c r="CA16" s="244">
        <v>22683</v>
      </c>
      <c r="CB16" s="244">
        <v>29934</v>
      </c>
      <c r="CC16" s="231">
        <f t="shared" si="9"/>
        <v>31.966671075254595</v>
      </c>
      <c r="CD16" s="234">
        <v>25247</v>
      </c>
      <c r="CE16" s="244">
        <v>29934</v>
      </c>
      <c r="CF16" s="231">
        <f t="shared" si="10"/>
        <v>18.564581930526401</v>
      </c>
      <c r="CG16" s="73"/>
      <c r="CH16" s="232"/>
      <c r="CI16" s="232" t="s">
        <v>61</v>
      </c>
      <c r="CJ16" s="244">
        <f>ต.ค.!CI16</f>
        <v>22328</v>
      </c>
      <c r="CK16" s="244" t="e">
        <f t="shared" si="0"/>
        <v>#REF!</v>
      </c>
      <c r="CL16" s="231" t="e">
        <f t="shared" si="11"/>
        <v>#REF!</v>
      </c>
      <c r="CM16" s="234" t="e">
        <f>#REF!</f>
        <v>#REF!</v>
      </c>
      <c r="CN16" s="244" t="e">
        <f>#REF!</f>
        <v>#REF!</v>
      </c>
      <c r="CO16" s="231" t="e">
        <f t="shared" si="12"/>
        <v>#REF!</v>
      </c>
      <c r="CP16" s="73"/>
      <c r="CQ16" s="232"/>
      <c r="CR16" s="232" t="s">
        <v>61</v>
      </c>
      <c r="CS16" s="244">
        <v>26469</v>
      </c>
      <c r="CT16" s="244">
        <v>29331</v>
      </c>
      <c r="CU16" s="231">
        <f t="shared" si="13"/>
        <v>10.812648758925537</v>
      </c>
      <c r="CV16" s="234">
        <v>24053</v>
      </c>
      <c r="CW16" s="244">
        <v>29331</v>
      </c>
      <c r="CX16" s="231">
        <f t="shared" si="14"/>
        <v>21.943208747349601</v>
      </c>
      <c r="CY16" s="73"/>
      <c r="CZ16" s="184"/>
      <c r="DA16" s="184" t="s">
        <v>61</v>
      </c>
      <c r="DB16" s="186">
        <v>26183</v>
      </c>
      <c r="DC16" s="186">
        <v>24053</v>
      </c>
      <c r="DD16" s="183">
        <f t="shared" si="15"/>
        <v>-8.1350494595730058</v>
      </c>
      <c r="DE16" s="186">
        <v>1978</v>
      </c>
      <c r="DF16" s="186">
        <v>24053</v>
      </c>
      <c r="DG16" s="183">
        <f t="shared" si="16"/>
        <v>1116.0262891809909</v>
      </c>
      <c r="DH16" s="73"/>
      <c r="DI16" s="103"/>
      <c r="DJ16" s="103" t="s">
        <v>61</v>
      </c>
      <c r="DK16" s="105">
        <v>17114</v>
      </c>
      <c r="DL16" s="105">
        <v>1978</v>
      </c>
      <c r="DM16" s="102">
        <f t="shared" si="17"/>
        <v>-88.442211055276388</v>
      </c>
      <c r="DN16" s="105">
        <v>15407</v>
      </c>
      <c r="DO16" s="105">
        <v>1978</v>
      </c>
      <c r="DP16" s="102">
        <f t="shared" si="18"/>
        <v>-87.161679755955092</v>
      </c>
      <c r="DQ16" s="73"/>
      <c r="DR16" s="24"/>
      <c r="DS16" s="24" t="s">
        <v>61</v>
      </c>
      <c r="DT16" s="50">
        <v>15552</v>
      </c>
      <c r="DU16" s="50">
        <v>15407</v>
      </c>
      <c r="DV16" s="128">
        <f t="shared" si="19"/>
        <v>-0.93235596707818924</v>
      </c>
      <c r="DW16" s="25">
        <v>8081</v>
      </c>
      <c r="DX16" s="50">
        <v>15407</v>
      </c>
      <c r="DY16" s="128">
        <f t="shared" si="20"/>
        <v>90.657096893948776</v>
      </c>
      <c r="DZ16" s="130"/>
      <c r="EA16" s="103"/>
      <c r="EB16" s="103" t="s">
        <v>61</v>
      </c>
      <c r="EC16" s="105">
        <v>6237</v>
      </c>
      <c r="ED16" s="105">
        <v>8081</v>
      </c>
      <c r="EE16" s="112">
        <f t="shared" si="21"/>
        <v>29.565496232162896</v>
      </c>
      <c r="EF16" s="105">
        <v>16348</v>
      </c>
      <c r="EG16" s="105">
        <v>8081</v>
      </c>
      <c r="EH16" s="112">
        <f t="shared" si="22"/>
        <v>-50.568876926841199</v>
      </c>
      <c r="EI16" s="61"/>
      <c r="EJ16" s="77"/>
      <c r="EK16" s="77" t="s">
        <v>61</v>
      </c>
      <c r="EL16" s="80">
        <v>8961</v>
      </c>
      <c r="EM16" s="80">
        <v>16348</v>
      </c>
      <c r="EN16" s="79">
        <f t="shared" si="23"/>
        <v>82.434996094185919</v>
      </c>
      <c r="EO16" s="81">
        <v>7072</v>
      </c>
      <c r="EP16" s="80">
        <v>16348</v>
      </c>
      <c r="EQ16" s="79">
        <f t="shared" si="24"/>
        <v>131.16515837104072</v>
      </c>
      <c r="ER16" s="61"/>
      <c r="ES16" s="42"/>
      <c r="ET16" s="42" t="s">
        <v>61</v>
      </c>
      <c r="EU16" s="43">
        <v>8673</v>
      </c>
      <c r="EV16" s="43">
        <v>7072</v>
      </c>
      <c r="EW16" s="44">
        <f t="shared" si="1"/>
        <v>-18.459587224720398</v>
      </c>
      <c r="EX16" s="45">
        <v>6149</v>
      </c>
      <c r="EY16" s="43">
        <v>7072</v>
      </c>
      <c r="EZ16" s="44">
        <f t="shared" si="2"/>
        <v>15.010570824524313</v>
      </c>
      <c r="FA16" s="61"/>
      <c r="FB16" s="21">
        <v>41776</v>
      </c>
      <c r="FC16" s="51">
        <v>44085</v>
      </c>
      <c r="FD16" s="31">
        <f>((FC16-FB16)/FB16)*100</f>
        <v>5.5270968977403294</v>
      </c>
      <c r="FE16" s="35">
        <v>40952</v>
      </c>
      <c r="FF16" s="21">
        <f>FC16</f>
        <v>44085</v>
      </c>
      <c r="FG16" s="31">
        <f>((FF16-FE16)/FE16)*100</f>
        <v>7.6504200039070129</v>
      </c>
      <c r="FI16" s="42" t="s">
        <v>2</v>
      </c>
      <c r="FJ16" s="45">
        <v>49725</v>
      </c>
      <c r="FK16" s="45">
        <v>40952</v>
      </c>
      <c r="FL16" s="44">
        <f>(FK16-FJ16)/FJ16*100</f>
        <v>-17.643036701860233</v>
      </c>
      <c r="FM16" s="45">
        <v>25116</v>
      </c>
      <c r="FN16" s="45">
        <v>40952</v>
      </c>
      <c r="FO16" s="44">
        <f>(FN16-FM16)/FM16*100</f>
        <v>63.051441312310871</v>
      </c>
    </row>
    <row r="17" spans="1:157" x14ac:dyDescent="0.5">
      <c r="A17" s="232"/>
      <c r="B17" s="232" t="s">
        <v>62</v>
      </c>
      <c r="C17" s="244">
        <v>58672</v>
      </c>
      <c r="D17" s="244">
        <v>53473</v>
      </c>
      <c r="E17" s="231">
        <f t="shared" si="32"/>
        <v>-8.8611262612489785</v>
      </c>
      <c r="F17" s="244">
        <v>45398</v>
      </c>
      <c r="G17" s="244">
        <v>53473</v>
      </c>
      <c r="H17" s="231">
        <f t="shared" si="26"/>
        <v>17.787127186219656</v>
      </c>
      <c r="I17" s="232"/>
      <c r="J17" s="232" t="s">
        <v>62</v>
      </c>
      <c r="K17" s="244">
        <v>145385</v>
      </c>
      <c r="L17" s="244">
        <v>45398</v>
      </c>
      <c r="M17" s="231">
        <f t="shared" si="33"/>
        <v>-68.773945042473429</v>
      </c>
      <c r="N17" s="244">
        <v>32801</v>
      </c>
      <c r="O17" s="244">
        <v>45398</v>
      </c>
      <c r="P17" s="231">
        <f t="shared" si="27"/>
        <v>38.404316941556658</v>
      </c>
      <c r="Q17" s="232"/>
      <c r="R17" s="232" t="s">
        <v>62</v>
      </c>
      <c r="S17" s="244">
        <v>32530</v>
      </c>
      <c r="T17" s="244">
        <v>32801</v>
      </c>
      <c r="U17" s="231">
        <f t="shared" si="34"/>
        <v>0.83307715954503525</v>
      </c>
      <c r="V17" s="244">
        <v>49010</v>
      </c>
      <c r="W17" s="244">
        <v>32801</v>
      </c>
      <c r="X17" s="231">
        <f t="shared" si="28"/>
        <v>-33.072842277086309</v>
      </c>
      <c r="Y17" s="232"/>
      <c r="Z17" s="232" t="s">
        <v>62</v>
      </c>
      <c r="AA17" s="244">
        <v>45260</v>
      </c>
      <c r="AB17" s="244">
        <v>49010</v>
      </c>
      <c r="AC17" s="231">
        <f t="shared" si="35"/>
        <v>8.2854617764030056</v>
      </c>
      <c r="AD17" s="244">
        <v>43139</v>
      </c>
      <c r="AE17" s="244">
        <v>49010</v>
      </c>
      <c r="AF17" s="231">
        <f>(AE17-AD17)/AD17*100</f>
        <v>13.60949488861587</v>
      </c>
      <c r="AG17" s="232"/>
      <c r="AH17" s="232" t="s">
        <v>62</v>
      </c>
      <c r="AI17" s="244">
        <v>47930</v>
      </c>
      <c r="AJ17" s="244">
        <v>43139</v>
      </c>
      <c r="AK17" s="231">
        <f t="shared" si="36"/>
        <v>-9.9958272480701016</v>
      </c>
      <c r="AL17" s="244">
        <v>38442</v>
      </c>
      <c r="AM17" s="244">
        <v>43139</v>
      </c>
      <c r="AN17" s="231">
        <f>(AM17-AL17)/AL17*100</f>
        <v>12.218406950730971</v>
      </c>
      <c r="AP17" s="232"/>
      <c r="AQ17" s="232" t="s">
        <v>62</v>
      </c>
      <c r="AR17" s="244">
        <v>43508</v>
      </c>
      <c r="AS17" s="244">
        <v>38442</v>
      </c>
      <c r="AT17" s="231">
        <f t="shared" si="37"/>
        <v>-11.643835616438356</v>
      </c>
      <c r="AU17" s="244">
        <v>62890</v>
      </c>
      <c r="AV17" s="244">
        <v>38442</v>
      </c>
      <c r="AW17" s="231">
        <f>(AV17-AU17)/AU17*100</f>
        <v>-38.87422483701701</v>
      </c>
      <c r="AX17" s="73"/>
      <c r="AY17" s="232"/>
      <c r="AZ17" s="232" t="s">
        <v>62</v>
      </c>
      <c r="BA17" s="244">
        <v>57990</v>
      </c>
      <c r="BB17" s="244">
        <v>62890</v>
      </c>
      <c r="BC17" s="231">
        <f t="shared" si="38"/>
        <v>8.4497327125366439</v>
      </c>
      <c r="BD17" s="244">
        <v>54103</v>
      </c>
      <c r="BE17" s="244">
        <v>62890</v>
      </c>
      <c r="BF17" s="231">
        <f>(BE17-BD17)/BD17*100</f>
        <v>16.241243553961887</v>
      </c>
      <c r="BG17" s="73"/>
      <c r="BH17" s="232" t="s">
        <v>62</v>
      </c>
      <c r="BI17" s="244">
        <v>34012</v>
      </c>
      <c r="BJ17" s="244">
        <v>54103</v>
      </c>
      <c r="BK17" s="231">
        <f t="shared" si="39"/>
        <v>59.070328119487236</v>
      </c>
      <c r="BL17" s="244">
        <v>48020</v>
      </c>
      <c r="BM17" s="244">
        <v>54103</v>
      </c>
      <c r="BN17" s="231">
        <f>(BM17-BL17)/BL17*100</f>
        <v>12.667638483965016</v>
      </c>
      <c r="BO17" s="73"/>
      <c r="BP17" s="232"/>
      <c r="BQ17" s="232" t="s">
        <v>62</v>
      </c>
      <c r="BR17" s="244">
        <v>31697</v>
      </c>
      <c r="BS17" s="244">
        <v>48020</v>
      </c>
      <c r="BT17" s="231">
        <f t="shared" si="8"/>
        <v>51.496987096570656</v>
      </c>
      <c r="BU17" s="244">
        <v>67314</v>
      </c>
      <c r="BV17" s="244">
        <v>48020</v>
      </c>
      <c r="BW17" s="231">
        <f>(BV17-BU17)/BU17*100</f>
        <v>-28.662685325489495</v>
      </c>
      <c r="BX17" s="73"/>
      <c r="BY17" s="232"/>
      <c r="BZ17" s="232" t="s">
        <v>62</v>
      </c>
      <c r="CA17" s="244">
        <v>54660</v>
      </c>
      <c r="CB17" s="244">
        <v>67314</v>
      </c>
      <c r="CC17" s="231">
        <f t="shared" si="9"/>
        <v>23.150384193194292</v>
      </c>
      <c r="CD17" s="234">
        <v>58544</v>
      </c>
      <c r="CE17" s="244">
        <v>67314</v>
      </c>
      <c r="CF17" s="231">
        <f t="shared" si="10"/>
        <v>14.980185843126536</v>
      </c>
      <c r="CG17" s="73"/>
      <c r="CH17" s="232"/>
      <c r="CI17" s="232" t="s">
        <v>62</v>
      </c>
      <c r="CJ17" s="244">
        <f>ต.ค.!CI17</f>
        <v>41134</v>
      </c>
      <c r="CK17" s="244" t="e">
        <f t="shared" si="0"/>
        <v>#REF!</v>
      </c>
      <c r="CL17" s="231" t="e">
        <f t="shared" si="11"/>
        <v>#REF!</v>
      </c>
      <c r="CM17" s="234" t="e">
        <f>#REF!</f>
        <v>#REF!</v>
      </c>
      <c r="CN17" s="244" t="e">
        <f>#REF!</f>
        <v>#REF!</v>
      </c>
      <c r="CO17" s="231" t="e">
        <f t="shared" si="12"/>
        <v>#REF!</v>
      </c>
      <c r="CP17" s="73"/>
      <c r="CQ17" s="232"/>
      <c r="CR17" s="232" t="s">
        <v>62</v>
      </c>
      <c r="CS17" s="244">
        <v>45367</v>
      </c>
      <c r="CT17" s="244">
        <v>58723</v>
      </c>
      <c r="CU17" s="231">
        <f t="shared" si="13"/>
        <v>29.439901249807125</v>
      </c>
      <c r="CV17" s="234">
        <v>57542</v>
      </c>
      <c r="CW17" s="244">
        <v>58723</v>
      </c>
      <c r="CX17" s="231">
        <f t="shared" si="14"/>
        <v>2.0524138889854369</v>
      </c>
      <c r="CY17" s="73"/>
      <c r="CZ17" s="184"/>
      <c r="DA17" s="184" t="s">
        <v>62</v>
      </c>
      <c r="DB17" s="186">
        <v>44173</v>
      </c>
      <c r="DC17" s="186">
        <v>57542</v>
      </c>
      <c r="DD17" s="183">
        <f t="shared" si="15"/>
        <v>30.265094061983568</v>
      </c>
      <c r="DE17" s="186">
        <v>35918</v>
      </c>
      <c r="DF17" s="186">
        <v>57542</v>
      </c>
      <c r="DG17" s="183">
        <f t="shared" si="16"/>
        <v>60.203797538838465</v>
      </c>
      <c r="DH17" s="73"/>
      <c r="DI17" s="103"/>
      <c r="DJ17" s="103" t="s">
        <v>62</v>
      </c>
      <c r="DK17" s="105">
        <v>64295</v>
      </c>
      <c r="DL17" s="105">
        <v>35918</v>
      </c>
      <c r="DM17" s="102">
        <f t="shared" si="17"/>
        <v>-44.135624854187725</v>
      </c>
      <c r="DN17" s="105">
        <v>78560</v>
      </c>
      <c r="DO17" s="105">
        <v>35918</v>
      </c>
      <c r="DP17" s="102">
        <f t="shared" si="18"/>
        <v>-54.279531568228101</v>
      </c>
      <c r="DQ17" s="73"/>
      <c r="DR17" s="24"/>
      <c r="DS17" s="24" t="s">
        <v>62</v>
      </c>
      <c r="DT17" s="50">
        <v>62695</v>
      </c>
      <c r="DU17" s="50">
        <v>78560</v>
      </c>
      <c r="DV17" s="128">
        <f t="shared" si="19"/>
        <v>25.305048249461681</v>
      </c>
      <c r="DW17" s="25">
        <v>64218</v>
      </c>
      <c r="DX17" s="50">
        <v>78560</v>
      </c>
      <c r="DY17" s="128">
        <f t="shared" si="20"/>
        <v>22.333302189417299</v>
      </c>
      <c r="DZ17" s="130"/>
      <c r="EA17" s="103"/>
      <c r="EB17" s="103" t="s">
        <v>62</v>
      </c>
      <c r="EC17" s="105">
        <v>48810</v>
      </c>
      <c r="ED17" s="105">
        <v>64218</v>
      </c>
      <c r="EE17" s="112">
        <f t="shared" si="21"/>
        <v>31.567301782421637</v>
      </c>
      <c r="EF17" s="105">
        <v>54233</v>
      </c>
      <c r="EG17" s="105">
        <v>64218</v>
      </c>
      <c r="EH17" s="112">
        <f t="shared" si="22"/>
        <v>18.411299393358288</v>
      </c>
      <c r="EI17" s="61"/>
      <c r="EJ17" s="77"/>
      <c r="EK17" s="77" t="s">
        <v>62</v>
      </c>
      <c r="EL17" s="80">
        <v>46087</v>
      </c>
      <c r="EM17" s="80">
        <v>54233</v>
      </c>
      <c r="EN17" s="79">
        <f t="shared" si="23"/>
        <v>17.675266344088357</v>
      </c>
      <c r="EO17" s="81">
        <v>137780</v>
      </c>
      <c r="EP17" s="80">
        <v>54233</v>
      </c>
      <c r="EQ17" s="79">
        <f t="shared" si="24"/>
        <v>-60.637973581071272</v>
      </c>
      <c r="ER17" s="61"/>
      <c r="ES17" s="42"/>
      <c r="ET17" s="42" t="s">
        <v>62</v>
      </c>
      <c r="EU17" s="43">
        <v>161725</v>
      </c>
      <c r="EV17" s="43">
        <v>137780</v>
      </c>
      <c r="EW17" s="44">
        <f t="shared" si="1"/>
        <v>-14.805997835832432</v>
      </c>
      <c r="EX17" s="45">
        <v>131397</v>
      </c>
      <c r="EY17" s="43">
        <v>137780</v>
      </c>
      <c r="EZ17" s="44">
        <f t="shared" si="2"/>
        <v>4.8577973621924393</v>
      </c>
      <c r="FA17" s="61"/>
    </row>
    <row r="18" spans="1:157" x14ac:dyDescent="0.5">
      <c r="A18" s="232"/>
      <c r="B18" s="232" t="s">
        <v>63</v>
      </c>
      <c r="C18" s="243">
        <v>5429.8546597048198</v>
      </c>
      <c r="D18" s="243">
        <v>5160.90058391</v>
      </c>
      <c r="E18" s="231">
        <f t="shared" si="32"/>
        <v>-4.9532463141369023</v>
      </c>
      <c r="F18" s="243">
        <v>5855.6034735699996</v>
      </c>
      <c r="G18" s="243">
        <v>5160.90058391</v>
      </c>
      <c r="H18" s="231">
        <f t="shared" si="26"/>
        <v>-11.863899131756925</v>
      </c>
      <c r="I18" s="232"/>
      <c r="J18" s="232" t="s">
        <v>63</v>
      </c>
      <c r="K18" s="243">
        <v>6562.9001776782397</v>
      </c>
      <c r="L18" s="243">
        <v>5855.6034735699996</v>
      </c>
      <c r="M18" s="231">
        <f t="shared" si="33"/>
        <v>-10.777197351163444</v>
      </c>
      <c r="N18" s="243">
        <v>6849.0453689467304</v>
      </c>
      <c r="O18" s="243">
        <v>5855.6034735699996</v>
      </c>
      <c r="P18" s="231">
        <f t="shared" si="27"/>
        <v>-14.504822816343903</v>
      </c>
      <c r="Q18" s="232"/>
      <c r="R18" s="232" t="s">
        <v>63</v>
      </c>
      <c r="S18" s="243">
        <v>5627.7132873434257</v>
      </c>
      <c r="T18" s="243">
        <v>6849.045368946734</v>
      </c>
      <c r="U18" s="231">
        <f t="shared" si="34"/>
        <v>21.702102066038989</v>
      </c>
      <c r="V18" s="243">
        <v>6595.9880064341178</v>
      </c>
      <c r="W18" s="243">
        <v>6849.0453689467304</v>
      </c>
      <c r="X18" s="231">
        <f t="shared" si="28"/>
        <v>3.836534606578506</v>
      </c>
      <c r="Y18" s="232"/>
      <c r="Z18" s="232" t="s">
        <v>63</v>
      </c>
      <c r="AA18" s="243">
        <v>7409.2135728942603</v>
      </c>
      <c r="AB18" s="243">
        <v>6595.9880064341178</v>
      </c>
      <c r="AC18" s="231">
        <f t="shared" si="35"/>
        <v>-10.975868875412541</v>
      </c>
      <c r="AD18" s="243">
        <v>5798.69</v>
      </c>
      <c r="AE18" s="243">
        <v>6595.9880064341178</v>
      </c>
      <c r="AF18" s="231">
        <f>(AE18-AD18)/AD18*100</f>
        <v>13.74962287058143</v>
      </c>
      <c r="AG18" s="232"/>
      <c r="AH18" s="232" t="s">
        <v>63</v>
      </c>
      <c r="AI18" s="243">
        <v>5544.33</v>
      </c>
      <c r="AJ18" s="243">
        <v>5798.69</v>
      </c>
      <c r="AK18" s="231">
        <f t="shared" si="36"/>
        <v>4.5877500076654831</v>
      </c>
      <c r="AL18" s="243">
        <v>5968.19</v>
      </c>
      <c r="AM18" s="243">
        <v>5798.69</v>
      </c>
      <c r="AN18" s="231">
        <f>(AM18-AL18)/AL18*100</f>
        <v>-2.8400570357176971</v>
      </c>
      <c r="AP18" s="232"/>
      <c r="AQ18" s="232" t="s">
        <v>63</v>
      </c>
      <c r="AR18" s="243">
        <v>4737.71</v>
      </c>
      <c r="AS18" s="243">
        <v>5968.19</v>
      </c>
      <c r="AT18" s="231">
        <f t="shared" si="37"/>
        <v>25.972041344869133</v>
      </c>
      <c r="AU18" s="243">
        <v>6939.76</v>
      </c>
      <c r="AV18" s="243">
        <v>5968.19</v>
      </c>
      <c r="AW18" s="231">
        <f>(AV18-AU18)/AU18*100</f>
        <v>-14.000051874992803</v>
      </c>
      <c r="AX18" s="73"/>
      <c r="AY18" s="232"/>
      <c r="AZ18" s="232" t="s">
        <v>63</v>
      </c>
      <c r="BA18" s="243">
        <v>5647.74</v>
      </c>
      <c r="BB18" s="243">
        <v>6939.76</v>
      </c>
      <c r="BC18" s="231">
        <f t="shared" si="38"/>
        <v>22.876761323998636</v>
      </c>
      <c r="BD18" s="243">
        <v>5886.98</v>
      </c>
      <c r="BE18" s="243">
        <v>6939.76</v>
      </c>
      <c r="BF18" s="231">
        <f>(BE18-BD18)/BD18*100</f>
        <v>17.883193080323032</v>
      </c>
      <c r="BG18" s="73"/>
      <c r="BH18" s="232" t="s">
        <v>63</v>
      </c>
      <c r="BI18" s="243">
        <v>4769.0600000000004</v>
      </c>
      <c r="BJ18" s="243">
        <v>5886.98</v>
      </c>
      <c r="BK18" s="231">
        <f t="shared" si="39"/>
        <v>23.441097407036168</v>
      </c>
      <c r="BL18" s="243">
        <v>5346.67</v>
      </c>
      <c r="BM18" s="243">
        <v>5886.98</v>
      </c>
      <c r="BN18" s="231">
        <f>(BM18-BL18)/BL18*100</f>
        <v>10.105542328215495</v>
      </c>
      <c r="BO18" s="73"/>
      <c r="BP18" s="232"/>
      <c r="BQ18" s="232" t="s">
        <v>63</v>
      </c>
      <c r="BR18" s="243">
        <v>4193.0600000000004</v>
      </c>
      <c r="BS18" s="243">
        <v>5346.67</v>
      </c>
      <c r="BT18" s="231">
        <f t="shared" si="8"/>
        <v>27.51236567089428</v>
      </c>
      <c r="BU18" s="243">
        <v>4330.1899999999996</v>
      </c>
      <c r="BV18" s="243">
        <v>5346.67</v>
      </c>
      <c r="BW18" s="231">
        <f>(BV18-BU18)/BU18*100</f>
        <v>23.474258635302387</v>
      </c>
      <c r="BX18" s="73"/>
      <c r="BY18" s="232"/>
      <c r="BZ18" s="232" t="s">
        <v>63</v>
      </c>
      <c r="CA18" s="243">
        <v>3350.06</v>
      </c>
      <c r="CB18" s="243">
        <v>4330.1899999999996</v>
      </c>
      <c r="CC18" s="231">
        <f t="shared" si="9"/>
        <v>29.257087932753436</v>
      </c>
      <c r="CD18" s="235">
        <v>3845.65</v>
      </c>
      <c r="CE18" s="243">
        <v>4330.1899999999996</v>
      </c>
      <c r="CF18" s="231">
        <f t="shared" si="10"/>
        <v>12.599690559463278</v>
      </c>
      <c r="CG18" s="73"/>
      <c r="CH18" s="232"/>
      <c r="CI18" s="232" t="s">
        <v>63</v>
      </c>
      <c r="CJ18" s="243">
        <f>ต.ค.!CI18</f>
        <v>2945.3</v>
      </c>
      <c r="CK18" s="243" t="e">
        <f t="shared" si="0"/>
        <v>#REF!</v>
      </c>
      <c r="CL18" s="231" t="e">
        <f t="shared" si="11"/>
        <v>#REF!</v>
      </c>
      <c r="CM18" s="235" t="e">
        <f>#REF!</f>
        <v>#REF!</v>
      </c>
      <c r="CN18" s="243" t="e">
        <f>#REF!</f>
        <v>#REF!</v>
      </c>
      <c r="CO18" s="231" t="e">
        <f t="shared" si="12"/>
        <v>#REF!</v>
      </c>
      <c r="CP18" s="73"/>
      <c r="CQ18" s="232"/>
      <c r="CR18" s="232" t="s">
        <v>63</v>
      </c>
      <c r="CS18" s="243">
        <v>4106.66</v>
      </c>
      <c r="CT18" s="243">
        <v>4758.21</v>
      </c>
      <c r="CU18" s="231">
        <f t="shared" si="13"/>
        <v>15.865691340408025</v>
      </c>
      <c r="CV18" s="235">
        <v>2594.46</v>
      </c>
      <c r="CW18" s="243">
        <v>4758.21</v>
      </c>
      <c r="CX18" s="231">
        <f t="shared" si="14"/>
        <v>83.398857565736222</v>
      </c>
      <c r="CY18" s="73"/>
      <c r="CZ18" s="184"/>
      <c r="DA18" s="184" t="s">
        <v>63</v>
      </c>
      <c r="DB18" s="187">
        <v>2836.98</v>
      </c>
      <c r="DC18" s="187">
        <v>2594.4899999999998</v>
      </c>
      <c r="DD18" s="183">
        <f t="shared" si="15"/>
        <v>-8.5474694922065098</v>
      </c>
      <c r="DE18" s="187">
        <v>336.21</v>
      </c>
      <c r="DF18" s="187">
        <v>2594.4899999999998</v>
      </c>
      <c r="DG18" s="183">
        <f t="shared" si="16"/>
        <v>671.68733827072367</v>
      </c>
      <c r="DH18" s="73"/>
      <c r="DI18" s="103"/>
      <c r="DJ18" s="103" t="s">
        <v>63</v>
      </c>
      <c r="DK18" s="106">
        <v>1674.04</v>
      </c>
      <c r="DL18" s="106">
        <v>336.21</v>
      </c>
      <c r="DM18" s="102">
        <f t="shared" si="17"/>
        <v>-79.916250507753688</v>
      </c>
      <c r="DN18" s="106">
        <v>2554.63</v>
      </c>
      <c r="DO18" s="106">
        <v>336.21</v>
      </c>
      <c r="DP18" s="102">
        <f t="shared" si="18"/>
        <v>-86.839190019689738</v>
      </c>
      <c r="DQ18" s="73"/>
      <c r="DR18" s="24"/>
      <c r="DS18" s="24" t="s">
        <v>63</v>
      </c>
      <c r="DT18" s="132">
        <v>2523.0100000000002</v>
      </c>
      <c r="DU18" s="132">
        <v>2554.63</v>
      </c>
      <c r="DV18" s="128">
        <f t="shared" si="19"/>
        <v>1.2532649494056658</v>
      </c>
      <c r="DW18" s="124">
        <v>1817.36</v>
      </c>
      <c r="DX18" s="132">
        <v>2554.63</v>
      </c>
      <c r="DY18" s="128">
        <f t="shared" si="20"/>
        <v>40.568186820442854</v>
      </c>
      <c r="DZ18" s="130"/>
      <c r="EA18" s="103"/>
      <c r="EB18" s="103" t="s">
        <v>63</v>
      </c>
      <c r="EC18" s="106">
        <v>1354.37</v>
      </c>
      <c r="ED18" s="106">
        <v>1817.36</v>
      </c>
      <c r="EE18" s="112">
        <f t="shared" si="21"/>
        <v>34.184897775349427</v>
      </c>
      <c r="EF18" s="106">
        <v>2763.42</v>
      </c>
      <c r="EG18" s="106">
        <v>1817.36</v>
      </c>
      <c r="EH18" s="112">
        <f t="shared" si="22"/>
        <v>-34.235114459618885</v>
      </c>
      <c r="EI18" s="61"/>
      <c r="EJ18" s="77"/>
      <c r="EK18" s="77" t="s">
        <v>63</v>
      </c>
      <c r="EL18" s="82">
        <v>1680.86</v>
      </c>
      <c r="EM18" s="82">
        <v>2763.42</v>
      </c>
      <c r="EN18" s="79">
        <f t="shared" si="23"/>
        <v>64.405125947431685</v>
      </c>
      <c r="EO18" s="83">
        <v>2452.0100000000002</v>
      </c>
      <c r="EP18" s="82">
        <v>2763.42</v>
      </c>
      <c r="EQ18" s="79">
        <f t="shared" si="24"/>
        <v>12.700192902965316</v>
      </c>
      <c r="ER18" s="61"/>
      <c r="ES18" s="42"/>
      <c r="ET18" s="42" t="s">
        <v>63</v>
      </c>
      <c r="EU18" s="66">
        <v>2646.46</v>
      </c>
      <c r="EV18" s="66">
        <v>2452.0100000000002</v>
      </c>
      <c r="EW18" s="44">
        <f t="shared" si="1"/>
        <v>-7.3475510682194249</v>
      </c>
      <c r="EX18" s="67">
        <v>2074.75</v>
      </c>
      <c r="EY18" s="66">
        <v>2452.0100000000002</v>
      </c>
      <c r="EZ18" s="44">
        <f t="shared" si="2"/>
        <v>18.183395589830109</v>
      </c>
      <c r="FA18" s="61"/>
    </row>
    <row r="20" spans="1:157" x14ac:dyDescent="0.5">
      <c r="C20" s="62" t="s">
        <v>887</v>
      </c>
      <c r="K20" s="62" t="s">
        <v>852</v>
      </c>
      <c r="S20" s="62" t="s">
        <v>801</v>
      </c>
      <c r="AA20" s="62" t="s">
        <v>751</v>
      </c>
      <c r="AI20" s="62" t="s">
        <v>712</v>
      </c>
      <c r="AR20" s="62" t="s">
        <v>660</v>
      </c>
      <c r="BA20" s="62" t="s">
        <v>619</v>
      </c>
      <c r="BI20" s="62" t="s">
        <v>571</v>
      </c>
      <c r="BR20" t="s">
        <v>472</v>
      </c>
      <c r="CA20" t="s">
        <v>472</v>
      </c>
      <c r="CJ20" t="s">
        <v>320</v>
      </c>
      <c r="CS20" t="s">
        <v>320</v>
      </c>
      <c r="DB20" s="171" t="s">
        <v>279</v>
      </c>
      <c r="DK20" t="s">
        <v>237</v>
      </c>
      <c r="DT20" t="s">
        <v>201</v>
      </c>
      <c r="EC20" t="s">
        <v>164</v>
      </c>
      <c r="EL20" t="s">
        <v>125</v>
      </c>
      <c r="EU20" t="s">
        <v>77</v>
      </c>
    </row>
    <row r="21" spans="1:157" x14ac:dyDescent="0.5">
      <c r="A21" s="239"/>
      <c r="B21" s="239"/>
      <c r="C21" s="363" t="s">
        <v>889</v>
      </c>
      <c r="D21" s="365" t="s">
        <v>888</v>
      </c>
      <c r="E21" s="342" t="s">
        <v>3</v>
      </c>
      <c r="F21" s="363" t="s">
        <v>850</v>
      </c>
      <c r="G21" s="365" t="s">
        <v>888</v>
      </c>
      <c r="H21" s="342" t="s">
        <v>3</v>
      </c>
      <c r="I21" s="239"/>
      <c r="J21" s="239"/>
      <c r="K21" s="363" t="s">
        <v>851</v>
      </c>
      <c r="L21" s="365" t="s">
        <v>850</v>
      </c>
      <c r="M21" s="342" t="s">
        <v>3</v>
      </c>
      <c r="N21" s="363" t="s">
        <v>803</v>
      </c>
      <c r="O21" s="365" t="s">
        <v>850</v>
      </c>
      <c r="P21" s="342" t="s">
        <v>3</v>
      </c>
      <c r="Q21" s="239"/>
      <c r="R21" s="239"/>
      <c r="S21" s="341" t="s">
        <v>798</v>
      </c>
      <c r="T21" s="361" t="s">
        <v>803</v>
      </c>
      <c r="U21" s="342" t="s">
        <v>3</v>
      </c>
      <c r="V21" s="341">
        <v>24047</v>
      </c>
      <c r="W21" s="361" t="s">
        <v>803</v>
      </c>
      <c r="X21" s="342" t="s">
        <v>3</v>
      </c>
      <c r="Y21" s="239"/>
      <c r="Z21" s="239"/>
      <c r="AA21" s="341">
        <v>24016</v>
      </c>
      <c r="AB21" s="341">
        <v>24047</v>
      </c>
      <c r="AC21" s="342" t="s">
        <v>3</v>
      </c>
      <c r="AD21" s="341">
        <v>23682</v>
      </c>
      <c r="AE21" s="341">
        <v>24047</v>
      </c>
      <c r="AF21" s="342" t="s">
        <v>3</v>
      </c>
      <c r="AG21" s="239"/>
      <c r="AH21" s="239"/>
      <c r="AI21" s="341" t="s">
        <v>706</v>
      </c>
      <c r="AJ21" s="341" t="s">
        <v>710</v>
      </c>
      <c r="AK21" s="342" t="s">
        <v>3</v>
      </c>
      <c r="AL21" s="341" t="s">
        <v>665</v>
      </c>
      <c r="AM21" s="341" t="s">
        <v>711</v>
      </c>
      <c r="AN21" s="342" t="s">
        <v>3</v>
      </c>
      <c r="AP21" s="239"/>
      <c r="AQ21" s="239"/>
      <c r="AR21" s="341" t="s">
        <v>654</v>
      </c>
      <c r="AS21" s="341" t="s">
        <v>661</v>
      </c>
      <c r="AT21" s="342" t="s">
        <v>3</v>
      </c>
      <c r="AU21" s="341" t="s">
        <v>622</v>
      </c>
      <c r="AV21" s="341" t="s">
        <v>662</v>
      </c>
      <c r="AW21" s="342" t="s">
        <v>3</v>
      </c>
      <c r="AX21" s="62"/>
      <c r="AY21" s="239"/>
      <c r="AZ21" s="239"/>
      <c r="BA21" s="341">
        <v>22920</v>
      </c>
      <c r="BB21" s="341">
        <v>22951</v>
      </c>
      <c r="BC21" s="342" t="s">
        <v>3</v>
      </c>
      <c r="BD21" s="341">
        <v>22586</v>
      </c>
      <c r="BE21" s="341">
        <v>22951</v>
      </c>
      <c r="BF21" s="342" t="s">
        <v>3</v>
      </c>
      <c r="BG21" s="62"/>
      <c r="BH21" s="239"/>
      <c r="BI21" s="341" t="s">
        <v>565</v>
      </c>
      <c r="BJ21" s="341" t="s">
        <v>569</v>
      </c>
      <c r="BK21" s="342" t="s">
        <v>3</v>
      </c>
      <c r="BL21" s="341" t="s">
        <v>533</v>
      </c>
      <c r="BM21" s="341" t="s">
        <v>570</v>
      </c>
      <c r="BN21" s="342" t="s">
        <v>3</v>
      </c>
      <c r="BO21" s="62"/>
      <c r="BP21" s="239"/>
      <c r="BQ21" s="239"/>
      <c r="BR21" s="240" t="s">
        <v>518</v>
      </c>
      <c r="BS21" s="240" t="s">
        <v>528</v>
      </c>
      <c r="BT21" s="298" t="s">
        <v>3</v>
      </c>
      <c r="BU21" s="240" t="s">
        <v>475</v>
      </c>
      <c r="BV21" s="240" t="s">
        <v>529</v>
      </c>
      <c r="BW21" s="298" t="s">
        <v>3</v>
      </c>
      <c r="BX21" s="62"/>
      <c r="BY21" s="239"/>
      <c r="BZ21" s="239"/>
      <c r="CA21" s="240" t="s">
        <v>470</v>
      </c>
      <c r="CB21" s="240" t="s">
        <v>471</v>
      </c>
      <c r="CC21" s="298" t="s">
        <v>3</v>
      </c>
      <c r="CD21" s="240" t="s">
        <v>468</v>
      </c>
      <c r="CE21" s="240" t="s">
        <v>469</v>
      </c>
      <c r="CF21" s="298" t="s">
        <v>3</v>
      </c>
      <c r="CG21" s="62"/>
      <c r="CH21" s="239"/>
      <c r="CI21" s="239"/>
      <c r="CJ21" s="240" t="str">
        <f t="shared" ref="CJ21:CO21" si="40">CJ2</f>
        <v>ตค 58</v>
      </c>
      <c r="CK21" s="240" t="str">
        <f t="shared" si="40"/>
        <v>พย 58</v>
      </c>
      <c r="CL21" s="298" t="str">
        <f t="shared" si="40"/>
        <v>ร้อยละ</v>
      </c>
      <c r="CM21" s="240" t="str">
        <f t="shared" si="40"/>
        <v>พย 57</v>
      </c>
      <c r="CN21" s="240" t="str">
        <f t="shared" si="40"/>
        <v>พย  58</v>
      </c>
      <c r="CO21" s="298" t="str">
        <f t="shared" si="40"/>
        <v>ร้อยละ</v>
      </c>
      <c r="CP21" s="62"/>
      <c r="CQ21" s="239"/>
      <c r="CR21" s="239"/>
      <c r="CS21" s="240" t="s">
        <v>317</v>
      </c>
      <c r="CT21" s="240" t="s">
        <v>321</v>
      </c>
      <c r="CU21" s="239" t="s">
        <v>3</v>
      </c>
      <c r="CV21" s="241" t="s">
        <v>280</v>
      </c>
      <c r="CW21" s="240" t="s">
        <v>321</v>
      </c>
      <c r="CX21" s="239" t="s">
        <v>3</v>
      </c>
      <c r="CY21" s="62"/>
      <c r="CZ21" s="163"/>
      <c r="DA21" s="163"/>
      <c r="DB21" s="172" t="s">
        <v>277</v>
      </c>
      <c r="DC21" s="175" t="s">
        <v>280</v>
      </c>
      <c r="DD21" s="163" t="s">
        <v>3</v>
      </c>
      <c r="DE21" s="172" t="s">
        <v>238</v>
      </c>
      <c r="DF21" s="175" t="s">
        <v>280</v>
      </c>
      <c r="DG21" s="163" t="s">
        <v>3</v>
      </c>
      <c r="DH21" s="62"/>
      <c r="DI21" s="141"/>
      <c r="DJ21" s="141"/>
      <c r="DK21" s="144" t="s">
        <v>233</v>
      </c>
      <c r="DL21" s="144" t="s">
        <v>239</v>
      </c>
      <c r="DM21" s="141" t="s">
        <v>3</v>
      </c>
      <c r="DN21" s="146" t="s">
        <v>202</v>
      </c>
      <c r="DO21" s="144" t="s">
        <v>238</v>
      </c>
      <c r="DP21" s="141" t="s">
        <v>3</v>
      </c>
      <c r="DQ21" s="62"/>
      <c r="DR21" s="95"/>
      <c r="DS21" s="95"/>
      <c r="DT21" s="96" t="s">
        <v>199</v>
      </c>
      <c r="DU21" s="96" t="s">
        <v>202</v>
      </c>
      <c r="DV21" s="95" t="s">
        <v>3</v>
      </c>
      <c r="DW21" s="96" t="s">
        <v>165</v>
      </c>
      <c r="DX21" s="96" t="s">
        <v>202</v>
      </c>
      <c r="DY21" s="95" t="s">
        <v>3</v>
      </c>
      <c r="DZ21" s="62"/>
      <c r="EA21" s="54"/>
      <c r="EB21" s="54"/>
      <c r="EC21" s="55">
        <v>19268</v>
      </c>
      <c r="ED21" s="55">
        <v>19299</v>
      </c>
      <c r="EE21" s="54" t="s">
        <v>3</v>
      </c>
      <c r="EF21" s="55" t="s">
        <v>127</v>
      </c>
      <c r="EG21" s="55" t="s">
        <v>165</v>
      </c>
      <c r="EH21" s="54" t="s">
        <v>3</v>
      </c>
      <c r="EI21" s="62"/>
      <c r="EJ21" s="95"/>
      <c r="EK21" s="95"/>
      <c r="EL21" s="96">
        <v>18902</v>
      </c>
      <c r="EM21" s="96">
        <v>18933</v>
      </c>
      <c r="EN21" s="95" t="s">
        <v>3</v>
      </c>
      <c r="EO21" s="96" t="s">
        <v>126</v>
      </c>
      <c r="EP21" s="96" t="s">
        <v>127</v>
      </c>
      <c r="EQ21" s="95" t="s">
        <v>3</v>
      </c>
      <c r="ER21" s="62"/>
      <c r="ES21" s="54"/>
      <c r="ET21" s="54"/>
      <c r="EU21" s="55">
        <v>18537</v>
      </c>
      <c r="EV21" s="55">
        <v>18568</v>
      </c>
      <c r="EW21" s="54" t="s">
        <v>3</v>
      </c>
      <c r="EX21" s="55">
        <v>18203</v>
      </c>
      <c r="EY21" s="55">
        <v>18568</v>
      </c>
      <c r="EZ21" s="54" t="s">
        <v>3</v>
      </c>
      <c r="FA21" s="62"/>
    </row>
    <row r="22" spans="1:157" x14ac:dyDescent="0.5">
      <c r="A22" s="224" t="s">
        <v>0</v>
      </c>
      <c r="B22" s="224"/>
      <c r="C22" s="238">
        <v>135685</v>
      </c>
      <c r="D22" s="238">
        <v>130222</v>
      </c>
      <c r="E22" s="225">
        <f>((D22-C22)/C22)*100</f>
        <v>-4.0262372406677231</v>
      </c>
      <c r="F22" s="238">
        <v>117251</v>
      </c>
      <c r="G22" s="238">
        <v>130222</v>
      </c>
      <c r="H22" s="225">
        <f t="shared" ref="H22:H32" si="41">(G22-F22)/F22*100</f>
        <v>11.062592216697512</v>
      </c>
      <c r="I22" s="224" t="s">
        <v>0</v>
      </c>
      <c r="J22" s="224"/>
      <c r="K22" s="238">
        <v>118346</v>
      </c>
      <c r="L22" s="238">
        <v>117251</v>
      </c>
      <c r="M22" s="225">
        <f>((L22-K22)/K22)*100</f>
        <v>-0.92525307150220537</v>
      </c>
      <c r="N22" s="238">
        <v>163337</v>
      </c>
      <c r="O22" s="238">
        <v>117251</v>
      </c>
      <c r="P22" s="225">
        <f t="shared" ref="P22:P32" si="42">(O22-N22)/N22*100</f>
        <v>-28.215284962990626</v>
      </c>
      <c r="Q22" s="224" t="s">
        <v>0</v>
      </c>
      <c r="R22" s="224"/>
      <c r="S22" s="238">
        <v>158734</v>
      </c>
      <c r="T22" s="238">
        <v>163337</v>
      </c>
      <c r="U22" s="225">
        <f>((T22-S22)/S22)*100</f>
        <v>2.8998198243602507</v>
      </c>
      <c r="V22" s="238">
        <v>190155</v>
      </c>
      <c r="W22" s="238">
        <v>163337</v>
      </c>
      <c r="X22" s="225">
        <f t="shared" ref="X22:X32" si="43">(W22-V22)/V22*100</f>
        <v>-14.103231574242065</v>
      </c>
      <c r="Y22" s="224" t="s">
        <v>0</v>
      </c>
      <c r="Z22" s="224"/>
      <c r="AA22" s="238">
        <v>170717</v>
      </c>
      <c r="AB22" s="238">
        <v>190155</v>
      </c>
      <c r="AC22" s="225">
        <f>((AB22-AA22)/AA22)*100</f>
        <v>11.38609511647932</v>
      </c>
      <c r="AD22" s="238">
        <v>165353</v>
      </c>
      <c r="AE22" s="238">
        <v>190155</v>
      </c>
      <c r="AF22" s="225">
        <f>(AE22-AD22)/AD22*100</f>
        <v>14.999425471566891</v>
      </c>
      <c r="AG22" s="224" t="s">
        <v>0</v>
      </c>
      <c r="AH22" s="224"/>
      <c r="AI22" s="238">
        <v>154038</v>
      </c>
      <c r="AJ22" s="238">
        <v>165353</v>
      </c>
      <c r="AK22" s="225">
        <f>((AJ22-AI22)/AI22)*100</f>
        <v>7.3455900492086359</v>
      </c>
      <c r="AL22" s="238">
        <v>172455</v>
      </c>
      <c r="AM22" s="238">
        <v>165353</v>
      </c>
      <c r="AN22" s="225">
        <f>(AM22-AL22)/AL22*100</f>
        <v>-4.1181757559943177</v>
      </c>
      <c r="AP22" s="224" t="s">
        <v>0</v>
      </c>
      <c r="AQ22" s="224"/>
      <c r="AR22" s="238">
        <v>149159</v>
      </c>
      <c r="AS22" s="238">
        <v>172455</v>
      </c>
      <c r="AT22" s="225">
        <f>((AS22-AR22)/AR22)*100</f>
        <v>15.618232892416817</v>
      </c>
      <c r="AU22" s="238">
        <v>154088</v>
      </c>
      <c r="AV22" s="238">
        <v>172455</v>
      </c>
      <c r="AW22" s="225">
        <f>(AV22-AU22)/AU22*100</f>
        <v>11.919812055448835</v>
      </c>
      <c r="AX22" s="73"/>
      <c r="AY22" s="224" t="s">
        <v>0</v>
      </c>
      <c r="AZ22" s="224"/>
      <c r="BA22" s="238">
        <v>152787</v>
      </c>
      <c r="BB22" s="238">
        <v>154088</v>
      </c>
      <c r="BC22" s="225">
        <f>((BB22-BA22)/BA22)*100</f>
        <v>0.85151223598866399</v>
      </c>
      <c r="BD22" s="238">
        <v>197020</v>
      </c>
      <c r="BE22" s="238">
        <v>154088</v>
      </c>
      <c r="BF22" s="225">
        <f>(BE22-BD22)/BD22*100</f>
        <v>-21.790681149121916</v>
      </c>
      <c r="BG22" s="73"/>
      <c r="BH22" s="224"/>
      <c r="BI22" s="238">
        <v>197203</v>
      </c>
      <c r="BJ22" s="238">
        <v>197020</v>
      </c>
      <c r="BK22" s="225">
        <f>((BJ22-BI22)/BI22)*100</f>
        <v>-9.2797776910087573E-2</v>
      </c>
      <c r="BL22" s="238">
        <v>190385</v>
      </c>
      <c r="BM22" s="238">
        <v>197020</v>
      </c>
      <c r="BN22" s="225">
        <f>(BM22-BL22)/BL22*100</f>
        <v>3.4850434645586579</v>
      </c>
      <c r="BO22" s="73"/>
      <c r="BP22" s="224" t="s">
        <v>0</v>
      </c>
      <c r="BQ22" s="224"/>
      <c r="BR22" s="238">
        <v>163487</v>
      </c>
      <c r="BS22" s="238">
        <v>190385</v>
      </c>
      <c r="BT22" s="225">
        <f>((BS22-BR22)/BR22)*100</f>
        <v>16.452684311290806</v>
      </c>
      <c r="BU22" s="238">
        <v>170784</v>
      </c>
      <c r="BV22" s="238">
        <v>190385</v>
      </c>
      <c r="BW22" s="225">
        <f>(BV22-BU22)/BU22*100</f>
        <v>11.477070451564551</v>
      </c>
      <c r="BX22" s="73"/>
      <c r="BY22" s="224" t="s">
        <v>0</v>
      </c>
      <c r="BZ22" s="224"/>
      <c r="CA22" s="238">
        <v>161105</v>
      </c>
      <c r="CB22" s="238">
        <v>170784</v>
      </c>
      <c r="CC22" s="225">
        <f>((CB22-CA22)/CA22)*100</f>
        <v>6.0078830576332205</v>
      </c>
      <c r="CD22" s="238">
        <v>163170</v>
      </c>
      <c r="CE22" s="238">
        <v>170784</v>
      </c>
      <c r="CF22" s="225">
        <f>(CE22-CD22)/CD22*100</f>
        <v>4.6662989520132374</v>
      </c>
      <c r="CG22" s="73"/>
      <c r="CH22" s="224" t="s">
        <v>0</v>
      </c>
      <c r="CI22" s="224"/>
      <c r="CJ22" s="238">
        <f>ต.ค.!CI22</f>
        <v>165381</v>
      </c>
      <c r="CK22" s="238" t="e">
        <f t="shared" ref="CK22:CK32" si="44">CN22</f>
        <v>#REF!</v>
      </c>
      <c r="CL22" s="225" t="e">
        <f>((CK22-CJ22)/CJ22)*100</f>
        <v>#REF!</v>
      </c>
      <c r="CM22" s="238" t="e">
        <f>#REF!</f>
        <v>#REF!</v>
      </c>
      <c r="CN22" s="238" t="e">
        <f>#REF!</f>
        <v>#REF!</v>
      </c>
      <c r="CO22" s="225" t="e">
        <f>(CN22-CM22)/CM22*100</f>
        <v>#REF!</v>
      </c>
      <c r="CP22" s="73"/>
      <c r="CQ22" s="224" t="s">
        <v>0</v>
      </c>
      <c r="CR22" s="224"/>
      <c r="CS22" s="238">
        <v>185117</v>
      </c>
      <c r="CT22" s="238">
        <f>SUM(CT23:CT25)</f>
        <v>182818</v>
      </c>
      <c r="CU22" s="225">
        <f>((CT22-CS22)/CS22)*100</f>
        <v>-1.2419172739402649</v>
      </c>
      <c r="CV22" s="238">
        <f>SUM(CV23:CV25)</f>
        <v>256581</v>
      </c>
      <c r="CW22" s="238">
        <v>182818</v>
      </c>
      <c r="CX22" s="225">
        <f>((CW22-CV22)/CV22)*100</f>
        <v>-28.748426422845025</v>
      </c>
      <c r="CY22" s="73"/>
      <c r="CZ22" s="165" t="s">
        <v>0</v>
      </c>
      <c r="DA22" s="165"/>
      <c r="DB22" s="166">
        <f>SUM(DB23:DB25)</f>
        <v>252165</v>
      </c>
      <c r="DC22" s="166">
        <f>SUM(DC23:DC25)</f>
        <v>256581</v>
      </c>
      <c r="DD22" s="167">
        <f>((DC22-DB22)/DB22)*100</f>
        <v>1.7512343108678841</v>
      </c>
      <c r="DE22" s="166">
        <v>23695</v>
      </c>
      <c r="DF22" s="166">
        <f>SUM(DF23:DF25)</f>
        <v>256581</v>
      </c>
      <c r="DG22" s="167">
        <f>((DF22-DE22)/DE22)*100</f>
        <v>982.84870225786028</v>
      </c>
      <c r="DH22" s="73"/>
      <c r="DI22" s="150" t="s">
        <v>0</v>
      </c>
      <c r="DJ22" s="150"/>
      <c r="DK22" s="147">
        <v>49439</v>
      </c>
      <c r="DL22" s="147">
        <f>SUM(DL23:DL25)</f>
        <v>23695</v>
      </c>
      <c r="DM22" s="151">
        <f>((DL22-DK22)/DK22)*100</f>
        <v>-52.072250652319021</v>
      </c>
      <c r="DN22" s="147">
        <v>157094</v>
      </c>
      <c r="DO22" s="147">
        <v>23695</v>
      </c>
      <c r="DP22" s="151">
        <f>((DO22-DN22)/DN22)*100</f>
        <v>-84.916674093218063</v>
      </c>
      <c r="DQ22" s="73"/>
      <c r="DR22" s="86" t="s">
        <v>0</v>
      </c>
      <c r="DS22" s="86"/>
      <c r="DT22" s="87">
        <f>SUM(DT23:DT25)</f>
        <v>152689</v>
      </c>
      <c r="DU22" s="87">
        <f>SUM(DU23:DU25)</f>
        <v>157094</v>
      </c>
      <c r="DV22" s="126">
        <f>((DU22-DT22)/DT22)*100</f>
        <v>2.884949144994073</v>
      </c>
      <c r="DW22" s="87">
        <v>120985</v>
      </c>
      <c r="DX22" s="87">
        <f>SUM(DX23:DX25)</f>
        <v>157094</v>
      </c>
      <c r="DY22" s="126">
        <f>((DX22-DW22)/DW22)*100</f>
        <v>29.845848658924663</v>
      </c>
      <c r="DZ22" s="127"/>
      <c r="EA22" s="63" t="s">
        <v>0</v>
      </c>
      <c r="EB22" s="63"/>
      <c r="EC22" s="68">
        <v>115043</v>
      </c>
      <c r="ED22" s="68">
        <f>SUM(ED23:ED25)</f>
        <v>120985</v>
      </c>
      <c r="EE22" s="65">
        <f>((ED22-EC22)/EC22)*100</f>
        <v>5.1650252514277266</v>
      </c>
      <c r="EF22" s="68">
        <f>SUM(EF23:EF25)</f>
        <v>116041</v>
      </c>
      <c r="EG22" s="42">
        <v>120985</v>
      </c>
      <c r="EH22" s="65">
        <f>((EG22-EF22)/EF22)*100</f>
        <v>4.2605630768435292</v>
      </c>
      <c r="EI22" s="73"/>
      <c r="EJ22" s="86" t="s">
        <v>0</v>
      </c>
      <c r="EK22" s="86"/>
      <c r="EL22" s="87">
        <f>SUM(EL23:EL25)</f>
        <v>124656</v>
      </c>
      <c r="EM22" s="87">
        <f>SUM(EM23:EM25)</f>
        <v>116052</v>
      </c>
      <c r="EN22" s="88">
        <f>((EM22-EL22)/EL22)*100</f>
        <v>-6.9021948402002309</v>
      </c>
      <c r="EO22" s="87">
        <v>125071</v>
      </c>
      <c r="EP22" s="87">
        <v>116052</v>
      </c>
      <c r="EQ22" s="88">
        <f>((EP22-EO22)/EO22)*100</f>
        <v>-7.2111040928752468</v>
      </c>
      <c r="ER22" s="73"/>
      <c r="ES22" s="63" t="s">
        <v>0</v>
      </c>
      <c r="ET22" s="63"/>
      <c r="EU22" s="68">
        <f>SUM(EU23:EU25)</f>
        <v>123845</v>
      </c>
      <c r="EV22" s="68">
        <f>SUM(EV23:EV25)</f>
        <v>125071</v>
      </c>
      <c r="EW22" s="65">
        <f t="shared" ref="EW22:EW32" si="45">(EV22-EU22)/EU22*100</f>
        <v>0.98994711130849045</v>
      </c>
      <c r="EX22" s="68">
        <v>101117</v>
      </c>
      <c r="EY22" s="68">
        <f>SUM(EY23:EY25)</f>
        <v>125071</v>
      </c>
      <c r="EZ22" s="65">
        <f t="shared" ref="EZ22:EZ32" si="46">(EY22-EX22)/EX22*100</f>
        <v>23.689389519071966</v>
      </c>
      <c r="FA22" s="73"/>
    </row>
    <row r="23" spans="1:157" x14ac:dyDescent="0.5">
      <c r="A23" s="226"/>
      <c r="B23" s="226" t="s">
        <v>51</v>
      </c>
      <c r="C23" s="227">
        <v>55048</v>
      </c>
      <c r="D23" s="227">
        <v>52006</v>
      </c>
      <c r="E23" s="225">
        <f t="shared" ref="E23:E26" si="47">((D23-C23)/C23)*100</f>
        <v>-5.5260863246621135</v>
      </c>
      <c r="F23" s="227">
        <v>44582</v>
      </c>
      <c r="G23" s="227">
        <v>52006</v>
      </c>
      <c r="H23" s="225">
        <f t="shared" si="41"/>
        <v>16.652460634336727</v>
      </c>
      <c r="I23" s="226"/>
      <c r="J23" s="226" t="s">
        <v>51</v>
      </c>
      <c r="K23" s="227">
        <v>46196</v>
      </c>
      <c r="L23" s="227">
        <v>44582</v>
      </c>
      <c r="M23" s="225">
        <f t="shared" ref="M23:M32" si="48">((L23-K23)/K23)*100</f>
        <v>-3.4938089877911507</v>
      </c>
      <c r="N23" s="227">
        <v>59532</v>
      </c>
      <c r="O23" s="227">
        <v>44582</v>
      </c>
      <c r="P23" s="225">
        <f t="shared" si="42"/>
        <v>-25.112544513874891</v>
      </c>
      <c r="Q23" s="226"/>
      <c r="R23" s="226" t="s">
        <v>51</v>
      </c>
      <c r="S23" s="227">
        <v>56474</v>
      </c>
      <c r="T23" s="227">
        <v>59532</v>
      </c>
      <c r="U23" s="225">
        <f t="shared" ref="U23:U32" si="49">((T23-S23)/S23)*100</f>
        <v>5.4148811842617839</v>
      </c>
      <c r="V23" s="227">
        <v>69060</v>
      </c>
      <c r="W23" s="227">
        <v>59532</v>
      </c>
      <c r="X23" s="225">
        <f t="shared" si="43"/>
        <v>-13.796698523023457</v>
      </c>
      <c r="Y23" s="226"/>
      <c r="Z23" s="226" t="s">
        <v>51</v>
      </c>
      <c r="AA23" s="227">
        <v>58674</v>
      </c>
      <c r="AB23" s="227">
        <v>69060</v>
      </c>
      <c r="AC23" s="225">
        <f t="shared" ref="AC23:AC32" si="50">((AB23-AA23)/AA23)*100</f>
        <v>17.701196441353922</v>
      </c>
      <c r="AD23" s="227">
        <v>55572</v>
      </c>
      <c r="AE23" s="227">
        <v>69060</v>
      </c>
      <c r="AF23" s="225">
        <f t="shared" ref="AF23:AF32" si="51">(AE23-AD23)/AD23*100</f>
        <v>24.271215720146834</v>
      </c>
      <c r="AG23" s="226"/>
      <c r="AH23" s="226" t="s">
        <v>51</v>
      </c>
      <c r="AI23" s="227">
        <v>55270</v>
      </c>
      <c r="AJ23" s="227">
        <v>55572</v>
      </c>
      <c r="AK23" s="225">
        <f t="shared" ref="AK23:AK32" si="52">((AJ23-AI23)/AI23)*100</f>
        <v>0.54640853989506066</v>
      </c>
      <c r="AL23" s="227">
        <v>65740</v>
      </c>
      <c r="AM23" s="227">
        <v>55572</v>
      </c>
      <c r="AN23" s="225">
        <f t="shared" ref="AN23:AN32" si="53">(AM23-AL23)/AL23*100</f>
        <v>-15.466991177365379</v>
      </c>
      <c r="AP23" s="226"/>
      <c r="AQ23" s="226" t="s">
        <v>51</v>
      </c>
      <c r="AR23" s="227">
        <v>57990</v>
      </c>
      <c r="AS23" s="227">
        <v>65740</v>
      </c>
      <c r="AT23" s="225">
        <f t="shared" ref="AT23:AT32" si="54">((AS23-AR23)/AR23)*100</f>
        <v>13.36437316778755</v>
      </c>
      <c r="AU23" s="227">
        <v>60077</v>
      </c>
      <c r="AV23" s="227">
        <v>65740</v>
      </c>
      <c r="AW23" s="225">
        <f t="shared" ref="AW23:AW32" si="55">(AV23-AU23)/AU23*100</f>
        <v>9.4262363300431105</v>
      </c>
      <c r="AX23" s="73"/>
      <c r="AY23" s="226"/>
      <c r="AZ23" s="226" t="s">
        <v>51</v>
      </c>
      <c r="BA23" s="227">
        <v>60807</v>
      </c>
      <c r="BB23" s="227">
        <v>60077</v>
      </c>
      <c r="BC23" s="225">
        <f t="shared" ref="BC23:BC32" si="56">((BB23-BA23)/BA23)*100</f>
        <v>-1.2005196770108706</v>
      </c>
      <c r="BD23" s="227">
        <v>77899</v>
      </c>
      <c r="BE23" s="227">
        <v>60077</v>
      </c>
      <c r="BF23" s="225">
        <f t="shared" ref="BF23:BF32" si="57">(BE23-BD23)/BD23*100</f>
        <v>-22.878342469094598</v>
      </c>
      <c r="BG23" s="73"/>
      <c r="BH23" s="226" t="s">
        <v>51</v>
      </c>
      <c r="BI23" s="227">
        <v>76157</v>
      </c>
      <c r="BJ23" s="227">
        <v>77899</v>
      </c>
      <c r="BK23" s="225">
        <f t="shared" ref="BK23:BK32" si="58">((BJ23-BI23)/BI23)*100</f>
        <v>2.2873800175952308</v>
      </c>
      <c r="BL23" s="227">
        <v>78928</v>
      </c>
      <c r="BM23" s="227">
        <v>77899</v>
      </c>
      <c r="BN23" s="225">
        <f t="shared" ref="BN23:BN32" si="59">(BM23-BL23)/BL23*100</f>
        <v>-1.3037198459355364</v>
      </c>
      <c r="BO23" s="73"/>
      <c r="BP23" s="226"/>
      <c r="BQ23" s="226" t="s">
        <v>51</v>
      </c>
      <c r="BR23" s="227">
        <v>69769</v>
      </c>
      <c r="BS23" s="227">
        <v>78928</v>
      </c>
      <c r="BT23" s="225">
        <f t="shared" ref="BT23:BT32" si="60">((BS23-BR23)/BR23)*100</f>
        <v>13.127606816781093</v>
      </c>
      <c r="BU23" s="227">
        <v>68731</v>
      </c>
      <c r="BV23" s="227">
        <v>78928</v>
      </c>
      <c r="BW23" s="225">
        <f t="shared" ref="BW23:BW32" si="61">(BV23-BU23)/BU23*100</f>
        <v>14.836100158589282</v>
      </c>
      <c r="BX23" s="73"/>
      <c r="BY23" s="226"/>
      <c r="BZ23" s="226" t="s">
        <v>51</v>
      </c>
      <c r="CA23" s="227">
        <v>66528</v>
      </c>
      <c r="CB23" s="227">
        <v>68731</v>
      </c>
      <c r="CC23" s="225">
        <f t="shared" ref="CC23:CC32" si="62">((CB23-CA23)/CA23)*100</f>
        <v>3.3113876863876865</v>
      </c>
      <c r="CD23" s="227">
        <v>61246</v>
      </c>
      <c r="CE23" s="227">
        <v>68731</v>
      </c>
      <c r="CF23" s="225">
        <f t="shared" ref="CF23:CF32" si="63">(CE23-CD23)/CD23*100</f>
        <v>12.221206282859288</v>
      </c>
      <c r="CG23" s="73"/>
      <c r="CH23" s="226"/>
      <c r="CI23" s="226" t="s">
        <v>51</v>
      </c>
      <c r="CJ23" s="227">
        <f>ต.ค.!CI23</f>
        <v>59546</v>
      </c>
      <c r="CK23" s="227" t="e">
        <f t="shared" si="44"/>
        <v>#REF!</v>
      </c>
      <c r="CL23" s="225" t="e">
        <f t="shared" ref="CL23:CL32" si="64">((CK23-CJ23)/CJ23)*100</f>
        <v>#REF!</v>
      </c>
      <c r="CM23" s="227" t="e">
        <f>#REF!</f>
        <v>#REF!</v>
      </c>
      <c r="CN23" s="227" t="e">
        <f>#REF!</f>
        <v>#REF!</v>
      </c>
      <c r="CO23" s="225" t="e">
        <f t="shared" ref="CO23:CO32" si="65">(CN23-CM23)/CM23*100</f>
        <v>#REF!</v>
      </c>
      <c r="CP23" s="73"/>
      <c r="CQ23" s="226"/>
      <c r="CR23" s="226" t="s">
        <v>51</v>
      </c>
      <c r="CS23" s="227">
        <v>79847</v>
      </c>
      <c r="CT23" s="227">
        <v>75669</v>
      </c>
      <c r="CU23" s="225">
        <f t="shared" ref="CU23:CU32" si="66">((CT23-CS23)/CS23)*100</f>
        <v>-5.2325071699625534</v>
      </c>
      <c r="CV23" s="227">
        <v>112423</v>
      </c>
      <c r="CW23" s="227">
        <v>75669</v>
      </c>
      <c r="CX23" s="225">
        <f t="shared" ref="CX23:CX32" si="67">((CW23-CV23)/CV23)*100</f>
        <v>-32.692598489632907</v>
      </c>
      <c r="CY23" s="73"/>
      <c r="CZ23" s="168"/>
      <c r="DA23" s="168" t="s">
        <v>51</v>
      </c>
      <c r="DB23" s="169">
        <v>110050</v>
      </c>
      <c r="DC23" s="169">
        <v>112423</v>
      </c>
      <c r="DD23" s="167">
        <f t="shared" ref="DD23:DD32" si="68">((DC23-DB23)/DB23)*100</f>
        <v>2.156292594275329</v>
      </c>
      <c r="DE23" s="169">
        <v>10094</v>
      </c>
      <c r="DF23" s="169">
        <v>112423</v>
      </c>
      <c r="DG23" s="167">
        <f t="shared" ref="DG23:DG32" si="69">((DF23-DE23)/DE23)*100</f>
        <v>1013.7606498910245</v>
      </c>
      <c r="DH23" s="73"/>
      <c r="DI23" s="152"/>
      <c r="DJ23" s="152" t="s">
        <v>51</v>
      </c>
      <c r="DK23" s="148">
        <v>16965</v>
      </c>
      <c r="DL23" s="148">
        <v>10094</v>
      </c>
      <c r="DM23" s="151">
        <f t="shared" ref="DM23:DM32" si="70">((DL23-DK23)/DK23)*100</f>
        <v>-40.501031535514294</v>
      </c>
      <c r="DN23" s="148">
        <v>57536</v>
      </c>
      <c r="DO23" s="148">
        <v>10094</v>
      </c>
      <c r="DP23" s="151">
        <f t="shared" ref="DP23:DP32" si="71">((DO23-DN23)/DN23)*100</f>
        <v>-82.456201334816456</v>
      </c>
      <c r="DQ23" s="73"/>
      <c r="DR23" s="89"/>
      <c r="DS23" s="89" t="s">
        <v>51</v>
      </c>
      <c r="DT23" s="90">
        <v>54410</v>
      </c>
      <c r="DU23" s="90">
        <f>6636+29945+13449+4420+2632+243+211</f>
        <v>57536</v>
      </c>
      <c r="DV23" s="129">
        <f t="shared" ref="DV23:DV32" si="72">((DU23-DT23)/DT23)*100</f>
        <v>5.7452674140782944</v>
      </c>
      <c r="DW23" s="90">
        <v>36534</v>
      </c>
      <c r="DX23" s="90">
        <f>6636+29945+13449+4420+2632+243+211</f>
        <v>57536</v>
      </c>
      <c r="DY23" s="129">
        <f t="shared" ref="DY23:DY32" si="73">((DX23-DW23)/DW23)*100</f>
        <v>57.486177259539062</v>
      </c>
      <c r="DZ23" s="130"/>
      <c r="EA23" s="42"/>
      <c r="EB23" s="42" t="s">
        <v>51</v>
      </c>
      <c r="EC23" s="43">
        <v>34002</v>
      </c>
      <c r="ED23" s="43">
        <v>36534</v>
      </c>
      <c r="EE23" s="44">
        <f t="shared" ref="EE23:EE32" si="74">((ED23-EC23)/EC23)*100</f>
        <v>7.4466207870125283</v>
      </c>
      <c r="EF23" s="43">
        <v>33975</v>
      </c>
      <c r="EG23" s="42">
        <v>36534</v>
      </c>
      <c r="EH23" s="44">
        <f t="shared" ref="EH23:EH32" si="75">((EG23-EF23)/EF23)*100</f>
        <v>7.5320088300220744</v>
      </c>
      <c r="EI23" s="61"/>
      <c r="EJ23" s="89"/>
      <c r="EK23" s="89" t="s">
        <v>51</v>
      </c>
      <c r="EL23" s="90">
        <v>34551</v>
      </c>
      <c r="EM23" s="90">
        <v>33975</v>
      </c>
      <c r="EN23" s="91">
        <f t="shared" ref="EN23:EN32" si="76">((EM23-EL23)/EL23)*100</f>
        <v>-1.6671008075019538</v>
      </c>
      <c r="EO23" s="92">
        <v>28618</v>
      </c>
      <c r="EP23" s="90">
        <v>33975</v>
      </c>
      <c r="EQ23" s="91">
        <f t="shared" ref="EQ23:EQ31" si="77">((EP23-EO23)/EO23)*100</f>
        <v>18.71898804947935</v>
      </c>
      <c r="ER23" s="61"/>
      <c r="ES23" s="42"/>
      <c r="ET23" s="42" t="s">
        <v>51</v>
      </c>
      <c r="EU23" s="43">
        <f>13404+7214+4247+4097+59+157</f>
        <v>29178</v>
      </c>
      <c r="EV23" s="43">
        <v>28618</v>
      </c>
      <c r="EW23" s="44">
        <f t="shared" si="45"/>
        <v>-1.9192542326410309</v>
      </c>
      <c r="EX23" s="45">
        <v>25283</v>
      </c>
      <c r="EY23" s="43">
        <v>28618</v>
      </c>
      <c r="EZ23" s="44">
        <f t="shared" si="46"/>
        <v>13.190681485583196</v>
      </c>
      <c r="FA23" s="61"/>
    </row>
    <row r="24" spans="1:157" x14ac:dyDescent="0.5">
      <c r="A24" s="226"/>
      <c r="B24" s="226" t="s">
        <v>52</v>
      </c>
      <c r="C24" s="227">
        <v>78386</v>
      </c>
      <c r="D24" s="227">
        <v>76022</v>
      </c>
      <c r="E24" s="225">
        <f t="shared" si="47"/>
        <v>-3.0158446661393614</v>
      </c>
      <c r="F24" s="227">
        <v>70823</v>
      </c>
      <c r="G24" s="227">
        <v>76022</v>
      </c>
      <c r="H24" s="225">
        <f t="shared" si="41"/>
        <v>7.340835604252856</v>
      </c>
      <c r="I24" s="226"/>
      <c r="J24" s="226" t="s">
        <v>52</v>
      </c>
      <c r="K24" s="227">
        <v>70514</v>
      </c>
      <c r="L24" s="227">
        <v>70823</v>
      </c>
      <c r="M24" s="225">
        <f t="shared" si="48"/>
        <v>0.43821085174575264</v>
      </c>
      <c r="N24" s="227">
        <v>99234</v>
      </c>
      <c r="O24" s="227">
        <v>70823</v>
      </c>
      <c r="P24" s="225">
        <f t="shared" si="42"/>
        <v>-28.630308160509504</v>
      </c>
      <c r="Q24" s="226"/>
      <c r="R24" s="226" t="s">
        <v>52</v>
      </c>
      <c r="S24" s="227">
        <v>97702</v>
      </c>
      <c r="T24" s="227">
        <v>99234</v>
      </c>
      <c r="U24" s="225">
        <f t="shared" si="49"/>
        <v>1.5680334077091562</v>
      </c>
      <c r="V24" s="227">
        <v>116794</v>
      </c>
      <c r="W24" s="227">
        <v>99234</v>
      </c>
      <c r="X24" s="225">
        <f t="shared" si="43"/>
        <v>-15.035018922204907</v>
      </c>
      <c r="Y24" s="226"/>
      <c r="Z24" s="226" t="s">
        <v>52</v>
      </c>
      <c r="AA24" s="227">
        <v>108003</v>
      </c>
      <c r="AB24" s="227">
        <v>116794</v>
      </c>
      <c r="AC24" s="225">
        <f t="shared" si="50"/>
        <v>8.1395887151282835</v>
      </c>
      <c r="AD24" s="227">
        <v>105197</v>
      </c>
      <c r="AE24" s="227">
        <v>116794</v>
      </c>
      <c r="AF24" s="225">
        <f t="shared" si="51"/>
        <v>11.024078633421105</v>
      </c>
      <c r="AG24" s="226"/>
      <c r="AH24" s="226" t="s">
        <v>52</v>
      </c>
      <c r="AI24" s="227">
        <v>94840</v>
      </c>
      <c r="AJ24" s="227">
        <v>105197</v>
      </c>
      <c r="AK24" s="225">
        <f t="shared" si="52"/>
        <v>10.920497680303669</v>
      </c>
      <c r="AL24" s="227">
        <v>103153</v>
      </c>
      <c r="AM24" s="227">
        <v>105197</v>
      </c>
      <c r="AN24" s="225">
        <f t="shared" si="53"/>
        <v>1.9815225926536311</v>
      </c>
      <c r="AP24" s="226"/>
      <c r="AQ24" s="226" t="s">
        <v>52</v>
      </c>
      <c r="AR24" s="227">
        <v>87760</v>
      </c>
      <c r="AS24" s="227">
        <v>103153</v>
      </c>
      <c r="AT24" s="225">
        <f t="shared" si="54"/>
        <v>17.539881494986325</v>
      </c>
      <c r="AU24" s="227">
        <v>90761</v>
      </c>
      <c r="AV24" s="227">
        <v>103153</v>
      </c>
      <c r="AW24" s="225">
        <f t="shared" si="55"/>
        <v>13.65344145613204</v>
      </c>
      <c r="AX24" s="73"/>
      <c r="AY24" s="226"/>
      <c r="AZ24" s="226" t="s">
        <v>52</v>
      </c>
      <c r="BA24" s="227">
        <v>88532</v>
      </c>
      <c r="BB24" s="227">
        <v>90761</v>
      </c>
      <c r="BC24" s="225">
        <f t="shared" si="56"/>
        <v>2.5177337008087473</v>
      </c>
      <c r="BD24" s="227">
        <v>115545</v>
      </c>
      <c r="BE24" s="227">
        <v>90761</v>
      </c>
      <c r="BF24" s="225">
        <f t="shared" si="57"/>
        <v>-21.449651650871953</v>
      </c>
      <c r="BG24" s="73"/>
      <c r="BH24" s="226" t="s">
        <v>52</v>
      </c>
      <c r="BI24" s="227">
        <v>117539</v>
      </c>
      <c r="BJ24" s="227">
        <v>115545</v>
      </c>
      <c r="BK24" s="225">
        <f t="shared" si="58"/>
        <v>-1.6964581968538104</v>
      </c>
      <c r="BL24" s="227">
        <v>107608</v>
      </c>
      <c r="BM24" s="227">
        <v>115545</v>
      </c>
      <c r="BN24" s="225">
        <f t="shared" si="59"/>
        <v>7.3758456620325621</v>
      </c>
      <c r="BO24" s="73"/>
      <c r="BP24" s="226"/>
      <c r="BQ24" s="226" t="s">
        <v>52</v>
      </c>
      <c r="BR24" s="227">
        <v>90310</v>
      </c>
      <c r="BS24" s="227">
        <v>107608</v>
      </c>
      <c r="BT24" s="225">
        <f t="shared" si="60"/>
        <v>19.154025024914183</v>
      </c>
      <c r="BU24" s="227">
        <v>98274</v>
      </c>
      <c r="BV24" s="227">
        <v>107608</v>
      </c>
      <c r="BW24" s="225">
        <f t="shared" si="61"/>
        <v>9.4979343468262201</v>
      </c>
      <c r="BX24" s="73"/>
      <c r="BY24" s="226"/>
      <c r="BZ24" s="226" t="s">
        <v>52</v>
      </c>
      <c r="CA24" s="227">
        <v>90982</v>
      </c>
      <c r="CB24" s="227">
        <v>98274</v>
      </c>
      <c r="CC24" s="225">
        <f t="shared" si="62"/>
        <v>8.0147721527335083</v>
      </c>
      <c r="CD24" s="227">
        <v>98943</v>
      </c>
      <c r="CE24" s="227">
        <v>98274</v>
      </c>
      <c r="CF24" s="225">
        <f t="shared" si="63"/>
        <v>-0.67614687244170879</v>
      </c>
      <c r="CG24" s="73"/>
      <c r="CH24" s="226"/>
      <c r="CI24" s="226" t="s">
        <v>52</v>
      </c>
      <c r="CJ24" s="227">
        <f>ต.ค.!CI24</f>
        <v>102958</v>
      </c>
      <c r="CK24" s="227" t="e">
        <f t="shared" si="44"/>
        <v>#REF!</v>
      </c>
      <c r="CL24" s="225" t="e">
        <f t="shared" si="64"/>
        <v>#REF!</v>
      </c>
      <c r="CM24" s="227" t="e">
        <f>#REF!</f>
        <v>#REF!</v>
      </c>
      <c r="CN24" s="227" t="e">
        <f>#REF!</f>
        <v>#REF!</v>
      </c>
      <c r="CO24" s="225" t="e">
        <f t="shared" si="65"/>
        <v>#REF!</v>
      </c>
      <c r="CP24" s="73"/>
      <c r="CQ24" s="226"/>
      <c r="CR24" s="226" t="s">
        <v>52</v>
      </c>
      <c r="CS24" s="227">
        <v>101946</v>
      </c>
      <c r="CT24" s="227">
        <v>103847</v>
      </c>
      <c r="CU24" s="225">
        <f t="shared" si="66"/>
        <v>1.8647126910325076</v>
      </c>
      <c r="CV24" s="227">
        <v>139536</v>
      </c>
      <c r="CW24" s="227">
        <v>103847</v>
      </c>
      <c r="CX24" s="225">
        <f t="shared" si="67"/>
        <v>-25.576912051370254</v>
      </c>
      <c r="CY24" s="73"/>
      <c r="CZ24" s="168"/>
      <c r="DA24" s="168" t="s">
        <v>52</v>
      </c>
      <c r="DB24" s="169">
        <v>137788</v>
      </c>
      <c r="DC24" s="169">
        <v>139536</v>
      </c>
      <c r="DD24" s="167">
        <f t="shared" si="68"/>
        <v>1.2686155543298401</v>
      </c>
      <c r="DE24" s="169">
        <v>12574</v>
      </c>
      <c r="DF24" s="169">
        <v>139536</v>
      </c>
      <c r="DG24" s="167">
        <f t="shared" si="69"/>
        <v>1009.7184666772705</v>
      </c>
      <c r="DH24" s="73"/>
      <c r="DI24" s="152"/>
      <c r="DJ24" s="152" t="s">
        <v>52</v>
      </c>
      <c r="DK24" s="148">
        <v>31297</v>
      </c>
      <c r="DL24" s="148">
        <v>12574</v>
      </c>
      <c r="DM24" s="151">
        <f t="shared" si="70"/>
        <v>-59.823625267597535</v>
      </c>
      <c r="DN24" s="148">
        <v>97608</v>
      </c>
      <c r="DO24" s="148">
        <v>12574</v>
      </c>
      <c r="DP24" s="151">
        <f t="shared" si="71"/>
        <v>-87.117859191869513</v>
      </c>
      <c r="DQ24" s="73"/>
      <c r="DR24" s="89"/>
      <c r="DS24" s="89" t="s">
        <v>52</v>
      </c>
      <c r="DT24" s="90">
        <v>95697</v>
      </c>
      <c r="DU24" s="90">
        <f>8423+40159+48138</f>
        <v>96720</v>
      </c>
      <c r="DV24" s="129">
        <f t="shared" si="72"/>
        <v>1.0689990281827018</v>
      </c>
      <c r="DW24" s="90">
        <v>82741</v>
      </c>
      <c r="DX24" s="90">
        <f>8423+40159+48138</f>
        <v>96720</v>
      </c>
      <c r="DY24" s="129">
        <f t="shared" si="73"/>
        <v>16.89488887008859</v>
      </c>
      <c r="DZ24" s="130"/>
      <c r="EA24" s="42"/>
      <c r="EB24" s="42" t="s">
        <v>52</v>
      </c>
      <c r="EC24" s="43">
        <v>79322</v>
      </c>
      <c r="ED24" s="43">
        <v>82741</v>
      </c>
      <c r="EE24" s="44">
        <f t="shared" si="74"/>
        <v>4.3102796197776154</v>
      </c>
      <c r="EF24" s="43">
        <v>80750</v>
      </c>
      <c r="EG24" s="42">
        <v>82741</v>
      </c>
      <c r="EH24" s="44">
        <f t="shared" si="75"/>
        <v>2.4656346749226006</v>
      </c>
      <c r="EI24" s="61"/>
      <c r="EJ24" s="89"/>
      <c r="EK24" s="89" t="s">
        <v>52</v>
      </c>
      <c r="EL24" s="90">
        <v>88809</v>
      </c>
      <c r="EM24" s="90">
        <v>80750</v>
      </c>
      <c r="EN24" s="91">
        <f t="shared" si="76"/>
        <v>-9.07453073449763</v>
      </c>
      <c r="EO24" s="92">
        <v>94309</v>
      </c>
      <c r="EP24" s="90">
        <v>80750</v>
      </c>
      <c r="EQ24" s="91">
        <f t="shared" si="77"/>
        <v>-14.377206841340698</v>
      </c>
      <c r="ER24" s="61"/>
      <c r="ES24" s="42"/>
      <c r="ET24" s="42" t="s">
        <v>52</v>
      </c>
      <c r="EU24" s="43">
        <f>3801+40800+47921</f>
        <v>92522</v>
      </c>
      <c r="EV24" s="43">
        <v>94309</v>
      </c>
      <c r="EW24" s="44">
        <f t="shared" si="45"/>
        <v>1.9314325241564168</v>
      </c>
      <c r="EX24" s="45">
        <v>74210</v>
      </c>
      <c r="EY24" s="43">
        <v>94309</v>
      </c>
      <c r="EZ24" s="44">
        <f t="shared" si="46"/>
        <v>27.083950950006734</v>
      </c>
      <c r="FA24" s="61"/>
    </row>
    <row r="25" spans="1:157" x14ac:dyDescent="0.5">
      <c r="A25" s="226"/>
      <c r="B25" s="226" t="s">
        <v>53</v>
      </c>
      <c r="C25" s="227">
        <v>2251</v>
      </c>
      <c r="D25" s="227">
        <f>D22-D23-D24</f>
        <v>2194</v>
      </c>
      <c r="E25" s="225">
        <f t="shared" si="47"/>
        <v>-2.5322079075966237</v>
      </c>
      <c r="F25" s="227">
        <v>1846</v>
      </c>
      <c r="G25" s="227">
        <v>2194</v>
      </c>
      <c r="H25" s="225">
        <f t="shared" si="41"/>
        <v>18.851570964247021</v>
      </c>
      <c r="I25" s="226"/>
      <c r="J25" s="226" t="s">
        <v>53</v>
      </c>
      <c r="K25" s="227">
        <v>1636</v>
      </c>
      <c r="L25" s="227">
        <v>1846</v>
      </c>
      <c r="M25" s="225">
        <f t="shared" si="48"/>
        <v>12.836185819070906</v>
      </c>
      <c r="N25" s="227">
        <v>4571</v>
      </c>
      <c r="O25" s="227">
        <v>1846</v>
      </c>
      <c r="P25" s="225">
        <f t="shared" si="42"/>
        <v>-59.614963902865895</v>
      </c>
      <c r="Q25" s="226"/>
      <c r="R25" s="226" t="s">
        <v>53</v>
      </c>
      <c r="S25" s="227">
        <v>4558</v>
      </c>
      <c r="T25" s="227">
        <v>4571</v>
      </c>
      <c r="U25" s="225">
        <f t="shared" si="49"/>
        <v>0.28521281263712156</v>
      </c>
      <c r="V25" s="227">
        <v>4301</v>
      </c>
      <c r="W25" s="227">
        <v>4571</v>
      </c>
      <c r="X25" s="225">
        <f t="shared" si="43"/>
        <v>6.2776098581725188</v>
      </c>
      <c r="Y25" s="226"/>
      <c r="Z25" s="226" t="s">
        <v>53</v>
      </c>
      <c r="AA25" s="227">
        <v>4040</v>
      </c>
      <c r="AB25" s="227">
        <v>4301</v>
      </c>
      <c r="AC25" s="225">
        <f t="shared" si="50"/>
        <v>6.4603960396039604</v>
      </c>
      <c r="AD25" s="227">
        <v>4584</v>
      </c>
      <c r="AE25" s="227">
        <v>4301</v>
      </c>
      <c r="AF25" s="225">
        <f t="shared" si="51"/>
        <v>-6.173647469458988</v>
      </c>
      <c r="AG25" s="226"/>
      <c r="AH25" s="226" t="s">
        <v>53</v>
      </c>
      <c r="AI25" s="227">
        <v>3928</v>
      </c>
      <c r="AJ25" s="227">
        <v>4584</v>
      </c>
      <c r="AK25" s="225">
        <f t="shared" si="52"/>
        <v>16.700610997963338</v>
      </c>
      <c r="AL25" s="227">
        <v>3562</v>
      </c>
      <c r="AM25" s="227">
        <v>4584</v>
      </c>
      <c r="AN25" s="225">
        <f t="shared" si="53"/>
        <v>28.691746209994385</v>
      </c>
      <c r="AP25" s="226"/>
      <c r="AQ25" s="226" t="s">
        <v>53</v>
      </c>
      <c r="AR25" s="227">
        <v>3409</v>
      </c>
      <c r="AS25" s="227">
        <v>3562</v>
      </c>
      <c r="AT25" s="225">
        <f t="shared" si="54"/>
        <v>4.4881196831915524</v>
      </c>
      <c r="AU25" s="227">
        <v>3250</v>
      </c>
      <c r="AV25" s="227">
        <v>3562</v>
      </c>
      <c r="AW25" s="225">
        <f t="shared" si="55"/>
        <v>9.6</v>
      </c>
      <c r="AX25" s="73"/>
      <c r="AY25" s="226"/>
      <c r="AZ25" s="226" t="s">
        <v>53</v>
      </c>
      <c r="BA25" s="227">
        <v>3448</v>
      </c>
      <c r="BB25" s="227">
        <v>3250</v>
      </c>
      <c r="BC25" s="225">
        <f t="shared" si="56"/>
        <v>-5.7424593967517401</v>
      </c>
      <c r="BD25" s="227">
        <v>3576</v>
      </c>
      <c r="BE25" s="227">
        <v>3250</v>
      </c>
      <c r="BF25" s="225">
        <f t="shared" si="57"/>
        <v>-9.116331096196868</v>
      </c>
      <c r="BG25" s="73"/>
      <c r="BH25" s="226" t="s">
        <v>53</v>
      </c>
      <c r="BI25" s="227">
        <v>3507</v>
      </c>
      <c r="BJ25" s="227">
        <v>3576</v>
      </c>
      <c r="BK25" s="225">
        <f t="shared" si="58"/>
        <v>1.9674935842600514</v>
      </c>
      <c r="BL25" s="227">
        <v>3849</v>
      </c>
      <c r="BM25" s="227">
        <v>3576</v>
      </c>
      <c r="BN25" s="225">
        <f t="shared" si="59"/>
        <v>-7.0927513639906472</v>
      </c>
      <c r="BO25" s="73"/>
      <c r="BP25" s="226"/>
      <c r="BQ25" s="226" t="s">
        <v>53</v>
      </c>
      <c r="BR25" s="227">
        <v>3408</v>
      </c>
      <c r="BS25" s="227">
        <v>3849</v>
      </c>
      <c r="BT25" s="225">
        <f t="shared" si="60"/>
        <v>12.940140845070422</v>
      </c>
      <c r="BU25" s="227">
        <v>3779</v>
      </c>
      <c r="BV25" s="227">
        <v>3849</v>
      </c>
      <c r="BW25" s="225">
        <f t="shared" si="61"/>
        <v>1.8523418893887273</v>
      </c>
      <c r="BX25" s="73"/>
      <c r="BY25" s="226"/>
      <c r="BZ25" s="226" t="s">
        <v>53</v>
      </c>
      <c r="CA25" s="227">
        <v>3595</v>
      </c>
      <c r="CB25" s="227">
        <v>3779</v>
      </c>
      <c r="CC25" s="225">
        <f t="shared" si="62"/>
        <v>5.1182197496522948</v>
      </c>
      <c r="CD25" s="227">
        <v>2981</v>
      </c>
      <c r="CE25" s="227">
        <v>3779</v>
      </c>
      <c r="CF25" s="225">
        <f t="shared" si="63"/>
        <v>26.76954042267695</v>
      </c>
      <c r="CG25" s="73"/>
      <c r="CH25" s="226"/>
      <c r="CI25" s="226" t="s">
        <v>53</v>
      </c>
      <c r="CJ25" s="227">
        <f>ต.ค.!CI25</f>
        <v>2877</v>
      </c>
      <c r="CK25" s="227" t="e">
        <f t="shared" si="44"/>
        <v>#REF!</v>
      </c>
      <c r="CL25" s="225" t="e">
        <f t="shared" si="64"/>
        <v>#REF!</v>
      </c>
      <c r="CM25" s="227" t="e">
        <f>#REF!</f>
        <v>#REF!</v>
      </c>
      <c r="CN25" s="227" t="e">
        <f>#REF!</f>
        <v>#REF!</v>
      </c>
      <c r="CO25" s="225" t="e">
        <f t="shared" si="65"/>
        <v>#REF!</v>
      </c>
      <c r="CP25" s="73"/>
      <c r="CQ25" s="226"/>
      <c r="CR25" s="226" t="s">
        <v>53</v>
      </c>
      <c r="CS25" s="227">
        <v>3324</v>
      </c>
      <c r="CT25" s="227">
        <v>3302</v>
      </c>
      <c r="CU25" s="225">
        <f t="shared" si="66"/>
        <v>-0.66185318892900113</v>
      </c>
      <c r="CV25" s="227">
        <v>4622</v>
      </c>
      <c r="CW25" s="227">
        <v>3302</v>
      </c>
      <c r="CX25" s="225">
        <f t="shared" si="67"/>
        <v>-28.55906533967979</v>
      </c>
      <c r="CY25" s="73"/>
      <c r="CZ25" s="168"/>
      <c r="DA25" s="168" t="s">
        <v>53</v>
      </c>
      <c r="DB25" s="169">
        <v>4327</v>
      </c>
      <c r="DC25" s="169">
        <v>4622</v>
      </c>
      <c r="DD25" s="167">
        <f t="shared" si="68"/>
        <v>6.8176565749942224</v>
      </c>
      <c r="DE25" s="169">
        <v>1027</v>
      </c>
      <c r="DF25" s="169">
        <v>4622</v>
      </c>
      <c r="DG25" s="167">
        <f t="shared" si="69"/>
        <v>350.04868549172346</v>
      </c>
      <c r="DH25" s="73"/>
      <c r="DI25" s="152"/>
      <c r="DJ25" s="152" t="s">
        <v>53</v>
      </c>
      <c r="DK25" s="148">
        <v>1177</v>
      </c>
      <c r="DL25" s="148">
        <v>1027</v>
      </c>
      <c r="DM25" s="151">
        <f t="shared" si="70"/>
        <v>-12.74426508071368</v>
      </c>
      <c r="DN25" s="148">
        <v>2838</v>
      </c>
      <c r="DO25" s="148">
        <v>1027</v>
      </c>
      <c r="DP25" s="151">
        <f t="shared" si="71"/>
        <v>-63.812544045102179</v>
      </c>
      <c r="DQ25" s="73"/>
      <c r="DR25" s="89"/>
      <c r="DS25" s="89" t="s">
        <v>53</v>
      </c>
      <c r="DT25" s="90">
        <v>2582</v>
      </c>
      <c r="DU25" s="90">
        <f>85+852+701+1200</f>
        <v>2838</v>
      </c>
      <c r="DV25" s="129">
        <f t="shared" si="72"/>
        <v>9.9147947327652997</v>
      </c>
      <c r="DW25" s="90">
        <v>1710</v>
      </c>
      <c r="DX25" s="90">
        <f>85+852+701+1200</f>
        <v>2838</v>
      </c>
      <c r="DY25" s="129">
        <f t="shared" si="73"/>
        <v>65.964912280701753</v>
      </c>
      <c r="DZ25" s="130"/>
      <c r="EA25" s="42"/>
      <c r="EB25" s="42" t="s">
        <v>53</v>
      </c>
      <c r="EC25" s="43">
        <v>1719</v>
      </c>
      <c r="ED25" s="43">
        <v>1710</v>
      </c>
      <c r="EE25" s="44">
        <f t="shared" si="74"/>
        <v>-0.52356020942408377</v>
      </c>
      <c r="EF25" s="43">
        <v>1316</v>
      </c>
      <c r="EG25" s="42">
        <v>1710</v>
      </c>
      <c r="EH25" s="44">
        <f t="shared" si="75"/>
        <v>29.939209726443771</v>
      </c>
      <c r="EI25" s="61"/>
      <c r="EJ25" s="89"/>
      <c r="EK25" s="89" t="s">
        <v>53</v>
      </c>
      <c r="EL25" s="90">
        <v>1296</v>
      </c>
      <c r="EM25" s="90">
        <v>1327</v>
      </c>
      <c r="EN25" s="91">
        <f t="shared" si="76"/>
        <v>2.3919753086419751</v>
      </c>
      <c r="EO25" s="92">
        <v>2144</v>
      </c>
      <c r="EP25" s="90">
        <v>1327</v>
      </c>
      <c r="EQ25" s="91">
        <f t="shared" si="77"/>
        <v>-38.106343283582092</v>
      </c>
      <c r="ER25" s="61"/>
      <c r="ES25" s="42"/>
      <c r="ET25" s="42" t="s">
        <v>53</v>
      </c>
      <c r="EU25" s="43">
        <f>62+663+704+716</f>
        <v>2145</v>
      </c>
      <c r="EV25" s="43">
        <v>2144</v>
      </c>
      <c r="EW25" s="44">
        <f t="shared" si="45"/>
        <v>-4.6620046620046623E-2</v>
      </c>
      <c r="EX25" s="45">
        <v>1624</v>
      </c>
      <c r="EY25" s="43">
        <v>2144</v>
      </c>
      <c r="EZ25" s="44">
        <f t="shared" si="46"/>
        <v>32.019704433497537</v>
      </c>
      <c r="FA25" s="61"/>
    </row>
    <row r="26" spans="1:157" x14ac:dyDescent="0.5">
      <c r="A26" s="224" t="s">
        <v>1</v>
      </c>
      <c r="B26" s="224"/>
      <c r="C26" s="238">
        <v>47032</v>
      </c>
      <c r="D26" s="238">
        <v>51044</v>
      </c>
      <c r="E26" s="225">
        <f t="shared" si="47"/>
        <v>8.5303623065147125</v>
      </c>
      <c r="F26" s="238">
        <v>42309</v>
      </c>
      <c r="G26" s="238">
        <v>51044</v>
      </c>
      <c r="H26" s="225">
        <f t="shared" si="41"/>
        <v>20.645725495757404</v>
      </c>
      <c r="I26" s="224" t="s">
        <v>1</v>
      </c>
      <c r="J26" s="224"/>
      <c r="K26" s="238">
        <v>37691</v>
      </c>
      <c r="L26" s="238">
        <v>42309</v>
      </c>
      <c r="M26" s="225">
        <f t="shared" si="48"/>
        <v>12.252261813164948</v>
      </c>
      <c r="N26" s="238">
        <v>61621</v>
      </c>
      <c r="O26" s="238">
        <v>42309</v>
      </c>
      <c r="P26" s="225">
        <f t="shared" si="42"/>
        <v>-31.339965271579494</v>
      </c>
      <c r="Q26" s="224" t="s">
        <v>1</v>
      </c>
      <c r="R26" s="224"/>
      <c r="S26" s="238">
        <v>58963</v>
      </c>
      <c r="T26" s="238">
        <v>61621</v>
      </c>
      <c r="U26" s="225">
        <f t="shared" si="49"/>
        <v>4.5079117412614691</v>
      </c>
      <c r="V26" s="238">
        <v>68284</v>
      </c>
      <c r="W26" s="238">
        <v>61621</v>
      </c>
      <c r="X26" s="225">
        <f t="shared" si="43"/>
        <v>-9.7577763458496865</v>
      </c>
      <c r="Y26" s="224" t="s">
        <v>1</v>
      </c>
      <c r="Z26" s="224"/>
      <c r="AA26" s="238">
        <v>64618</v>
      </c>
      <c r="AB26" s="238">
        <v>68284</v>
      </c>
      <c r="AC26" s="225">
        <f t="shared" si="50"/>
        <v>5.6733417933083663</v>
      </c>
      <c r="AD26" s="238">
        <v>71716</v>
      </c>
      <c r="AE26" s="238">
        <v>68284</v>
      </c>
      <c r="AF26" s="225">
        <f t="shared" si="51"/>
        <v>-4.7855429750683252</v>
      </c>
      <c r="AG26" s="224" t="s">
        <v>1</v>
      </c>
      <c r="AH26" s="224"/>
      <c r="AI26" s="238">
        <v>64462</v>
      </c>
      <c r="AJ26" s="238">
        <v>71716</v>
      </c>
      <c r="AK26" s="225">
        <f t="shared" si="52"/>
        <v>11.253141385622538</v>
      </c>
      <c r="AL26" s="238">
        <v>79177</v>
      </c>
      <c r="AM26" s="238">
        <v>71716</v>
      </c>
      <c r="AN26" s="225">
        <f t="shared" si="53"/>
        <v>-9.42319107821716</v>
      </c>
      <c r="AP26" s="224" t="s">
        <v>1</v>
      </c>
      <c r="AQ26" s="224"/>
      <c r="AR26" s="238">
        <v>74115</v>
      </c>
      <c r="AS26" s="238">
        <v>79177</v>
      </c>
      <c r="AT26" s="225">
        <f t="shared" si="54"/>
        <v>6.8299264656277403</v>
      </c>
      <c r="AU26" s="238">
        <f>79299-2230</f>
        <v>77069</v>
      </c>
      <c r="AV26" s="238">
        <v>79177</v>
      </c>
      <c r="AW26" s="225">
        <f t="shared" si="55"/>
        <v>2.735211304156016</v>
      </c>
      <c r="AX26" s="73"/>
      <c r="AY26" s="224" t="s">
        <v>1</v>
      </c>
      <c r="AZ26" s="224"/>
      <c r="BA26" s="238">
        <v>77121</v>
      </c>
      <c r="BB26" s="238">
        <v>79299</v>
      </c>
      <c r="BC26" s="225">
        <f t="shared" si="56"/>
        <v>2.8241335044929397</v>
      </c>
      <c r="BD26" s="238">
        <v>94643</v>
      </c>
      <c r="BE26" s="238">
        <v>79299</v>
      </c>
      <c r="BF26" s="225">
        <f t="shared" si="57"/>
        <v>-16.212503830182897</v>
      </c>
      <c r="BG26" s="73"/>
      <c r="BH26" s="224"/>
      <c r="BI26" s="238">
        <v>86931</v>
      </c>
      <c r="BJ26" s="238">
        <v>94643</v>
      </c>
      <c r="BK26" s="225">
        <f t="shared" si="58"/>
        <v>8.87140375700268</v>
      </c>
      <c r="BL26" s="238">
        <v>78082</v>
      </c>
      <c r="BM26" s="238">
        <v>94643</v>
      </c>
      <c r="BN26" s="225">
        <f t="shared" si="59"/>
        <v>21.209753848518226</v>
      </c>
      <c r="BO26" s="73"/>
      <c r="BP26" s="224" t="s">
        <v>1</v>
      </c>
      <c r="BQ26" s="224"/>
      <c r="BR26" s="238">
        <v>68551</v>
      </c>
      <c r="BS26" s="238">
        <v>78082</v>
      </c>
      <c r="BT26" s="225">
        <f t="shared" si="60"/>
        <v>13.903517089466236</v>
      </c>
      <c r="BU26" s="238">
        <v>64771</v>
      </c>
      <c r="BV26" s="238">
        <v>78082</v>
      </c>
      <c r="BW26" s="225">
        <f t="shared" si="61"/>
        <v>20.550863812508684</v>
      </c>
      <c r="BX26" s="73"/>
      <c r="BY26" s="224" t="s">
        <v>1</v>
      </c>
      <c r="BZ26" s="224"/>
      <c r="CA26" s="238">
        <v>60634</v>
      </c>
      <c r="CB26" s="238">
        <v>64771</v>
      </c>
      <c r="CC26" s="225">
        <f t="shared" si="62"/>
        <v>6.822904640960517</v>
      </c>
      <c r="CD26" s="238">
        <v>76426</v>
      </c>
      <c r="CE26" s="238">
        <v>64771</v>
      </c>
      <c r="CF26" s="225">
        <f t="shared" si="63"/>
        <v>-15.250045795933321</v>
      </c>
      <c r="CG26" s="73"/>
      <c r="CH26" s="224" t="s">
        <v>1</v>
      </c>
      <c r="CI26" s="224"/>
      <c r="CJ26" s="238">
        <f>ต.ค.!CI26</f>
        <v>67910</v>
      </c>
      <c r="CK26" s="238" t="e">
        <f t="shared" si="44"/>
        <v>#REF!</v>
      </c>
      <c r="CL26" s="225" t="e">
        <f t="shared" si="64"/>
        <v>#REF!</v>
      </c>
      <c r="CM26" s="238" t="e">
        <f>#REF!</f>
        <v>#REF!</v>
      </c>
      <c r="CN26" s="238" t="e">
        <f>#REF!</f>
        <v>#REF!</v>
      </c>
      <c r="CO26" s="225" t="e">
        <f t="shared" si="65"/>
        <v>#REF!</v>
      </c>
      <c r="CP26" s="73"/>
      <c r="CQ26" s="224" t="s">
        <v>1</v>
      </c>
      <c r="CR26" s="224"/>
      <c r="CS26" s="238">
        <v>88633</v>
      </c>
      <c r="CT26" s="238">
        <f>SUM(CT27:CT30)</f>
        <v>93483</v>
      </c>
      <c r="CU26" s="225">
        <f t="shared" si="66"/>
        <v>5.4720025272753947</v>
      </c>
      <c r="CV26" s="238">
        <f>SUM(CV27:CV30)</f>
        <v>148243</v>
      </c>
      <c r="CW26" s="238">
        <v>93483</v>
      </c>
      <c r="CX26" s="225">
        <f t="shared" si="67"/>
        <v>-36.939349581430491</v>
      </c>
      <c r="CY26" s="73"/>
      <c r="CZ26" s="165" t="s">
        <v>1</v>
      </c>
      <c r="DA26" s="165"/>
      <c r="DB26" s="166">
        <f>SUM(DB27:DB30)</f>
        <v>134159</v>
      </c>
      <c r="DC26" s="166">
        <f>SUM(DC27:DC30)</f>
        <v>148243</v>
      </c>
      <c r="DD26" s="167">
        <f t="shared" si="68"/>
        <v>10.497991189558659</v>
      </c>
      <c r="DE26" s="166">
        <v>25664</v>
      </c>
      <c r="DF26" s="166">
        <f>SUM(DF27:DF30)</f>
        <v>148243</v>
      </c>
      <c r="DG26" s="167">
        <f t="shared" si="69"/>
        <v>477.63014339152124</v>
      </c>
      <c r="DH26" s="73"/>
      <c r="DI26" s="150" t="s">
        <v>1</v>
      </c>
      <c r="DJ26" s="150"/>
      <c r="DK26" s="147">
        <v>42873</v>
      </c>
      <c r="DL26" s="147">
        <f>SUM(DL27:DL30)</f>
        <v>25664</v>
      </c>
      <c r="DM26" s="151">
        <f t="shared" si="70"/>
        <v>-40.139481725095052</v>
      </c>
      <c r="DN26" s="147">
        <v>78874</v>
      </c>
      <c r="DO26" s="147">
        <v>25664</v>
      </c>
      <c r="DP26" s="151">
        <f t="shared" si="71"/>
        <v>-67.462028044729578</v>
      </c>
      <c r="DQ26" s="73"/>
      <c r="DR26" s="86" t="s">
        <v>1</v>
      </c>
      <c r="DS26" s="86"/>
      <c r="DT26" s="87">
        <f>SUM(DT27:DT30)</f>
        <v>72012</v>
      </c>
      <c r="DU26" s="87">
        <f>SUM(DU27:DU30)</f>
        <v>78874</v>
      </c>
      <c r="DV26" s="126">
        <f t="shared" si="72"/>
        <v>9.5289673943231676</v>
      </c>
      <c r="DW26" s="87">
        <f>SUM(DW27:DW30)</f>
        <v>58323</v>
      </c>
      <c r="DX26" s="87">
        <f>SUM(DX27:DX30)</f>
        <v>78874</v>
      </c>
      <c r="DY26" s="126">
        <f t="shared" si="73"/>
        <v>35.236527613462961</v>
      </c>
      <c r="DZ26" s="127"/>
      <c r="EA26" s="63" t="s">
        <v>1</v>
      </c>
      <c r="EB26" s="63"/>
      <c r="EC26" s="68">
        <v>53271</v>
      </c>
      <c r="ED26" s="68">
        <f>SUM(ED27:ED30)</f>
        <v>57031</v>
      </c>
      <c r="EE26" s="65">
        <f t="shared" si="74"/>
        <v>7.0582493289031563</v>
      </c>
      <c r="EF26" s="68">
        <v>46068</v>
      </c>
      <c r="EG26" s="42">
        <v>57031</v>
      </c>
      <c r="EH26" s="65">
        <f t="shared" si="75"/>
        <v>23.797429886255099</v>
      </c>
      <c r="EI26" s="73"/>
      <c r="EJ26" s="86" t="s">
        <v>1</v>
      </c>
      <c r="EK26" s="86"/>
      <c r="EL26" s="87">
        <f>SUM(EL27:EL30)</f>
        <v>48942</v>
      </c>
      <c r="EM26" s="87">
        <f>SUM(EM27:EM30)</f>
        <v>46068</v>
      </c>
      <c r="EN26" s="88">
        <f t="shared" si="76"/>
        <v>-5.8722569572146623</v>
      </c>
      <c r="EO26" s="87">
        <v>57719</v>
      </c>
      <c r="EP26" s="87">
        <v>46068</v>
      </c>
      <c r="EQ26" s="88">
        <f t="shared" si="77"/>
        <v>-20.185727403454667</v>
      </c>
      <c r="ER26" s="73"/>
      <c r="ES26" s="63" t="s">
        <v>1</v>
      </c>
      <c r="ET26" s="63"/>
      <c r="EU26" s="68">
        <f>SUM(EU27:EU30)</f>
        <v>57860</v>
      </c>
      <c r="EV26" s="68">
        <f>SUM(EV27:EV30)</f>
        <v>57719</v>
      </c>
      <c r="EW26" s="65">
        <f t="shared" si="45"/>
        <v>-0.24369166954718285</v>
      </c>
      <c r="EX26" s="68">
        <v>57800</v>
      </c>
      <c r="EY26" s="68">
        <f>SUM(EY27:EY30)</f>
        <v>57719</v>
      </c>
      <c r="EZ26" s="65">
        <f t="shared" si="46"/>
        <v>-0.14013840830449825</v>
      </c>
      <c r="FA26" s="73"/>
    </row>
    <row r="27" spans="1:157" x14ac:dyDescent="0.5">
      <c r="A27" s="226"/>
      <c r="B27" s="226" t="s">
        <v>51</v>
      </c>
      <c r="C27" s="227">
        <v>20464</v>
      </c>
      <c r="D27" s="227">
        <f>D26-D28-D29-D30</f>
        <v>19240</v>
      </c>
      <c r="E27" s="225">
        <f>((D27-C27)/C27)*100</f>
        <v>-5.9812353401094605</v>
      </c>
      <c r="F27" s="227">
        <v>17918</v>
      </c>
      <c r="G27" s="227">
        <v>19240</v>
      </c>
      <c r="H27" s="225">
        <f t="shared" si="41"/>
        <v>7.3780555865609996</v>
      </c>
      <c r="I27" s="226"/>
      <c r="J27" s="226" t="s">
        <v>51</v>
      </c>
      <c r="K27" s="227">
        <v>15447</v>
      </c>
      <c r="L27" s="227">
        <v>17918</v>
      </c>
      <c r="M27" s="225">
        <f>((L27-K27)/K27)*100</f>
        <v>15.996633650547032</v>
      </c>
      <c r="N27" s="227">
        <v>24567</v>
      </c>
      <c r="O27" s="227">
        <v>17918</v>
      </c>
      <c r="P27" s="225">
        <f t="shared" si="42"/>
        <v>-27.06476167216184</v>
      </c>
      <c r="Q27" s="226"/>
      <c r="R27" s="226" t="s">
        <v>51</v>
      </c>
      <c r="S27" s="227">
        <v>22130</v>
      </c>
      <c r="T27" s="227">
        <v>24567</v>
      </c>
      <c r="U27" s="225">
        <f t="shared" si="49"/>
        <v>11.012200632625396</v>
      </c>
      <c r="V27" s="227">
        <v>20263</v>
      </c>
      <c r="W27" s="227">
        <v>24567</v>
      </c>
      <c r="X27" s="225">
        <f t="shared" si="43"/>
        <v>21.240684992350587</v>
      </c>
      <c r="Y27" s="226"/>
      <c r="Z27" s="226" t="s">
        <v>51</v>
      </c>
      <c r="AA27" s="227">
        <v>19468</v>
      </c>
      <c r="AB27" s="227">
        <v>20263</v>
      </c>
      <c r="AC27" s="225">
        <f t="shared" si="50"/>
        <v>4.0836244092870349</v>
      </c>
      <c r="AD27" s="227">
        <v>23793</v>
      </c>
      <c r="AE27" s="227">
        <v>20263</v>
      </c>
      <c r="AF27" s="225">
        <f t="shared" si="51"/>
        <v>-14.836296389694448</v>
      </c>
      <c r="AG27" s="226"/>
      <c r="AH27" s="226" t="s">
        <v>51</v>
      </c>
      <c r="AI27" s="227">
        <v>19950</v>
      </c>
      <c r="AJ27" s="227">
        <v>23793</v>
      </c>
      <c r="AK27" s="225">
        <f t="shared" si="52"/>
        <v>19.263157894736842</v>
      </c>
      <c r="AL27" s="227">
        <v>25437</v>
      </c>
      <c r="AM27" s="227">
        <v>23793</v>
      </c>
      <c r="AN27" s="225">
        <f t="shared" si="53"/>
        <v>-6.4630263002712587</v>
      </c>
      <c r="AP27" s="226"/>
      <c r="AQ27" s="226" t="s">
        <v>51</v>
      </c>
      <c r="AR27" s="227">
        <v>22461</v>
      </c>
      <c r="AS27" s="227">
        <v>25437</v>
      </c>
      <c r="AT27" s="225">
        <f t="shared" si="54"/>
        <v>13.249632696674235</v>
      </c>
      <c r="AU27" s="227">
        <f>29646-2230</f>
        <v>27416</v>
      </c>
      <c r="AV27" s="227">
        <v>25437</v>
      </c>
      <c r="AW27" s="225">
        <f t="shared" si="55"/>
        <v>-7.2184126057776483</v>
      </c>
      <c r="AX27" s="73"/>
      <c r="AY27" s="226"/>
      <c r="AZ27" s="226" t="s">
        <v>51</v>
      </c>
      <c r="BA27" s="227">
        <v>30327</v>
      </c>
      <c r="BB27" s="227">
        <v>29646</v>
      </c>
      <c r="BC27" s="225">
        <f t="shared" si="56"/>
        <v>-2.2455237906815708</v>
      </c>
      <c r="BD27" s="227">
        <v>35446</v>
      </c>
      <c r="BE27" s="227">
        <v>29646</v>
      </c>
      <c r="BF27" s="225">
        <f t="shared" si="57"/>
        <v>-16.362918241832645</v>
      </c>
      <c r="BG27" s="73"/>
      <c r="BH27" s="226" t="s">
        <v>51</v>
      </c>
      <c r="BI27" s="227">
        <v>32805</v>
      </c>
      <c r="BJ27" s="227">
        <v>35446</v>
      </c>
      <c r="BK27" s="225">
        <f t="shared" si="58"/>
        <v>8.0506020423715885</v>
      </c>
      <c r="BL27" s="227">
        <v>31435</v>
      </c>
      <c r="BM27" s="227">
        <v>35446</v>
      </c>
      <c r="BN27" s="225">
        <f t="shared" si="59"/>
        <v>12.759662796246221</v>
      </c>
      <c r="BO27" s="73"/>
      <c r="BP27" s="226"/>
      <c r="BQ27" s="226" t="s">
        <v>51</v>
      </c>
      <c r="BR27" s="227">
        <v>28739</v>
      </c>
      <c r="BS27" s="227">
        <v>31435</v>
      </c>
      <c r="BT27" s="225">
        <f t="shared" si="60"/>
        <v>9.3809805490796485</v>
      </c>
      <c r="BU27" s="227">
        <v>23306</v>
      </c>
      <c r="BV27" s="227">
        <v>31435</v>
      </c>
      <c r="BW27" s="225">
        <f t="shared" si="61"/>
        <v>34.879430189650733</v>
      </c>
      <c r="BX27" s="73"/>
      <c r="BY27" s="226"/>
      <c r="BZ27" s="226" t="s">
        <v>51</v>
      </c>
      <c r="CA27" s="227">
        <v>23117</v>
      </c>
      <c r="CB27" s="227">
        <v>23306</v>
      </c>
      <c r="CC27" s="225">
        <f t="shared" si="62"/>
        <v>0.81758013583077394</v>
      </c>
      <c r="CD27" s="227">
        <v>25732</v>
      </c>
      <c r="CE27" s="227">
        <v>23306</v>
      </c>
      <c r="CF27" s="225">
        <f t="shared" si="63"/>
        <v>-9.4279496346960983</v>
      </c>
      <c r="CG27" s="73"/>
      <c r="CH27" s="226"/>
      <c r="CI27" s="226" t="s">
        <v>51</v>
      </c>
      <c r="CJ27" s="227">
        <f>ต.ค.!CI27</f>
        <v>24273</v>
      </c>
      <c r="CK27" s="227" t="e">
        <f t="shared" si="44"/>
        <v>#REF!</v>
      </c>
      <c r="CL27" s="225" t="e">
        <f t="shared" si="64"/>
        <v>#REF!</v>
      </c>
      <c r="CM27" s="227" t="e">
        <f>#REF!</f>
        <v>#REF!</v>
      </c>
      <c r="CN27" s="227" t="e">
        <f>#REF!</f>
        <v>#REF!</v>
      </c>
      <c r="CO27" s="225" t="e">
        <f t="shared" si="65"/>
        <v>#REF!</v>
      </c>
      <c r="CP27" s="73"/>
      <c r="CQ27" s="226"/>
      <c r="CR27" s="226" t="s">
        <v>51</v>
      </c>
      <c r="CS27" s="227">
        <v>41859</v>
      </c>
      <c r="CT27" s="227">
        <v>40439</v>
      </c>
      <c r="CU27" s="225">
        <f t="shared" si="66"/>
        <v>-3.3923409541556175</v>
      </c>
      <c r="CV27" s="227">
        <v>77743</v>
      </c>
      <c r="CW27" s="227">
        <v>40439</v>
      </c>
      <c r="CX27" s="225">
        <f t="shared" si="67"/>
        <v>-47.98374130146766</v>
      </c>
      <c r="CY27" s="73"/>
      <c r="CZ27" s="168"/>
      <c r="DA27" s="168" t="s">
        <v>51</v>
      </c>
      <c r="DB27" s="169">
        <v>67013</v>
      </c>
      <c r="DC27" s="169">
        <v>77743</v>
      </c>
      <c r="DD27" s="167">
        <f t="shared" si="68"/>
        <v>16.011818602360737</v>
      </c>
      <c r="DE27" s="169">
        <v>12746</v>
      </c>
      <c r="DF27" s="169">
        <v>77743</v>
      </c>
      <c r="DG27" s="167">
        <f t="shared" si="69"/>
        <v>509.94037345049429</v>
      </c>
      <c r="DH27" s="73"/>
      <c r="DI27" s="152"/>
      <c r="DJ27" s="152" t="s">
        <v>51</v>
      </c>
      <c r="DK27" s="148">
        <v>19852</v>
      </c>
      <c r="DL27" s="148">
        <v>12746</v>
      </c>
      <c r="DM27" s="151">
        <f t="shared" si="70"/>
        <v>-35.794882127745318</v>
      </c>
      <c r="DN27" s="148">
        <v>33594</v>
      </c>
      <c r="DO27" s="148">
        <v>12746</v>
      </c>
      <c r="DP27" s="151">
        <f t="shared" si="71"/>
        <v>-62.058700958504495</v>
      </c>
      <c r="DQ27" s="73"/>
      <c r="DR27" s="89"/>
      <c r="DS27" s="89" t="s">
        <v>51</v>
      </c>
      <c r="DT27" s="90">
        <v>32461</v>
      </c>
      <c r="DU27" s="90">
        <v>33594</v>
      </c>
      <c r="DV27" s="129">
        <f t="shared" si="72"/>
        <v>3.4903422568620805</v>
      </c>
      <c r="DW27" s="90">
        <v>24054</v>
      </c>
      <c r="DX27" s="90">
        <v>33594</v>
      </c>
      <c r="DY27" s="129">
        <f t="shared" si="73"/>
        <v>39.66076328261412</v>
      </c>
      <c r="DZ27" s="130"/>
      <c r="EA27" s="42"/>
      <c r="EB27" s="42" t="s">
        <v>51</v>
      </c>
      <c r="EC27" s="43">
        <v>22747</v>
      </c>
      <c r="ED27" s="43">
        <v>24054</v>
      </c>
      <c r="EE27" s="44">
        <f t="shared" si="74"/>
        <v>5.7458126346331388</v>
      </c>
      <c r="EF27" s="43">
        <v>18176</v>
      </c>
      <c r="EG27" s="42">
        <v>24054</v>
      </c>
      <c r="EH27" s="44">
        <f t="shared" si="75"/>
        <v>32.339348591549296</v>
      </c>
      <c r="EI27" s="61"/>
      <c r="EJ27" s="89"/>
      <c r="EK27" s="89" t="s">
        <v>51</v>
      </c>
      <c r="EL27" s="90">
        <v>18427</v>
      </c>
      <c r="EM27" s="90">
        <v>18176</v>
      </c>
      <c r="EN27" s="91">
        <f t="shared" si="76"/>
        <v>-1.3621316546372171</v>
      </c>
      <c r="EO27" s="92">
        <v>13645</v>
      </c>
      <c r="EP27" s="90">
        <v>18176</v>
      </c>
      <c r="EQ27" s="91">
        <f t="shared" si="77"/>
        <v>33.206302674972513</v>
      </c>
      <c r="ER27" s="61"/>
      <c r="ES27" s="42"/>
      <c r="ET27" s="42" t="s">
        <v>51</v>
      </c>
      <c r="EU27" s="43">
        <v>15299</v>
      </c>
      <c r="EV27" s="43">
        <v>13645</v>
      </c>
      <c r="EW27" s="44">
        <f t="shared" si="45"/>
        <v>-10.811164128374404</v>
      </c>
      <c r="EX27" s="45">
        <v>16040</v>
      </c>
      <c r="EY27" s="43">
        <v>13645</v>
      </c>
      <c r="EZ27" s="44">
        <f t="shared" si="46"/>
        <v>-14.931421446384041</v>
      </c>
      <c r="FA27" s="61"/>
    </row>
    <row r="28" spans="1:157" x14ac:dyDescent="0.5">
      <c r="A28" s="226"/>
      <c r="B28" s="226" t="s">
        <v>52</v>
      </c>
      <c r="C28" s="227">
        <v>10120</v>
      </c>
      <c r="D28" s="227">
        <v>11580</v>
      </c>
      <c r="E28" s="225">
        <f t="shared" ref="E28:E32" si="78">((D28-C28)/C28)*100</f>
        <v>14.426877470355731</v>
      </c>
      <c r="F28" s="227">
        <v>11481</v>
      </c>
      <c r="G28" s="227">
        <v>11580</v>
      </c>
      <c r="H28" s="225">
        <f t="shared" si="41"/>
        <v>0.86229422524170363</v>
      </c>
      <c r="I28" s="226"/>
      <c r="J28" s="226" t="s">
        <v>52</v>
      </c>
      <c r="K28" s="227">
        <v>10896</v>
      </c>
      <c r="L28" s="227">
        <v>11481</v>
      </c>
      <c r="M28" s="225">
        <f t="shared" si="48"/>
        <v>5.3689427312775333</v>
      </c>
      <c r="N28" s="227">
        <v>17853</v>
      </c>
      <c r="O28" s="227">
        <v>11481</v>
      </c>
      <c r="P28" s="225">
        <f t="shared" si="42"/>
        <v>-35.691480423458245</v>
      </c>
      <c r="Q28" s="226"/>
      <c r="R28" s="226" t="s">
        <v>52</v>
      </c>
      <c r="S28" s="227">
        <v>18673</v>
      </c>
      <c r="T28" s="227">
        <v>17853</v>
      </c>
      <c r="U28" s="225">
        <f t="shared" si="49"/>
        <v>-4.3913672146950145</v>
      </c>
      <c r="V28" s="227">
        <v>29182</v>
      </c>
      <c r="W28" s="227">
        <v>17853</v>
      </c>
      <c r="X28" s="225">
        <f t="shared" si="43"/>
        <v>-38.821876499211847</v>
      </c>
      <c r="Y28" s="226"/>
      <c r="Z28" s="226" t="s">
        <v>52</v>
      </c>
      <c r="AA28" s="227">
        <v>30086</v>
      </c>
      <c r="AB28" s="227">
        <v>29182</v>
      </c>
      <c r="AC28" s="225">
        <f t="shared" si="50"/>
        <v>-3.0047198032307385</v>
      </c>
      <c r="AD28" s="352">
        <v>33140</v>
      </c>
      <c r="AE28" s="227">
        <v>29182</v>
      </c>
      <c r="AF28" s="225">
        <f t="shared" si="51"/>
        <v>-11.943270971635487</v>
      </c>
      <c r="AG28" s="226"/>
      <c r="AH28" s="226" t="s">
        <v>52</v>
      </c>
      <c r="AI28" s="227">
        <v>31178</v>
      </c>
      <c r="AJ28" s="227">
        <v>33140</v>
      </c>
      <c r="AK28" s="225">
        <f t="shared" si="52"/>
        <v>6.2928988389248834</v>
      </c>
      <c r="AL28" s="352">
        <v>37445</v>
      </c>
      <c r="AM28" s="227">
        <v>33140</v>
      </c>
      <c r="AN28" s="225">
        <f t="shared" si="53"/>
        <v>-11.496862064361062</v>
      </c>
      <c r="AP28" s="226"/>
      <c r="AQ28" s="226" t="s">
        <v>52</v>
      </c>
      <c r="AR28" s="227">
        <v>36710</v>
      </c>
      <c r="AS28" s="227">
        <v>37445</v>
      </c>
      <c r="AT28" s="225">
        <f t="shared" si="54"/>
        <v>2.0021792427131575</v>
      </c>
      <c r="AU28" s="352">
        <v>36251</v>
      </c>
      <c r="AV28" s="227">
        <v>37445</v>
      </c>
      <c r="AW28" s="225">
        <f t="shared" si="55"/>
        <v>3.2937022426967535</v>
      </c>
      <c r="AX28" s="73"/>
      <c r="AY28" s="226"/>
      <c r="AZ28" s="226" t="s">
        <v>52</v>
      </c>
      <c r="BA28" s="227">
        <v>33061</v>
      </c>
      <c r="BB28" s="227">
        <v>36251</v>
      </c>
      <c r="BC28" s="225">
        <f t="shared" si="56"/>
        <v>9.6488309488521224</v>
      </c>
      <c r="BD28" s="227">
        <v>42778</v>
      </c>
      <c r="BE28" s="227">
        <v>36251</v>
      </c>
      <c r="BF28" s="225">
        <f t="shared" si="57"/>
        <v>-15.257842816400954</v>
      </c>
      <c r="BG28" s="73"/>
      <c r="BH28" s="226" t="s">
        <v>52</v>
      </c>
      <c r="BI28" s="227">
        <v>38063</v>
      </c>
      <c r="BJ28" s="227">
        <v>42778</v>
      </c>
      <c r="BK28" s="225">
        <f t="shared" si="58"/>
        <v>12.387357801539553</v>
      </c>
      <c r="BL28" s="227">
        <v>32693</v>
      </c>
      <c r="BM28" s="227">
        <v>42778</v>
      </c>
      <c r="BN28" s="225">
        <f t="shared" si="59"/>
        <v>30.84758205120362</v>
      </c>
      <c r="BO28" s="73"/>
      <c r="BP28" s="226"/>
      <c r="BQ28" s="226" t="s">
        <v>52</v>
      </c>
      <c r="BR28" s="227">
        <v>27277</v>
      </c>
      <c r="BS28" s="227">
        <f>38125-5432</f>
        <v>32693</v>
      </c>
      <c r="BT28" s="225">
        <f t="shared" si="60"/>
        <v>19.855555962899146</v>
      </c>
      <c r="BU28" s="227">
        <v>29946</v>
      </c>
      <c r="BV28" s="227">
        <f>38125-5432</f>
        <v>32693</v>
      </c>
      <c r="BW28" s="225">
        <f t="shared" si="61"/>
        <v>9.1731783877646418</v>
      </c>
      <c r="BX28" s="73"/>
      <c r="BY28" s="226"/>
      <c r="BZ28" s="226" t="s">
        <v>52</v>
      </c>
      <c r="CA28" s="227">
        <v>26547</v>
      </c>
      <c r="CB28" s="227">
        <v>29946</v>
      </c>
      <c r="CC28" s="225">
        <f t="shared" si="62"/>
        <v>12.803706633517912</v>
      </c>
      <c r="CD28" s="227">
        <v>28227</v>
      </c>
      <c r="CE28" s="227">
        <v>29946</v>
      </c>
      <c r="CF28" s="225">
        <f t="shared" si="63"/>
        <v>6.0899139122117116</v>
      </c>
      <c r="CG28" s="73"/>
      <c r="CH28" s="226"/>
      <c r="CI28" s="226" t="s">
        <v>52</v>
      </c>
      <c r="CJ28" s="227">
        <f>ต.ค.!CI28</f>
        <v>25963</v>
      </c>
      <c r="CK28" s="227" t="e">
        <f t="shared" si="44"/>
        <v>#REF!</v>
      </c>
      <c r="CL28" s="225" t="e">
        <f t="shared" si="64"/>
        <v>#REF!</v>
      </c>
      <c r="CM28" s="227" t="e">
        <f>#REF!</f>
        <v>#REF!</v>
      </c>
      <c r="CN28" s="227" t="e">
        <f>#REF!</f>
        <v>#REF!</v>
      </c>
      <c r="CO28" s="225" t="e">
        <f t="shared" si="65"/>
        <v>#REF!</v>
      </c>
      <c r="CP28" s="73"/>
      <c r="CQ28" s="226"/>
      <c r="CR28" s="226" t="s">
        <v>52</v>
      </c>
      <c r="CS28" s="227">
        <v>35815</v>
      </c>
      <c r="CT28" s="227">
        <v>40666</v>
      </c>
      <c r="CU28" s="225">
        <f t="shared" si="66"/>
        <v>13.544604216110567</v>
      </c>
      <c r="CV28" s="227">
        <v>53535</v>
      </c>
      <c r="CW28" s="227">
        <v>40666</v>
      </c>
      <c r="CX28" s="225">
        <f t="shared" si="67"/>
        <v>-24.038479499392921</v>
      </c>
      <c r="CY28" s="73"/>
      <c r="CZ28" s="168"/>
      <c r="DA28" s="168" t="s">
        <v>52</v>
      </c>
      <c r="DB28" s="169">
        <v>51362</v>
      </c>
      <c r="DC28" s="169">
        <v>53535</v>
      </c>
      <c r="DD28" s="167">
        <f t="shared" si="68"/>
        <v>4.23075425411783</v>
      </c>
      <c r="DE28" s="169">
        <v>6924</v>
      </c>
      <c r="DF28" s="169">
        <v>53535</v>
      </c>
      <c r="DG28" s="167">
        <f t="shared" si="69"/>
        <v>673.1802426343155</v>
      </c>
      <c r="DH28" s="73"/>
      <c r="DI28" s="152"/>
      <c r="DJ28" s="152" t="s">
        <v>52</v>
      </c>
      <c r="DK28" s="148">
        <v>16513</v>
      </c>
      <c r="DL28" s="148">
        <v>6924</v>
      </c>
      <c r="DM28" s="151">
        <f t="shared" si="70"/>
        <v>-58.069399866771633</v>
      </c>
      <c r="DN28" s="148">
        <v>35011</v>
      </c>
      <c r="DO28" s="148">
        <v>6924</v>
      </c>
      <c r="DP28" s="151">
        <f t="shared" si="71"/>
        <v>-80.223358373082746</v>
      </c>
      <c r="DQ28" s="73"/>
      <c r="DR28" s="89"/>
      <c r="DS28" s="89" t="s">
        <v>52</v>
      </c>
      <c r="DT28" s="90">
        <v>30119</v>
      </c>
      <c r="DU28" s="90">
        <f>39310-4299</f>
        <v>35011</v>
      </c>
      <c r="DV28" s="129">
        <f t="shared" si="72"/>
        <v>16.242239118164616</v>
      </c>
      <c r="DW28" s="90">
        <v>25803</v>
      </c>
      <c r="DX28" s="90">
        <f>39310-4299</f>
        <v>35011</v>
      </c>
      <c r="DY28" s="129">
        <f t="shared" si="73"/>
        <v>35.68577297213502</v>
      </c>
      <c r="DZ28" s="130"/>
      <c r="EA28" s="42"/>
      <c r="EB28" s="42" t="s">
        <v>52</v>
      </c>
      <c r="EC28" s="43">
        <v>23616</v>
      </c>
      <c r="ED28" s="43">
        <v>25803</v>
      </c>
      <c r="EE28" s="44">
        <f t="shared" si="74"/>
        <v>9.2606707317073162</v>
      </c>
      <c r="EF28" s="43">
        <v>22077</v>
      </c>
      <c r="EG28" s="42">
        <v>25803</v>
      </c>
      <c r="EH28" s="44">
        <f t="shared" si="75"/>
        <v>16.87729311047697</v>
      </c>
      <c r="EI28" s="61"/>
      <c r="EJ28" s="89"/>
      <c r="EK28" s="89" t="s">
        <v>52</v>
      </c>
      <c r="EL28" s="90">
        <v>23652</v>
      </c>
      <c r="EM28" s="90">
        <v>22077</v>
      </c>
      <c r="EN28" s="91">
        <f t="shared" si="76"/>
        <v>-6.6590563165905632</v>
      </c>
      <c r="EO28" s="92">
        <v>36783</v>
      </c>
      <c r="EP28" s="90">
        <v>22077</v>
      </c>
      <c r="EQ28" s="91">
        <f t="shared" si="77"/>
        <v>-39.980425740151695</v>
      </c>
      <c r="ER28" s="61"/>
      <c r="ES28" s="42"/>
      <c r="ET28" s="42" t="s">
        <v>52</v>
      </c>
      <c r="EU28" s="43">
        <v>35266</v>
      </c>
      <c r="EV28" s="43">
        <v>36783</v>
      </c>
      <c r="EW28" s="44">
        <f t="shared" si="45"/>
        <v>4.3015936029036466</v>
      </c>
      <c r="EX28" s="45">
        <v>36279</v>
      </c>
      <c r="EY28" s="43">
        <v>36783</v>
      </c>
      <c r="EZ28" s="44">
        <f t="shared" si="46"/>
        <v>1.3892334408335401</v>
      </c>
      <c r="FA28" s="61"/>
    </row>
    <row r="29" spans="1:157" x14ac:dyDescent="0.5">
      <c r="A29" s="226"/>
      <c r="B29" s="226" t="s">
        <v>53</v>
      </c>
      <c r="C29" s="227">
        <v>2220</v>
      </c>
      <c r="D29" s="227">
        <v>2452</v>
      </c>
      <c r="E29" s="225">
        <f t="shared" si="78"/>
        <v>10.45045045045045</v>
      </c>
      <c r="F29" s="227">
        <v>2527</v>
      </c>
      <c r="G29" s="227">
        <v>2452</v>
      </c>
      <c r="H29" s="225">
        <f t="shared" si="41"/>
        <v>-2.96794618124258</v>
      </c>
      <c r="I29" s="226"/>
      <c r="J29" s="226" t="s">
        <v>53</v>
      </c>
      <c r="K29" s="227">
        <v>2589</v>
      </c>
      <c r="L29" s="227">
        <v>2612</v>
      </c>
      <c r="M29" s="225">
        <f t="shared" si="48"/>
        <v>0.88837388953263807</v>
      </c>
      <c r="N29" s="227">
        <v>3730</v>
      </c>
      <c r="O29" s="227">
        <v>2527</v>
      </c>
      <c r="P29" s="225">
        <f t="shared" si="42"/>
        <v>-32.252010723860593</v>
      </c>
      <c r="Q29" s="226"/>
      <c r="R29" s="226" t="s">
        <v>53</v>
      </c>
      <c r="S29" s="227">
        <v>3305</v>
      </c>
      <c r="T29" s="227">
        <v>3730</v>
      </c>
      <c r="U29" s="225">
        <f t="shared" si="49"/>
        <v>12.859304084720122</v>
      </c>
      <c r="V29" s="227">
        <v>3836</v>
      </c>
      <c r="W29" s="227">
        <v>3730</v>
      </c>
      <c r="X29" s="225">
        <f t="shared" si="43"/>
        <v>-2.7632950990615224</v>
      </c>
      <c r="Y29" s="226"/>
      <c r="Z29" s="226" t="s">
        <v>53</v>
      </c>
      <c r="AA29" s="227">
        <v>5008</v>
      </c>
      <c r="AB29" s="227">
        <v>3836</v>
      </c>
      <c r="AC29" s="225">
        <f t="shared" si="50"/>
        <v>-23.402555910543128</v>
      </c>
      <c r="AD29" s="227">
        <v>4053</v>
      </c>
      <c r="AE29" s="227">
        <v>3836</v>
      </c>
      <c r="AF29" s="225">
        <f t="shared" si="51"/>
        <v>-5.3540587219343694</v>
      </c>
      <c r="AG29" s="226"/>
      <c r="AH29" s="226" t="s">
        <v>53</v>
      </c>
      <c r="AI29" s="227">
        <v>3561</v>
      </c>
      <c r="AJ29" s="227">
        <v>4053</v>
      </c>
      <c r="AK29" s="225">
        <f t="shared" si="52"/>
        <v>13.816343723673125</v>
      </c>
      <c r="AL29" s="227">
        <v>3390</v>
      </c>
      <c r="AM29" s="227">
        <v>4053</v>
      </c>
      <c r="AN29" s="225">
        <f t="shared" si="53"/>
        <v>19.557522123893804</v>
      </c>
      <c r="AP29" s="226"/>
      <c r="AQ29" s="226" t="s">
        <v>53</v>
      </c>
      <c r="AR29" s="227">
        <v>3482</v>
      </c>
      <c r="AS29" s="227">
        <v>3390</v>
      </c>
      <c r="AT29" s="225">
        <f t="shared" si="54"/>
        <v>-2.6421596783457781</v>
      </c>
      <c r="AU29" s="227">
        <v>4166</v>
      </c>
      <c r="AV29" s="227">
        <v>3390</v>
      </c>
      <c r="AW29" s="225">
        <f t="shared" si="55"/>
        <v>-18.626980316850698</v>
      </c>
      <c r="AX29" s="73"/>
      <c r="AY29" s="226"/>
      <c r="AZ29" s="226" t="s">
        <v>53</v>
      </c>
      <c r="BA29" s="227">
        <v>3998</v>
      </c>
      <c r="BB29" s="227">
        <v>4166</v>
      </c>
      <c r="BC29" s="225">
        <f t="shared" si="56"/>
        <v>4.2021010505252629</v>
      </c>
      <c r="BD29" s="227">
        <v>4353</v>
      </c>
      <c r="BE29" s="227">
        <v>4166</v>
      </c>
      <c r="BF29" s="225">
        <f t="shared" si="57"/>
        <v>-4.2958878934068458</v>
      </c>
      <c r="BG29" s="73"/>
      <c r="BH29" s="226" t="s">
        <v>53</v>
      </c>
      <c r="BI29" s="227">
        <v>4220</v>
      </c>
      <c r="BJ29" s="227">
        <v>4353</v>
      </c>
      <c r="BK29" s="225">
        <f t="shared" si="58"/>
        <v>3.1516587677725116</v>
      </c>
      <c r="BL29" s="227">
        <v>4184</v>
      </c>
      <c r="BM29" s="227">
        <v>4353</v>
      </c>
      <c r="BN29" s="225">
        <f t="shared" si="59"/>
        <v>4.039196940726578</v>
      </c>
      <c r="BO29" s="73"/>
      <c r="BP29" s="226"/>
      <c r="BQ29" s="226" t="s">
        <v>53</v>
      </c>
      <c r="BR29" s="227">
        <v>3662</v>
      </c>
      <c r="BS29" s="227">
        <f>46647-BS28-BS30</f>
        <v>4184</v>
      </c>
      <c r="BT29" s="225">
        <f t="shared" si="60"/>
        <v>14.254505734571273</v>
      </c>
      <c r="BU29" s="227">
        <v>4164</v>
      </c>
      <c r="BV29" s="227">
        <f>46647-BV28-BV30</f>
        <v>4184</v>
      </c>
      <c r="BW29" s="225">
        <f t="shared" si="61"/>
        <v>0.48030739673390976</v>
      </c>
      <c r="BX29" s="73"/>
      <c r="BY29" s="226"/>
      <c r="BZ29" s="226" t="s">
        <v>53</v>
      </c>
      <c r="CA29" s="227">
        <v>3985</v>
      </c>
      <c r="CB29" s="227">
        <v>4164</v>
      </c>
      <c r="CC29" s="225">
        <f t="shared" si="62"/>
        <v>4.4918444165621079</v>
      </c>
      <c r="CD29" s="227">
        <v>3858</v>
      </c>
      <c r="CE29" s="227">
        <v>4164</v>
      </c>
      <c r="CF29" s="225">
        <f t="shared" si="63"/>
        <v>7.9315707620528766</v>
      </c>
      <c r="CG29" s="73"/>
      <c r="CH29" s="226"/>
      <c r="CI29" s="226" t="s">
        <v>53</v>
      </c>
      <c r="CJ29" s="227">
        <f>ต.ค.!CI29</f>
        <v>3621</v>
      </c>
      <c r="CK29" s="227" t="e">
        <f t="shared" si="44"/>
        <v>#REF!</v>
      </c>
      <c r="CL29" s="225" t="e">
        <f t="shared" si="64"/>
        <v>#REF!</v>
      </c>
      <c r="CM29" s="227" t="e">
        <f>#REF!</f>
        <v>#REF!</v>
      </c>
      <c r="CN29" s="227" t="e">
        <f>#REF!</f>
        <v>#REF!</v>
      </c>
      <c r="CO29" s="225" t="e">
        <f t="shared" si="65"/>
        <v>#REF!</v>
      </c>
      <c r="CP29" s="73"/>
      <c r="CQ29" s="226"/>
      <c r="CR29" s="226" t="s">
        <v>53</v>
      </c>
      <c r="CS29" s="227">
        <v>5599</v>
      </c>
      <c r="CT29" s="227">
        <v>5064</v>
      </c>
      <c r="CU29" s="225">
        <f t="shared" si="66"/>
        <v>-9.5552777281657431</v>
      </c>
      <c r="CV29" s="227">
        <v>7151</v>
      </c>
      <c r="CW29" s="227">
        <v>5064</v>
      </c>
      <c r="CX29" s="225">
        <f t="shared" si="67"/>
        <v>-29.18472940847434</v>
      </c>
      <c r="CY29" s="73"/>
      <c r="CZ29" s="168"/>
      <c r="DA29" s="168" t="s">
        <v>53</v>
      </c>
      <c r="DB29" s="169">
        <v>6225</v>
      </c>
      <c r="DC29" s="169">
        <v>7151</v>
      </c>
      <c r="DD29" s="167">
        <f t="shared" si="68"/>
        <v>14.875502008032129</v>
      </c>
      <c r="DE29" s="169">
        <v>3062</v>
      </c>
      <c r="DF29" s="169">
        <v>7151</v>
      </c>
      <c r="DG29" s="167">
        <f t="shared" si="69"/>
        <v>133.54016982364467</v>
      </c>
      <c r="DH29" s="73"/>
      <c r="DI29" s="152"/>
      <c r="DJ29" s="152" t="s">
        <v>53</v>
      </c>
      <c r="DK29" s="148">
        <v>3063</v>
      </c>
      <c r="DL29" s="148">
        <v>3062</v>
      </c>
      <c r="DM29" s="151">
        <f t="shared" si="70"/>
        <v>-3.2647730982696702E-2</v>
      </c>
      <c r="DN29" s="148">
        <v>4805</v>
      </c>
      <c r="DO29" s="148">
        <v>3062</v>
      </c>
      <c r="DP29" s="151">
        <f t="shared" si="71"/>
        <v>-36.274713839750262</v>
      </c>
      <c r="DQ29" s="73"/>
      <c r="DR29" s="89"/>
      <c r="DS29" s="89" t="s">
        <v>53</v>
      </c>
      <c r="DT29" s="90">
        <v>4552</v>
      </c>
      <c r="DU29" s="90">
        <v>4805</v>
      </c>
      <c r="DV29" s="129">
        <f t="shared" si="72"/>
        <v>5.557996485061512</v>
      </c>
      <c r="DW29" s="90">
        <v>4805</v>
      </c>
      <c r="DX29" s="90">
        <v>4805</v>
      </c>
      <c r="DY29" s="129">
        <f t="shared" si="73"/>
        <v>0</v>
      </c>
      <c r="DZ29" s="130"/>
      <c r="EA29" s="42"/>
      <c r="EB29" s="42" t="s">
        <v>53</v>
      </c>
      <c r="EC29" s="43">
        <v>3356</v>
      </c>
      <c r="ED29" s="43">
        <v>3513</v>
      </c>
      <c r="EE29" s="44">
        <f t="shared" si="74"/>
        <v>4.6781883194278899</v>
      </c>
      <c r="EF29" s="43">
        <v>2999</v>
      </c>
      <c r="EG29" s="42">
        <v>3513</v>
      </c>
      <c r="EH29" s="44">
        <f t="shared" si="75"/>
        <v>17.139046348782927</v>
      </c>
      <c r="EI29" s="61"/>
      <c r="EJ29" s="89"/>
      <c r="EK29" s="89" t="s">
        <v>53</v>
      </c>
      <c r="EL29" s="90">
        <v>3599</v>
      </c>
      <c r="EM29" s="90">
        <v>2999</v>
      </c>
      <c r="EN29" s="91">
        <f t="shared" si="76"/>
        <v>-16.67129758266185</v>
      </c>
      <c r="EO29" s="92">
        <v>4079</v>
      </c>
      <c r="EP29" s="90">
        <v>2999</v>
      </c>
      <c r="EQ29" s="91">
        <f t="shared" si="77"/>
        <v>-26.477077715126256</v>
      </c>
      <c r="ER29" s="61"/>
      <c r="ES29" s="42"/>
      <c r="ET29" s="42" t="s">
        <v>53</v>
      </c>
      <c r="EU29" s="43">
        <v>4196</v>
      </c>
      <c r="EV29" s="43">
        <v>4079</v>
      </c>
      <c r="EW29" s="44">
        <f t="shared" si="45"/>
        <v>-2.78836987607245</v>
      </c>
      <c r="EX29" s="45">
        <v>2833</v>
      </c>
      <c r="EY29" s="43">
        <v>4079</v>
      </c>
      <c r="EZ29" s="44">
        <f t="shared" si="46"/>
        <v>43.981644899399932</v>
      </c>
      <c r="FA29" s="61"/>
    </row>
    <row r="30" spans="1:157" x14ac:dyDescent="0.5">
      <c r="A30" s="226"/>
      <c r="B30" s="226" t="s">
        <v>54</v>
      </c>
      <c r="C30" s="227">
        <v>14228</v>
      </c>
      <c r="D30" s="227">
        <f>3646+14126</f>
        <v>17772</v>
      </c>
      <c r="E30" s="225">
        <f t="shared" si="78"/>
        <v>24.908630868709587</v>
      </c>
      <c r="F30" s="227">
        <v>10298</v>
      </c>
      <c r="G30" s="227">
        <v>17772</v>
      </c>
      <c r="H30" s="225">
        <f t="shared" si="41"/>
        <v>72.577199456205093</v>
      </c>
      <c r="I30" s="226"/>
      <c r="J30" s="226" t="s">
        <v>54</v>
      </c>
      <c r="K30" s="227">
        <v>8759</v>
      </c>
      <c r="L30" s="227">
        <v>10298</v>
      </c>
      <c r="M30" s="225">
        <f t="shared" si="48"/>
        <v>17.570498915401302</v>
      </c>
      <c r="N30" s="227">
        <v>15471</v>
      </c>
      <c r="O30" s="227">
        <v>10298</v>
      </c>
      <c r="P30" s="225">
        <f t="shared" si="42"/>
        <v>-33.436752633960317</v>
      </c>
      <c r="Q30" s="226"/>
      <c r="R30" s="226" t="s">
        <v>54</v>
      </c>
      <c r="S30" s="227">
        <v>14855</v>
      </c>
      <c r="T30" s="227">
        <v>15471</v>
      </c>
      <c r="U30" s="225">
        <f t="shared" si="49"/>
        <v>4.1467519353752946</v>
      </c>
      <c r="V30" s="227">
        <v>15003</v>
      </c>
      <c r="W30" s="227">
        <v>15471</v>
      </c>
      <c r="X30" s="225">
        <f t="shared" si="43"/>
        <v>3.1193761247750449</v>
      </c>
      <c r="Y30" s="226"/>
      <c r="Z30" s="226" t="s">
        <v>54</v>
      </c>
      <c r="AA30" s="227">
        <v>10056</v>
      </c>
      <c r="AB30" s="227">
        <v>15003</v>
      </c>
      <c r="AC30" s="225">
        <f t="shared" si="50"/>
        <v>49.194510739856803</v>
      </c>
      <c r="AD30" s="227">
        <v>10730</v>
      </c>
      <c r="AE30" s="227">
        <v>15003</v>
      </c>
      <c r="AF30" s="225">
        <f t="shared" si="51"/>
        <v>39.822926374650514</v>
      </c>
      <c r="AG30" s="226"/>
      <c r="AH30" s="226" t="s">
        <v>54</v>
      </c>
      <c r="AI30" s="227">
        <v>9773</v>
      </c>
      <c r="AJ30" s="227">
        <v>10730</v>
      </c>
      <c r="AK30" s="225">
        <f t="shared" si="52"/>
        <v>9.792284866468842</v>
      </c>
      <c r="AL30" s="227">
        <v>12905</v>
      </c>
      <c r="AM30" s="227">
        <v>10730</v>
      </c>
      <c r="AN30" s="225">
        <f t="shared" si="53"/>
        <v>-16.853932584269664</v>
      </c>
      <c r="AP30" s="226"/>
      <c r="AQ30" s="226" t="s">
        <v>54</v>
      </c>
      <c r="AR30" s="227">
        <v>11462</v>
      </c>
      <c r="AS30" s="227">
        <v>12905</v>
      </c>
      <c r="AT30" s="225">
        <f t="shared" si="54"/>
        <v>12.589425929157215</v>
      </c>
      <c r="AU30" s="227">
        <v>9236</v>
      </c>
      <c r="AV30" s="227">
        <v>12905</v>
      </c>
      <c r="AW30" s="225">
        <f t="shared" si="55"/>
        <v>39.724989172802076</v>
      </c>
      <c r="AX30" s="73"/>
      <c r="AY30" s="226"/>
      <c r="AZ30" s="226" t="s">
        <v>54</v>
      </c>
      <c r="BA30" s="227">
        <v>9735</v>
      </c>
      <c r="BB30" s="227">
        <v>9236</v>
      </c>
      <c r="BC30" s="225">
        <f t="shared" si="56"/>
        <v>-5.1258346173600406</v>
      </c>
      <c r="BD30" s="227">
        <v>12066</v>
      </c>
      <c r="BE30" s="227">
        <v>9236</v>
      </c>
      <c r="BF30" s="225">
        <f t="shared" si="57"/>
        <v>-23.454334493618433</v>
      </c>
      <c r="BG30" s="73"/>
      <c r="BH30" s="226" t="s">
        <v>54</v>
      </c>
      <c r="BI30" s="227">
        <v>11843</v>
      </c>
      <c r="BJ30" s="227">
        <v>12066</v>
      </c>
      <c r="BK30" s="225">
        <f t="shared" si="58"/>
        <v>1.8829688423541331</v>
      </c>
      <c r="BL30" s="227">
        <v>9770</v>
      </c>
      <c r="BM30" s="227">
        <v>12066</v>
      </c>
      <c r="BN30" s="225">
        <f t="shared" si="59"/>
        <v>23.500511770726714</v>
      </c>
      <c r="BO30" s="73"/>
      <c r="BP30" s="226"/>
      <c r="BQ30" s="226" t="s">
        <v>54</v>
      </c>
      <c r="BR30" s="227">
        <v>8873</v>
      </c>
      <c r="BS30" s="227">
        <f>5432+4338</f>
        <v>9770</v>
      </c>
      <c r="BT30" s="225">
        <f t="shared" si="60"/>
        <v>10.109320410233293</v>
      </c>
      <c r="BU30" s="227">
        <v>7355</v>
      </c>
      <c r="BV30" s="227">
        <f>5432+4338</f>
        <v>9770</v>
      </c>
      <c r="BW30" s="225">
        <f t="shared" si="61"/>
        <v>32.834806254248811</v>
      </c>
      <c r="BX30" s="73"/>
      <c r="BY30" s="226"/>
      <c r="BZ30" s="226" t="s">
        <v>54</v>
      </c>
      <c r="CA30" s="227">
        <v>6985</v>
      </c>
      <c r="CB30" s="227">
        <v>7355</v>
      </c>
      <c r="CC30" s="225">
        <f t="shared" si="62"/>
        <v>5.2970651395848245</v>
      </c>
      <c r="CD30" s="227">
        <v>18609</v>
      </c>
      <c r="CE30" s="227">
        <v>7355</v>
      </c>
      <c r="CF30" s="225">
        <f t="shared" si="63"/>
        <v>-60.476113708420655</v>
      </c>
      <c r="CG30" s="73"/>
      <c r="CH30" s="226"/>
      <c r="CI30" s="226" t="s">
        <v>54</v>
      </c>
      <c r="CJ30" s="227">
        <f>ต.ค.!CI30</f>
        <v>14053</v>
      </c>
      <c r="CK30" s="227" t="e">
        <f t="shared" si="44"/>
        <v>#REF!</v>
      </c>
      <c r="CL30" s="225" t="e">
        <f t="shared" si="64"/>
        <v>#REF!</v>
      </c>
      <c r="CM30" s="227" t="e">
        <f>#REF!</f>
        <v>#REF!</v>
      </c>
      <c r="CN30" s="227" t="e">
        <f>#REF!</f>
        <v>#REF!</v>
      </c>
      <c r="CO30" s="225" t="e">
        <f t="shared" si="65"/>
        <v>#REF!</v>
      </c>
      <c r="CP30" s="73"/>
      <c r="CQ30" s="226"/>
      <c r="CR30" s="226" t="s">
        <v>54</v>
      </c>
      <c r="CS30" s="227">
        <v>5360</v>
      </c>
      <c r="CT30" s="227">
        <v>7314</v>
      </c>
      <c r="CU30" s="225">
        <f t="shared" si="66"/>
        <v>36.455223880597018</v>
      </c>
      <c r="CV30" s="227">
        <v>9814</v>
      </c>
      <c r="CW30" s="227">
        <v>7314</v>
      </c>
      <c r="CX30" s="225">
        <f t="shared" si="67"/>
        <v>-25.473812920317911</v>
      </c>
      <c r="CY30" s="73"/>
      <c r="CZ30" s="168"/>
      <c r="DA30" s="168" t="s">
        <v>54</v>
      </c>
      <c r="DB30" s="169">
        <v>9559</v>
      </c>
      <c r="DC30" s="169">
        <v>9814</v>
      </c>
      <c r="DD30" s="167">
        <f t="shared" si="68"/>
        <v>2.6676430588973741</v>
      </c>
      <c r="DE30" s="169">
        <v>2932</v>
      </c>
      <c r="DF30" s="169">
        <v>9814</v>
      </c>
      <c r="DG30" s="167">
        <f t="shared" si="69"/>
        <v>234.72032742155525</v>
      </c>
      <c r="DH30" s="73"/>
      <c r="DI30" s="152"/>
      <c r="DJ30" s="152" t="s">
        <v>54</v>
      </c>
      <c r="DK30" s="148">
        <v>3445</v>
      </c>
      <c r="DL30" s="148">
        <v>2932</v>
      </c>
      <c r="DM30" s="151">
        <f t="shared" si="70"/>
        <v>-14.891146589259796</v>
      </c>
      <c r="DN30" s="148">
        <v>5464</v>
      </c>
      <c r="DO30" s="148">
        <v>2932</v>
      </c>
      <c r="DP30" s="151">
        <f t="shared" si="71"/>
        <v>-46.339677891654468</v>
      </c>
      <c r="DQ30" s="73"/>
      <c r="DR30" s="89"/>
      <c r="DS30" s="89" t="s">
        <v>54</v>
      </c>
      <c r="DT30" s="90">
        <v>4880</v>
      </c>
      <c r="DU30" s="90">
        <f>4299+1165</f>
        <v>5464</v>
      </c>
      <c r="DV30" s="129">
        <f t="shared" si="72"/>
        <v>11.967213114754099</v>
      </c>
      <c r="DW30" s="90">
        <v>3661</v>
      </c>
      <c r="DX30" s="90">
        <f>4299+1165</f>
        <v>5464</v>
      </c>
      <c r="DY30" s="129">
        <f t="shared" si="73"/>
        <v>49.248839114995903</v>
      </c>
      <c r="DZ30" s="130"/>
      <c r="EA30" s="42"/>
      <c r="EB30" s="42" t="s">
        <v>54</v>
      </c>
      <c r="EC30" s="43">
        <v>3552</v>
      </c>
      <c r="ED30" s="43">
        <v>3661</v>
      </c>
      <c r="EE30" s="44">
        <f t="shared" si="74"/>
        <v>3.0686936936936937</v>
      </c>
      <c r="EF30" s="43">
        <v>2816</v>
      </c>
      <c r="EG30" s="42">
        <v>3661</v>
      </c>
      <c r="EH30" s="44">
        <f t="shared" si="75"/>
        <v>30.00710227272727</v>
      </c>
      <c r="EI30" s="61"/>
      <c r="EJ30" s="89"/>
      <c r="EK30" s="89" t="s">
        <v>54</v>
      </c>
      <c r="EL30" s="90">
        <v>3264</v>
      </c>
      <c r="EM30" s="90">
        <v>2816</v>
      </c>
      <c r="EN30" s="91">
        <f t="shared" si="76"/>
        <v>-13.725490196078432</v>
      </c>
      <c r="EO30" s="92">
        <v>3212</v>
      </c>
      <c r="EP30" s="90">
        <v>2816</v>
      </c>
      <c r="EQ30" s="91">
        <f t="shared" si="77"/>
        <v>-12.328767123287671</v>
      </c>
      <c r="ER30" s="61"/>
      <c r="ES30" s="42"/>
      <c r="ET30" s="42" t="s">
        <v>54</v>
      </c>
      <c r="EU30" s="43">
        <v>3099</v>
      </c>
      <c r="EV30" s="43">
        <v>3212</v>
      </c>
      <c r="EW30" s="44">
        <f t="shared" si="45"/>
        <v>3.6463375282349144</v>
      </c>
      <c r="EX30" s="45">
        <v>2648</v>
      </c>
      <c r="EY30" s="43">
        <v>3212</v>
      </c>
      <c r="EZ30" s="44">
        <f t="shared" si="46"/>
        <v>21.299093655589125</v>
      </c>
      <c r="FA30" s="61"/>
    </row>
    <row r="31" spans="1:157" x14ac:dyDescent="0.5">
      <c r="A31" s="224" t="s">
        <v>2</v>
      </c>
      <c r="B31" s="224" t="s">
        <v>55</v>
      </c>
      <c r="C31" s="238">
        <v>83064</v>
      </c>
      <c r="D31" s="238">
        <v>78692</v>
      </c>
      <c r="E31" s="225">
        <f t="shared" si="78"/>
        <v>-5.2634113454685538</v>
      </c>
      <c r="F31" s="238">
        <v>89646</v>
      </c>
      <c r="G31" s="238">
        <v>78692</v>
      </c>
      <c r="H31" s="225">
        <f t="shared" si="41"/>
        <v>-12.219173192334292</v>
      </c>
      <c r="I31" s="224" t="s">
        <v>2</v>
      </c>
      <c r="J31" s="224" t="s">
        <v>55</v>
      </c>
      <c r="K31" s="238">
        <v>84334</v>
      </c>
      <c r="L31" s="238">
        <v>89646</v>
      </c>
      <c r="M31" s="225">
        <f t="shared" si="48"/>
        <v>6.2987644366447704</v>
      </c>
      <c r="N31" s="238">
        <v>99609</v>
      </c>
      <c r="O31" s="238">
        <v>89646</v>
      </c>
      <c r="P31" s="225">
        <f t="shared" si="42"/>
        <v>-10.002108243231033</v>
      </c>
      <c r="Q31" s="224" t="s">
        <v>2</v>
      </c>
      <c r="R31" s="224" t="s">
        <v>55</v>
      </c>
      <c r="S31" s="238">
        <v>105726</v>
      </c>
      <c r="T31" s="238">
        <v>99609</v>
      </c>
      <c r="U31" s="225">
        <f t="shared" si="49"/>
        <v>-5.7857102321094152</v>
      </c>
      <c r="V31" s="238">
        <v>87979</v>
      </c>
      <c r="W31" s="238">
        <v>99609</v>
      </c>
      <c r="X31" s="225">
        <f t="shared" si="43"/>
        <v>13.219063640186862</v>
      </c>
      <c r="Y31" s="224" t="s">
        <v>2</v>
      </c>
      <c r="Z31" s="224" t="s">
        <v>55</v>
      </c>
      <c r="AA31" s="238">
        <v>94228</v>
      </c>
      <c r="AB31" s="238">
        <v>87979</v>
      </c>
      <c r="AC31" s="225">
        <f t="shared" si="50"/>
        <v>-6.6317867300590052</v>
      </c>
      <c r="AD31" s="238">
        <v>98829</v>
      </c>
      <c r="AE31" s="238">
        <v>87979</v>
      </c>
      <c r="AF31" s="225">
        <f t="shared" si="51"/>
        <v>-10.978558925011889</v>
      </c>
      <c r="AG31" s="224" t="s">
        <v>2</v>
      </c>
      <c r="AH31" s="224" t="s">
        <v>55</v>
      </c>
      <c r="AI31" s="238">
        <v>81577</v>
      </c>
      <c r="AJ31" s="238">
        <v>98829</v>
      </c>
      <c r="AK31" s="225">
        <f t="shared" si="52"/>
        <v>21.148117729261926</v>
      </c>
      <c r="AL31" s="238">
        <v>74532</v>
      </c>
      <c r="AM31" s="238">
        <v>98829</v>
      </c>
      <c r="AN31" s="225">
        <f t="shared" si="53"/>
        <v>32.599420383191116</v>
      </c>
      <c r="AP31" s="224" t="s">
        <v>2</v>
      </c>
      <c r="AQ31" s="224" t="s">
        <v>55</v>
      </c>
      <c r="AR31" s="238">
        <v>71372</v>
      </c>
      <c r="AS31" s="238">
        <v>74532</v>
      </c>
      <c r="AT31" s="225">
        <f t="shared" si="54"/>
        <v>4.4275065852154905</v>
      </c>
      <c r="AU31" s="238">
        <v>75185</v>
      </c>
      <c r="AV31" s="238">
        <v>74532</v>
      </c>
      <c r="AW31" s="225">
        <f t="shared" si="55"/>
        <v>-0.86852430671011494</v>
      </c>
      <c r="AX31" s="73"/>
      <c r="AY31" s="224" t="s">
        <v>2</v>
      </c>
      <c r="AZ31" s="224" t="s">
        <v>55</v>
      </c>
      <c r="BA31" s="238">
        <v>85552</v>
      </c>
      <c r="BB31" s="238">
        <v>75185</v>
      </c>
      <c r="BC31" s="225">
        <f t="shared" si="56"/>
        <v>-12.117776323171872</v>
      </c>
      <c r="BD31" s="238">
        <v>93108</v>
      </c>
      <c r="BE31" s="238">
        <v>75185</v>
      </c>
      <c r="BF31" s="225">
        <f t="shared" si="57"/>
        <v>-19.249688533745758</v>
      </c>
      <c r="BG31" s="73"/>
      <c r="BH31" s="224" t="s">
        <v>55</v>
      </c>
      <c r="BI31" s="238">
        <v>93338</v>
      </c>
      <c r="BJ31" s="238">
        <v>93108</v>
      </c>
      <c r="BK31" s="225">
        <f t="shared" si="58"/>
        <v>-0.24641625061604064</v>
      </c>
      <c r="BL31" s="238">
        <v>103042</v>
      </c>
      <c r="BM31" s="238">
        <v>93108</v>
      </c>
      <c r="BN31" s="225">
        <f t="shared" si="59"/>
        <v>-9.640729023116787</v>
      </c>
      <c r="BO31" s="73"/>
      <c r="BP31" s="224" t="s">
        <v>2</v>
      </c>
      <c r="BQ31" s="224" t="s">
        <v>55</v>
      </c>
      <c r="BR31" s="238">
        <v>90838</v>
      </c>
      <c r="BS31" s="238">
        <v>103042</v>
      </c>
      <c r="BT31" s="225">
        <f t="shared" si="60"/>
        <v>13.434906096567516</v>
      </c>
      <c r="BU31" s="238">
        <v>98477</v>
      </c>
      <c r="BV31" s="238">
        <v>103042</v>
      </c>
      <c r="BW31" s="225">
        <f t="shared" si="61"/>
        <v>4.635600190907522</v>
      </c>
      <c r="BX31" s="73"/>
      <c r="BY31" s="224" t="s">
        <v>2</v>
      </c>
      <c r="BZ31" s="224" t="s">
        <v>55</v>
      </c>
      <c r="CA31" s="238">
        <v>103192</v>
      </c>
      <c r="CB31" s="238">
        <v>98477</v>
      </c>
      <c r="CC31" s="225">
        <f t="shared" si="62"/>
        <v>-4.5691526474920536</v>
      </c>
      <c r="CD31" s="238">
        <v>101650</v>
      </c>
      <c r="CE31" s="238">
        <v>98477</v>
      </c>
      <c r="CF31" s="225">
        <f t="shared" si="63"/>
        <v>-3.1214953271028039</v>
      </c>
      <c r="CG31" s="73"/>
      <c r="CH31" s="224" t="s">
        <v>2</v>
      </c>
      <c r="CI31" s="224" t="s">
        <v>55</v>
      </c>
      <c r="CJ31" s="238">
        <f>ต.ค.!CI31</f>
        <v>111229</v>
      </c>
      <c r="CK31" s="238" t="e">
        <f t="shared" si="44"/>
        <v>#REF!</v>
      </c>
      <c r="CL31" s="225" t="e">
        <f t="shared" si="64"/>
        <v>#REF!</v>
      </c>
      <c r="CM31" s="238" t="e">
        <f>#REF!</f>
        <v>#REF!</v>
      </c>
      <c r="CN31" s="238" t="e">
        <f>#REF!</f>
        <v>#REF!</v>
      </c>
      <c r="CO31" s="225" t="e">
        <f t="shared" si="65"/>
        <v>#REF!</v>
      </c>
      <c r="CP31" s="73"/>
      <c r="CQ31" s="224" t="s">
        <v>2</v>
      </c>
      <c r="CR31" s="224" t="s">
        <v>55</v>
      </c>
      <c r="CS31" s="238">
        <v>96844</v>
      </c>
      <c r="CT31" s="238">
        <v>96006</v>
      </c>
      <c r="CU31" s="225">
        <f t="shared" si="66"/>
        <v>-0.86530915699475441</v>
      </c>
      <c r="CV31" s="238">
        <v>100225</v>
      </c>
      <c r="CW31" s="238">
        <v>96006</v>
      </c>
      <c r="CX31" s="225">
        <f t="shared" si="67"/>
        <v>-4.209528560738339</v>
      </c>
      <c r="CY31" s="73"/>
      <c r="CZ31" s="165" t="s">
        <v>2</v>
      </c>
      <c r="DA31" s="165" t="s">
        <v>55</v>
      </c>
      <c r="DB31" s="166">
        <v>98284</v>
      </c>
      <c r="DC31" s="166">
        <v>100225</v>
      </c>
      <c r="DD31" s="167">
        <f t="shared" si="68"/>
        <v>1.974889096902853</v>
      </c>
      <c r="DE31" s="166">
        <v>6258</v>
      </c>
      <c r="DF31" s="166">
        <v>100225</v>
      </c>
      <c r="DG31" s="167">
        <f t="shared" si="69"/>
        <v>1501.5500159795461</v>
      </c>
      <c r="DH31" s="73"/>
      <c r="DI31" s="150" t="s">
        <v>2</v>
      </c>
      <c r="DJ31" s="150" t="s">
        <v>55</v>
      </c>
      <c r="DK31" s="147">
        <v>54691</v>
      </c>
      <c r="DL31" s="147">
        <v>6258</v>
      </c>
      <c r="DM31" s="151">
        <f t="shared" si="70"/>
        <v>-88.55753231793166</v>
      </c>
      <c r="DN31" s="147">
        <v>79618</v>
      </c>
      <c r="DO31" s="147">
        <v>6258</v>
      </c>
      <c r="DP31" s="151">
        <f t="shared" si="71"/>
        <v>-92.139968348865835</v>
      </c>
      <c r="DQ31" s="73"/>
      <c r="DR31" s="86" t="s">
        <v>2</v>
      </c>
      <c r="DS31" s="86" t="s">
        <v>55</v>
      </c>
      <c r="DT31" s="87">
        <v>80359</v>
      </c>
      <c r="DU31" s="87">
        <v>79618</v>
      </c>
      <c r="DV31" s="126">
        <f t="shared" si="72"/>
        <v>-0.92211202229992906</v>
      </c>
      <c r="DW31" s="87">
        <v>58665</v>
      </c>
      <c r="DX31" s="87">
        <v>79618</v>
      </c>
      <c r="DY31" s="126">
        <f t="shared" si="73"/>
        <v>35.716355578283476</v>
      </c>
      <c r="DZ31" s="127"/>
      <c r="EA31" s="63" t="s">
        <v>2</v>
      </c>
      <c r="EB31" s="63" t="s">
        <v>55</v>
      </c>
      <c r="EC31" s="68">
        <v>59502</v>
      </c>
      <c r="ED31" s="68">
        <v>58665</v>
      </c>
      <c r="EE31" s="65">
        <f t="shared" si="74"/>
        <v>-1.4066754058687103</v>
      </c>
      <c r="EF31" s="68">
        <v>65919</v>
      </c>
      <c r="EG31" s="42">
        <v>58665</v>
      </c>
      <c r="EH31" s="65">
        <f t="shared" si="75"/>
        <v>-11.004414508715241</v>
      </c>
      <c r="EI31" s="73"/>
      <c r="EJ31" s="86" t="s">
        <v>2</v>
      </c>
      <c r="EK31" s="86" t="s">
        <v>55</v>
      </c>
      <c r="EL31" s="87">
        <v>67531</v>
      </c>
      <c r="EM31" s="87">
        <v>65917</v>
      </c>
      <c r="EN31" s="88">
        <f t="shared" si="76"/>
        <v>-2.3900134752928284</v>
      </c>
      <c r="EO31" s="87">
        <v>69783</v>
      </c>
      <c r="EP31" s="87">
        <v>65917</v>
      </c>
      <c r="EQ31" s="88">
        <f t="shared" si="77"/>
        <v>-5.5400312397002134</v>
      </c>
      <c r="ER31" s="73"/>
      <c r="ES31" s="63" t="s">
        <v>2</v>
      </c>
      <c r="ET31" s="63" t="s">
        <v>55</v>
      </c>
      <c r="EU31" s="68">
        <v>58490</v>
      </c>
      <c r="EV31" s="68">
        <v>69783</v>
      </c>
      <c r="EW31" s="65">
        <f t="shared" si="45"/>
        <v>19.307573944263975</v>
      </c>
      <c r="EX31" s="68">
        <v>44085</v>
      </c>
      <c r="EY31" s="68">
        <v>69783</v>
      </c>
      <c r="EZ31" s="65">
        <f t="shared" si="46"/>
        <v>58.291936032664168</v>
      </c>
      <c r="FA31" s="73"/>
    </row>
    <row r="32" spans="1:157" x14ac:dyDescent="0.5">
      <c r="A32" s="226"/>
      <c r="B32" s="226" t="s">
        <v>56</v>
      </c>
      <c r="C32" s="228">
        <v>53209.847017790002</v>
      </c>
      <c r="D32" s="228">
        <v>52219.977498239998</v>
      </c>
      <c r="E32" s="225">
        <f t="shared" si="78"/>
        <v>-1.8603126583300538</v>
      </c>
      <c r="F32" s="228">
        <v>57957.645060809999</v>
      </c>
      <c r="G32" s="228">
        <v>52219.977498239998</v>
      </c>
      <c r="H32" s="225">
        <f t="shared" si="41"/>
        <v>-9.8997596547443507</v>
      </c>
      <c r="I32" s="226"/>
      <c r="J32" s="226" t="s">
        <v>56</v>
      </c>
      <c r="K32" s="228">
        <v>55728.193792420003</v>
      </c>
      <c r="L32" s="228">
        <v>57957.645060809999</v>
      </c>
      <c r="M32" s="225">
        <f t="shared" si="48"/>
        <v>4.0005805260698031</v>
      </c>
      <c r="N32" s="228">
        <v>65575.854644000006</v>
      </c>
      <c r="O32" s="228">
        <v>57957.645060809999</v>
      </c>
      <c r="P32" s="225">
        <f t="shared" si="42"/>
        <v>-11.617400374799464</v>
      </c>
      <c r="Q32" s="226"/>
      <c r="R32" s="226" t="s">
        <v>56</v>
      </c>
      <c r="S32" s="228">
        <v>72481.156025879987</v>
      </c>
      <c r="T32" s="228">
        <v>65575.854644000006</v>
      </c>
      <c r="U32" s="225">
        <f t="shared" si="49"/>
        <v>-9.5270298660997987</v>
      </c>
      <c r="V32" s="228">
        <v>56071.91</v>
      </c>
      <c r="W32" s="228">
        <v>65575.854644000006</v>
      </c>
      <c r="X32" s="225">
        <f t="shared" si="43"/>
        <v>16.949564664374734</v>
      </c>
      <c r="Y32" s="226"/>
      <c r="Z32" s="226" t="s">
        <v>56</v>
      </c>
      <c r="AA32" s="228">
        <v>61773.546803700068</v>
      </c>
      <c r="AB32" s="228">
        <v>56071.91</v>
      </c>
      <c r="AC32" s="225">
        <f t="shared" si="50"/>
        <v>-9.229900335524448</v>
      </c>
      <c r="AD32" s="228">
        <v>57737.820674116723</v>
      </c>
      <c r="AE32" s="228">
        <v>56071.91</v>
      </c>
      <c r="AF32" s="225">
        <f t="shared" si="51"/>
        <v>-2.8853023108015066</v>
      </c>
      <c r="AG32" s="226"/>
      <c r="AH32" s="226" t="s">
        <v>56</v>
      </c>
      <c r="AI32" s="228">
        <v>47767.737001339985</v>
      </c>
      <c r="AJ32" s="228">
        <v>57737.820674116723</v>
      </c>
      <c r="AK32" s="225">
        <f t="shared" si="52"/>
        <v>20.872003361802669</v>
      </c>
      <c r="AL32" s="228">
        <v>42674.602039875586</v>
      </c>
      <c r="AM32" s="228">
        <v>57737.820674116723</v>
      </c>
      <c r="AN32" s="225">
        <f t="shared" si="53"/>
        <v>35.297853791737552</v>
      </c>
      <c r="AP32" s="226"/>
      <c r="AQ32" s="226" t="s">
        <v>56</v>
      </c>
      <c r="AR32" s="228">
        <v>40801.145999692199</v>
      </c>
      <c r="AS32" s="228">
        <v>42674.602039875586</v>
      </c>
      <c r="AT32" s="225">
        <f t="shared" si="54"/>
        <v>4.5916750480428199</v>
      </c>
      <c r="AU32" s="228">
        <v>39369.160000000003</v>
      </c>
      <c r="AV32" s="228">
        <v>42674.602039875586</v>
      </c>
      <c r="AW32" s="225">
        <f t="shared" si="55"/>
        <v>8.3960187107766142</v>
      </c>
      <c r="AX32" s="73"/>
      <c r="AY32" s="226"/>
      <c r="AZ32" s="226" t="s">
        <v>56</v>
      </c>
      <c r="BA32" s="228">
        <v>46065.54</v>
      </c>
      <c r="BB32" s="228">
        <v>39369.160000000003</v>
      </c>
      <c r="BC32" s="225">
        <f t="shared" si="56"/>
        <v>-14.536636279526945</v>
      </c>
      <c r="BD32" s="228">
        <v>48092.72</v>
      </c>
      <c r="BE32" s="228">
        <v>39369.160000000003</v>
      </c>
      <c r="BF32" s="225">
        <f t="shared" si="57"/>
        <v>-18.139044745233786</v>
      </c>
      <c r="BG32" s="73"/>
      <c r="BH32" s="226" t="s">
        <v>56</v>
      </c>
      <c r="BI32" s="228">
        <v>48482.73</v>
      </c>
      <c r="BJ32" s="228">
        <v>48092.72</v>
      </c>
      <c r="BK32" s="225">
        <f t="shared" si="58"/>
        <v>-0.80443077359711801</v>
      </c>
      <c r="BL32" s="228">
        <v>54059.73</v>
      </c>
      <c r="BM32" s="228">
        <v>48092.72</v>
      </c>
      <c r="BN32" s="225">
        <f t="shared" si="59"/>
        <v>-11.0378094748161</v>
      </c>
      <c r="BO32" s="73"/>
      <c r="BP32" s="226"/>
      <c r="BQ32" s="226" t="s">
        <v>56</v>
      </c>
      <c r="BR32" s="228">
        <v>49802.87</v>
      </c>
      <c r="BS32" s="228">
        <v>54059.73</v>
      </c>
      <c r="BT32" s="225">
        <f t="shared" si="60"/>
        <v>8.5474190543637345</v>
      </c>
      <c r="BU32" s="228">
        <v>51111.85</v>
      </c>
      <c r="BV32" s="228">
        <v>54059.73</v>
      </c>
      <c r="BW32" s="225">
        <f t="shared" si="61"/>
        <v>5.7675079262441189</v>
      </c>
      <c r="BX32" s="73"/>
      <c r="BY32" s="226"/>
      <c r="BZ32" s="226" t="s">
        <v>56</v>
      </c>
      <c r="CA32" s="228">
        <v>53934.64</v>
      </c>
      <c r="CB32" s="228">
        <v>51111.85</v>
      </c>
      <c r="CC32" s="225">
        <f t="shared" si="62"/>
        <v>-5.233723632900861</v>
      </c>
      <c r="CD32" s="228">
        <v>54615.81</v>
      </c>
      <c r="CE32" s="228">
        <v>51111.85</v>
      </c>
      <c r="CF32" s="225">
        <f t="shared" si="63"/>
        <v>-6.4156514386585126</v>
      </c>
      <c r="CG32" s="73"/>
      <c r="CH32" s="226"/>
      <c r="CI32" s="226" t="s">
        <v>56</v>
      </c>
      <c r="CJ32" s="228">
        <f>ต.ค.!CI32</f>
        <v>59999.48</v>
      </c>
      <c r="CK32" s="228" t="e">
        <f t="shared" si="44"/>
        <v>#REF!</v>
      </c>
      <c r="CL32" s="225" t="e">
        <f t="shared" si="64"/>
        <v>#REF!</v>
      </c>
      <c r="CM32" s="228" t="e">
        <f>#REF!</f>
        <v>#REF!</v>
      </c>
      <c r="CN32" s="228" t="e">
        <f>#REF!</f>
        <v>#REF!</v>
      </c>
      <c r="CO32" s="225" t="e">
        <f t="shared" si="65"/>
        <v>#REF!</v>
      </c>
      <c r="CP32" s="73"/>
      <c r="CQ32" s="226"/>
      <c r="CR32" s="226" t="s">
        <v>56</v>
      </c>
      <c r="CS32" s="228">
        <v>43333.77</v>
      </c>
      <c r="CT32" s="228">
        <v>44719.12</v>
      </c>
      <c r="CU32" s="225">
        <f t="shared" si="66"/>
        <v>3.1969293232506795</v>
      </c>
      <c r="CV32" s="228">
        <v>46580.56</v>
      </c>
      <c r="CW32" s="228">
        <v>44719.12</v>
      </c>
      <c r="CX32" s="225">
        <f t="shared" si="67"/>
        <v>-3.9961735110097325</v>
      </c>
      <c r="CY32" s="73"/>
      <c r="CZ32" s="168"/>
      <c r="DA32" s="168" t="s">
        <v>56</v>
      </c>
      <c r="DB32" s="170">
        <v>47125.84</v>
      </c>
      <c r="DC32" s="170">
        <v>46580.56</v>
      </c>
      <c r="DD32" s="167">
        <f t="shared" si="68"/>
        <v>-1.157072213460808</v>
      </c>
      <c r="DE32" s="170">
        <v>2966.09</v>
      </c>
      <c r="DF32" s="170">
        <v>46580.56</v>
      </c>
      <c r="DG32" s="167">
        <f t="shared" si="69"/>
        <v>1470.4365005782024</v>
      </c>
      <c r="DH32" s="73"/>
      <c r="DI32" s="152"/>
      <c r="DJ32" s="152" t="s">
        <v>56</v>
      </c>
      <c r="DK32" s="149">
        <v>24359.03</v>
      </c>
      <c r="DL32" s="149">
        <v>2966.09</v>
      </c>
      <c r="DM32" s="151">
        <f t="shared" si="70"/>
        <v>-87.82344781380867</v>
      </c>
      <c r="DN32" s="149">
        <v>33142.44</v>
      </c>
      <c r="DO32" s="149">
        <v>2966.09</v>
      </c>
      <c r="DP32" s="151">
        <f t="shared" si="71"/>
        <v>-91.050477876704306</v>
      </c>
      <c r="DQ32" s="73"/>
      <c r="DR32" s="89"/>
      <c r="DS32" s="89" t="s">
        <v>56</v>
      </c>
      <c r="DT32" s="93">
        <v>34717.160000000003</v>
      </c>
      <c r="DU32" s="93">
        <v>33142.44</v>
      </c>
      <c r="DV32" s="129">
        <f t="shared" si="72"/>
        <v>-4.5358548913563235</v>
      </c>
      <c r="DW32" s="93">
        <v>27633.599999999999</v>
      </c>
      <c r="DX32" s="93">
        <v>33142.44</v>
      </c>
      <c r="DY32" s="129">
        <f t="shared" si="73"/>
        <v>19.935296161195083</v>
      </c>
      <c r="DZ32" s="130"/>
      <c r="EA32" s="42"/>
      <c r="EB32" s="42" t="s">
        <v>56</v>
      </c>
      <c r="EC32" s="66">
        <v>28932.37</v>
      </c>
      <c r="ED32" s="66">
        <v>27633.599999999999</v>
      </c>
      <c r="EE32" s="44">
        <f t="shared" si="74"/>
        <v>-4.4889858660040662</v>
      </c>
      <c r="EF32" s="66">
        <v>29476.46</v>
      </c>
      <c r="EG32" s="42">
        <v>27633.599999999999</v>
      </c>
      <c r="EH32" s="65">
        <f t="shared" si="75"/>
        <v>-6.2519719125023858</v>
      </c>
      <c r="EI32" s="61"/>
      <c r="EJ32" s="89"/>
      <c r="EK32" s="89" t="s">
        <v>56</v>
      </c>
      <c r="EL32" s="93">
        <v>29634.68</v>
      </c>
      <c r="EM32" s="93">
        <v>29475.3</v>
      </c>
      <c r="EN32" s="91">
        <f t="shared" si="76"/>
        <v>-0.53781582929190064</v>
      </c>
      <c r="EO32" s="94">
        <v>31617.09</v>
      </c>
      <c r="EP32" s="93">
        <v>29475.3</v>
      </c>
      <c r="EQ32" s="91">
        <f>((EP32-EO32)/EO32)*100</f>
        <v>-6.774152839492821</v>
      </c>
      <c r="ER32" s="61"/>
      <c r="ES32" s="42"/>
      <c r="ET32" s="42" t="s">
        <v>56</v>
      </c>
      <c r="EU32" s="66">
        <v>27261.49</v>
      </c>
      <c r="EV32" s="66">
        <v>31617.09</v>
      </c>
      <c r="EW32" s="44">
        <f t="shared" si="45"/>
        <v>15.97711643787628</v>
      </c>
      <c r="EX32" s="67">
        <v>19845.599999999999</v>
      </c>
      <c r="EY32" s="66">
        <v>31617.09</v>
      </c>
      <c r="EZ32" s="44">
        <f t="shared" si="46"/>
        <v>59.315364614826471</v>
      </c>
      <c r="FA32" s="61"/>
    </row>
    <row r="33" spans="4:136" x14ac:dyDescent="0.5">
      <c r="D33" s="97"/>
      <c r="L33" s="97"/>
      <c r="T33" s="97"/>
      <c r="AA33" s="97"/>
      <c r="AJ33" s="97"/>
      <c r="AS33" s="97"/>
      <c r="BA33" s="97"/>
      <c r="BJ33" s="97"/>
      <c r="DW33" s="97"/>
      <c r="EF33" s="97"/>
    </row>
    <row r="34" spans="4:136" x14ac:dyDescent="0.5">
      <c r="DP34" s="129"/>
    </row>
    <row r="37" spans="4:136" x14ac:dyDescent="0.5">
      <c r="DL37">
        <f>100/127111</f>
        <v>7.8671397440032733E-4</v>
      </c>
    </row>
    <row r="38" spans="4:136" x14ac:dyDescent="0.5">
      <c r="DL38">
        <f>DL37*57326</f>
        <v>45.099165296473167</v>
      </c>
    </row>
  </sheetData>
  <phoneticPr fontId="10" type="noConversion"/>
  <printOptions horizontalCentered="1" verticalCentered="1"/>
  <pageMargins left="0.35433070866141736" right="0.35433070866141736" top="0.78740157480314965" bottom="0.78740157480314965" header="0.51181102362204722" footer="0.51181102362204722"/>
  <pageSetup paperSize="9" scale="10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U33"/>
  <sheetViews>
    <sheetView view="pageBreakPreview" topLeftCell="A16" zoomScale="84" zoomScaleSheetLayoutView="84" workbookViewId="0">
      <selection activeCell="E27" sqref="E27"/>
    </sheetView>
  </sheetViews>
  <sheetFormatPr defaultRowHeight="21.75" x14ac:dyDescent="0.5"/>
  <cols>
    <col min="2" max="2" width="22.85546875" customWidth="1"/>
    <col min="3" max="3" width="9.5703125" customWidth="1"/>
    <col min="4" max="4" width="9.42578125" customWidth="1"/>
    <col min="6" max="6" width="10.42578125" customWidth="1"/>
    <col min="7" max="7" width="9.5703125" customWidth="1"/>
    <col min="10" max="10" width="22" customWidth="1"/>
    <col min="18" max="18" width="25.85546875" customWidth="1"/>
    <col min="26" max="26" width="23.5703125" customWidth="1"/>
    <col min="34" max="34" width="21.85546875" customWidth="1"/>
    <col min="42" max="42" width="26.42578125" customWidth="1"/>
    <col min="50" max="50" width="22.28515625" customWidth="1"/>
    <col min="58" max="58" width="23.28515625" customWidth="1"/>
    <col min="66" max="66" width="22.28515625" customWidth="1"/>
    <col min="81" max="81" width="12.42578125" customWidth="1"/>
    <col min="88" max="88" width="9.140625" customWidth="1"/>
    <col min="90" max="90" width="12.42578125" customWidth="1"/>
    <col min="92" max="92" width="10.28515625" bestFit="1" customWidth="1"/>
    <col min="97" max="97" width="9.140625" customWidth="1"/>
    <col min="99" max="99" width="12.42578125" customWidth="1"/>
    <col min="106" max="106" width="9.140625" customWidth="1"/>
    <col min="108" max="108" width="12.42578125" customWidth="1"/>
    <col min="110" max="110" width="10.140625" bestFit="1" customWidth="1"/>
    <col min="115" max="115" width="9.140625" customWidth="1"/>
    <col min="117" max="117" width="12.42578125" customWidth="1"/>
    <col min="121" max="121" width="10.28515625" bestFit="1" customWidth="1"/>
    <col min="124" max="124" width="9.140625" customWidth="1"/>
    <col min="126" max="126" width="12.42578125" customWidth="1"/>
    <col min="133" max="133" width="9.140625" customWidth="1"/>
    <col min="135" max="135" width="12.42578125" customWidth="1"/>
    <col min="142" max="142" width="9.140625" customWidth="1"/>
  </cols>
  <sheetData>
    <row r="1" spans="1:177" x14ac:dyDescent="0.5">
      <c r="C1" s="62" t="s">
        <v>886</v>
      </c>
      <c r="K1" s="62" t="s">
        <v>847</v>
      </c>
      <c r="S1" s="62" t="s">
        <v>796</v>
      </c>
      <c r="AA1" s="62" t="s">
        <v>745</v>
      </c>
      <c r="AI1" s="62" t="s">
        <v>704</v>
      </c>
      <c r="AQ1" s="62" t="s">
        <v>657</v>
      </c>
      <c r="AY1" s="62" t="s">
        <v>611</v>
      </c>
      <c r="BG1" s="62" t="s">
        <v>563</v>
      </c>
      <c r="BO1" s="62" t="s">
        <v>517</v>
      </c>
      <c r="BW1" s="62" t="s">
        <v>462</v>
      </c>
      <c r="CE1" t="s">
        <v>409</v>
      </c>
      <c r="CL1" t="s">
        <v>315</v>
      </c>
      <c r="CU1" t="s">
        <v>275</v>
      </c>
      <c r="DD1" t="s">
        <v>234</v>
      </c>
      <c r="DM1" t="s">
        <v>197</v>
      </c>
      <c r="DV1" t="s">
        <v>160</v>
      </c>
      <c r="EE1" t="s">
        <v>120</v>
      </c>
      <c r="EN1" t="s">
        <v>74</v>
      </c>
      <c r="EV1" s="33" t="s">
        <v>32</v>
      </c>
      <c r="FC1" s="33" t="s">
        <v>34</v>
      </c>
    </row>
    <row r="2" spans="1:177" x14ac:dyDescent="0.5">
      <c r="A2" s="236"/>
      <c r="B2" s="236"/>
      <c r="C2" s="327" t="s">
        <v>883</v>
      </c>
      <c r="D2" s="327" t="s">
        <v>884</v>
      </c>
      <c r="E2" s="328" t="s">
        <v>3</v>
      </c>
      <c r="F2" s="327" t="s">
        <v>846</v>
      </c>
      <c r="G2" s="368" t="s">
        <v>884</v>
      </c>
      <c r="H2" s="328" t="s">
        <v>3</v>
      </c>
      <c r="I2" s="236"/>
      <c r="J2" s="236"/>
      <c r="K2" s="327" t="s">
        <v>843</v>
      </c>
      <c r="L2" s="327" t="s">
        <v>846</v>
      </c>
      <c r="M2" s="328" t="s">
        <v>3</v>
      </c>
      <c r="N2" s="327" t="s">
        <v>845</v>
      </c>
      <c r="O2" s="327" t="s">
        <v>846</v>
      </c>
      <c r="P2" s="328" t="s">
        <v>3</v>
      </c>
      <c r="Q2" s="236"/>
      <c r="R2" s="236"/>
      <c r="S2" s="327" t="s">
        <v>794</v>
      </c>
      <c r="T2" s="327" t="s">
        <v>798</v>
      </c>
      <c r="U2" s="328" t="s">
        <v>3</v>
      </c>
      <c r="V2" s="327" t="s">
        <v>799</v>
      </c>
      <c r="W2" s="327" t="s">
        <v>800</v>
      </c>
      <c r="X2" s="328" t="s">
        <v>3</v>
      </c>
      <c r="Y2" s="236"/>
      <c r="Z2" s="236"/>
      <c r="AA2" s="327" t="s">
        <v>744</v>
      </c>
      <c r="AB2" s="327" t="s">
        <v>747</v>
      </c>
      <c r="AC2" s="328" t="s">
        <v>3</v>
      </c>
      <c r="AD2" s="327" t="s">
        <v>748</v>
      </c>
      <c r="AE2" s="327" t="s">
        <v>749</v>
      </c>
      <c r="AF2" s="328" t="s">
        <v>3</v>
      </c>
      <c r="AG2" s="236"/>
      <c r="AH2" s="236"/>
      <c r="AI2" s="327" t="s">
        <v>703</v>
      </c>
      <c r="AJ2" s="327" t="s">
        <v>706</v>
      </c>
      <c r="AK2" s="328" t="s">
        <v>3</v>
      </c>
      <c r="AL2" s="327" t="s">
        <v>707</v>
      </c>
      <c r="AM2" s="327" t="s">
        <v>708</v>
      </c>
      <c r="AN2" s="328" t="s">
        <v>3</v>
      </c>
      <c r="AO2" s="236"/>
      <c r="AP2" s="236"/>
      <c r="AQ2" s="327" t="s">
        <v>653</v>
      </c>
      <c r="AR2" s="327" t="s">
        <v>654</v>
      </c>
      <c r="AS2" s="328" t="s">
        <v>3</v>
      </c>
      <c r="AT2" s="327" t="s">
        <v>655</v>
      </c>
      <c r="AU2" s="327" t="s">
        <v>656</v>
      </c>
      <c r="AV2" s="328" t="s">
        <v>3</v>
      </c>
      <c r="AW2" s="236"/>
      <c r="AX2" s="236"/>
      <c r="AY2" s="327" t="s">
        <v>608</v>
      </c>
      <c r="AZ2" s="327" t="s">
        <v>613</v>
      </c>
      <c r="BA2" s="328" t="s">
        <v>3</v>
      </c>
      <c r="BB2" s="327" t="s">
        <v>614</v>
      </c>
      <c r="BC2" s="327" t="s">
        <v>615</v>
      </c>
      <c r="BD2" s="328" t="s">
        <v>3</v>
      </c>
      <c r="BE2" s="236"/>
      <c r="BF2" s="236"/>
      <c r="BG2" s="327" t="s">
        <v>562</v>
      </c>
      <c r="BH2" s="327" t="s">
        <v>565</v>
      </c>
      <c r="BI2" s="328" t="s">
        <v>3</v>
      </c>
      <c r="BJ2" s="327" t="s">
        <v>566</v>
      </c>
      <c r="BK2" s="327" t="s">
        <v>567</v>
      </c>
      <c r="BL2" s="328" t="s">
        <v>3</v>
      </c>
      <c r="BM2" s="236"/>
      <c r="BN2" s="236"/>
      <c r="BO2" s="327" t="s">
        <v>516</v>
      </c>
      <c r="BP2" s="327" t="s">
        <v>518</v>
      </c>
      <c r="BQ2" s="328" t="s">
        <v>3</v>
      </c>
      <c r="BR2" s="327" t="s">
        <v>463</v>
      </c>
      <c r="BS2" s="327" t="s">
        <v>519</v>
      </c>
      <c r="BT2" s="328" t="s">
        <v>3</v>
      </c>
      <c r="BU2" s="236"/>
      <c r="BV2" s="236"/>
      <c r="BW2" s="327" t="s">
        <v>459</v>
      </c>
      <c r="BX2" s="327" t="s">
        <v>463</v>
      </c>
      <c r="BY2" s="328" t="s">
        <v>3</v>
      </c>
      <c r="BZ2" s="327" t="s">
        <v>464</v>
      </c>
      <c r="CA2" s="327" t="s">
        <v>465</v>
      </c>
      <c r="CB2" s="328" t="s">
        <v>3</v>
      </c>
      <c r="CC2" s="62"/>
      <c r="CD2" s="236"/>
      <c r="CE2" s="237" t="s">
        <v>408</v>
      </c>
      <c r="CF2" s="237" t="s">
        <v>411</v>
      </c>
      <c r="CG2" s="236" t="s">
        <v>3</v>
      </c>
      <c r="CH2" s="237" t="s">
        <v>412</v>
      </c>
      <c r="CI2" s="237" t="s">
        <v>413</v>
      </c>
      <c r="CJ2" s="236" t="s">
        <v>3</v>
      </c>
      <c r="CK2" s="62"/>
      <c r="CL2" s="237" t="s">
        <v>313</v>
      </c>
      <c r="CM2" s="237" t="s">
        <v>317</v>
      </c>
      <c r="CN2" s="236" t="s">
        <v>3</v>
      </c>
      <c r="CO2" s="237" t="s">
        <v>277</v>
      </c>
      <c r="CP2" s="237" t="s">
        <v>318</v>
      </c>
      <c r="CQ2" s="236" t="s">
        <v>3</v>
      </c>
      <c r="CR2" s="62"/>
      <c r="CS2" s="98"/>
      <c r="CT2" s="98"/>
      <c r="CU2" s="143" t="s">
        <v>274</v>
      </c>
      <c r="CV2" s="143" t="s">
        <v>277</v>
      </c>
      <c r="CW2" s="98" t="s">
        <v>3</v>
      </c>
      <c r="CX2" s="145" t="s">
        <v>232</v>
      </c>
      <c r="CY2" s="143" t="s">
        <v>277</v>
      </c>
      <c r="CZ2" s="98" t="s">
        <v>3</v>
      </c>
      <c r="DA2" s="62"/>
      <c r="DB2" s="98"/>
      <c r="DC2" s="98"/>
      <c r="DD2" s="143" t="s">
        <v>228</v>
      </c>
      <c r="DE2" s="143" t="s">
        <v>232</v>
      </c>
      <c r="DF2" s="98" t="s">
        <v>3</v>
      </c>
      <c r="DG2" s="145" t="s">
        <v>199</v>
      </c>
      <c r="DH2" s="143" t="s">
        <v>232</v>
      </c>
      <c r="DI2" s="98" t="s">
        <v>3</v>
      </c>
      <c r="DJ2" s="62"/>
      <c r="DK2" s="118"/>
      <c r="DL2" s="118"/>
      <c r="DM2" s="131" t="s">
        <v>196</v>
      </c>
      <c r="DN2" s="131" t="s">
        <v>199</v>
      </c>
      <c r="DO2" s="118" t="s">
        <v>3</v>
      </c>
      <c r="DP2" s="119" t="s">
        <v>162</v>
      </c>
      <c r="DQ2" s="119" t="s">
        <v>199</v>
      </c>
      <c r="DR2" s="118" t="s">
        <v>3</v>
      </c>
      <c r="DS2" s="62"/>
      <c r="DT2" s="98"/>
      <c r="DU2" s="98"/>
      <c r="DV2" s="99" t="s">
        <v>159</v>
      </c>
      <c r="DW2" s="99" t="s">
        <v>162</v>
      </c>
      <c r="DX2" s="98" t="s">
        <v>3</v>
      </c>
      <c r="DY2" s="99" t="s">
        <v>122</v>
      </c>
      <c r="DZ2" s="99" t="s">
        <v>162</v>
      </c>
      <c r="EA2" s="98" t="s">
        <v>3</v>
      </c>
      <c r="EB2" s="62"/>
      <c r="EC2" s="84"/>
      <c r="ED2" s="84"/>
      <c r="EE2" s="85" t="s">
        <v>118</v>
      </c>
      <c r="EF2" s="85" t="s">
        <v>122</v>
      </c>
      <c r="EG2" s="84" t="s">
        <v>3</v>
      </c>
      <c r="EH2" s="85" t="s">
        <v>123</v>
      </c>
      <c r="EI2" s="85" t="s">
        <v>122</v>
      </c>
      <c r="EJ2" s="84" t="s">
        <v>3</v>
      </c>
      <c r="EK2" s="62"/>
      <c r="EL2" s="54"/>
      <c r="EM2" s="54"/>
      <c r="EN2" s="55">
        <v>18507</v>
      </c>
      <c r="EO2" s="55">
        <v>18537</v>
      </c>
      <c r="EP2" s="54" t="s">
        <v>3</v>
      </c>
      <c r="EQ2" s="55">
        <v>18172</v>
      </c>
      <c r="ER2" s="55">
        <v>18537</v>
      </c>
      <c r="ES2" s="54" t="s">
        <v>3</v>
      </c>
      <c r="ET2" s="62"/>
      <c r="EU2" s="29"/>
      <c r="EV2" s="30">
        <v>18142</v>
      </c>
      <c r="EW2" s="30">
        <v>18172</v>
      </c>
      <c r="EX2" s="29" t="s">
        <v>3</v>
      </c>
      <c r="EY2" s="30">
        <v>17807</v>
      </c>
      <c r="EZ2" s="30">
        <v>18172</v>
      </c>
      <c r="FA2" s="29" t="s">
        <v>3</v>
      </c>
      <c r="FC2" s="38"/>
      <c r="FD2" s="39">
        <v>17777</v>
      </c>
      <c r="FE2" s="39">
        <v>17807</v>
      </c>
      <c r="FF2" s="38" t="s">
        <v>3</v>
      </c>
      <c r="FG2" s="39">
        <v>17441</v>
      </c>
      <c r="FH2" s="39">
        <v>17807</v>
      </c>
      <c r="FI2" s="38" t="s">
        <v>3</v>
      </c>
    </row>
    <row r="3" spans="1:177" x14ac:dyDescent="0.5">
      <c r="A3" s="229" t="s">
        <v>0</v>
      </c>
      <c r="B3" s="229"/>
      <c r="C3" s="230">
        <v>156742</v>
      </c>
      <c r="D3" s="230">
        <v>150489</v>
      </c>
      <c r="E3" s="351">
        <f t="shared" ref="E3:E8" si="0">((D3-C3)/C3)*100</f>
        <v>-3.9893583085580122</v>
      </c>
      <c r="F3" s="230">
        <v>149010</v>
      </c>
      <c r="G3" s="369">
        <v>150489</v>
      </c>
      <c r="H3" s="231">
        <f>((G3-F3)/F3)*100</f>
        <v>0.99255083551439505</v>
      </c>
      <c r="I3" s="229" t="s">
        <v>0</v>
      </c>
      <c r="J3" s="229"/>
      <c r="K3" s="230">
        <v>146590</v>
      </c>
      <c r="L3" s="230">
        <v>149010</v>
      </c>
      <c r="M3" s="351">
        <f>((L3-K3)/K3)*100</f>
        <v>1.6508629510880688</v>
      </c>
      <c r="N3" s="230">
        <v>140114</v>
      </c>
      <c r="O3" s="230">
        <v>149010</v>
      </c>
      <c r="P3" s="231">
        <f>((O3-N3)/N3)*100</f>
        <v>6.3491157200565249</v>
      </c>
      <c r="Q3" s="229" t="s">
        <v>0</v>
      </c>
      <c r="R3" s="229"/>
      <c r="S3" s="230">
        <v>169054</v>
      </c>
      <c r="T3" s="230">
        <v>140114</v>
      </c>
      <c r="U3" s="351">
        <f>((T3-S3)/S3)*100</f>
        <v>-17.118790445656419</v>
      </c>
      <c r="V3" s="230">
        <v>171644</v>
      </c>
      <c r="W3" s="230">
        <v>140114</v>
      </c>
      <c r="X3" s="231">
        <f>((W3-V3)/V3)*100</f>
        <v>-18.369415767518817</v>
      </c>
      <c r="Y3" s="229" t="s">
        <v>0</v>
      </c>
      <c r="Z3" s="229"/>
      <c r="AA3" s="230">
        <v>197450</v>
      </c>
      <c r="AB3" s="230">
        <v>171644</v>
      </c>
      <c r="AC3" s="351">
        <f>((AB3-AA3)/AA3)*100</f>
        <v>-13.069637883008356</v>
      </c>
      <c r="AD3" s="230">
        <v>144844</v>
      </c>
      <c r="AE3" s="230">
        <v>171644</v>
      </c>
      <c r="AF3" s="231">
        <f>((AE3-AD3)/AD3)*100</f>
        <v>18.502664936069149</v>
      </c>
      <c r="AG3" s="229" t="s">
        <v>0</v>
      </c>
      <c r="AH3" s="229"/>
      <c r="AI3" s="230">
        <v>110017</v>
      </c>
      <c r="AJ3" s="230">
        <v>144844</v>
      </c>
      <c r="AK3" s="351">
        <f>((AJ3-AI3)/AI3)*100</f>
        <v>31.656016797404035</v>
      </c>
      <c r="AL3" s="230">
        <v>166636</v>
      </c>
      <c r="AM3" s="230">
        <v>144844</v>
      </c>
      <c r="AN3" s="231">
        <f>((AM3-AL3)/AL3)*100</f>
        <v>-13.077606279555438</v>
      </c>
      <c r="AO3" s="229" t="s">
        <v>0</v>
      </c>
      <c r="AP3" s="229"/>
      <c r="AQ3" s="230">
        <v>174645</v>
      </c>
      <c r="AR3" s="230">
        <v>166636</v>
      </c>
      <c r="AS3" s="351">
        <f>((AR3-AQ3)/AQ3)*100</f>
        <v>-4.5858742019525316</v>
      </c>
      <c r="AT3" s="230">
        <v>161318</v>
      </c>
      <c r="AU3" s="230">
        <v>166636</v>
      </c>
      <c r="AV3" s="231">
        <f>((AU3-AT3)/AT3)*100</f>
        <v>3.2965943044173622</v>
      </c>
      <c r="AW3" s="229" t="s">
        <v>0</v>
      </c>
      <c r="AX3" s="229"/>
      <c r="AY3" s="230">
        <v>168567</v>
      </c>
      <c r="AZ3" s="230">
        <v>161318</v>
      </c>
      <c r="BA3" s="231">
        <f>((AZ3-AY3)/AY3)*100</f>
        <v>-4.300367213036953</v>
      </c>
      <c r="BB3" s="230">
        <v>167314</v>
      </c>
      <c r="BC3" s="230">
        <v>161318</v>
      </c>
      <c r="BD3" s="231">
        <f>((BC3-BB3)/BB3)*100</f>
        <v>-3.5836809830617877</v>
      </c>
      <c r="BE3" s="229" t="s">
        <v>0</v>
      </c>
      <c r="BF3" s="229"/>
      <c r="BG3" s="230">
        <v>165551</v>
      </c>
      <c r="BH3" s="230">
        <v>167314</v>
      </c>
      <c r="BI3" s="231">
        <f>((BH3-BG3)/BG3)*100</f>
        <v>1.0649286322643776</v>
      </c>
      <c r="BJ3" s="230">
        <v>164175</v>
      </c>
      <c r="BK3" s="230">
        <v>167314</v>
      </c>
      <c r="BL3" s="231">
        <f>((BK3-BJ3)/BJ3)*100</f>
        <v>1.9119841632404446</v>
      </c>
      <c r="BM3" s="229" t="s">
        <v>0</v>
      </c>
      <c r="BN3" s="229"/>
      <c r="BO3" s="230">
        <v>172085</v>
      </c>
      <c r="BP3" s="230">
        <v>164175</v>
      </c>
      <c r="BQ3" s="231">
        <f>((BP3-BO3)/BO3)*100</f>
        <v>-4.5965656506958767</v>
      </c>
      <c r="BR3" s="230">
        <v>155483</v>
      </c>
      <c r="BS3" s="230">
        <v>164175</v>
      </c>
      <c r="BT3" s="231">
        <f>((BS3-BR3)/BR3)*100</f>
        <v>5.5903217715119986</v>
      </c>
      <c r="BU3" s="229" t="s">
        <v>0</v>
      </c>
      <c r="BV3" s="229"/>
      <c r="BW3" s="230">
        <v>151294</v>
      </c>
      <c r="BX3" s="230">
        <v>155483</v>
      </c>
      <c r="BY3" s="231">
        <f>((BX3-BW3)/BW3)*100</f>
        <v>2.7687813132047538</v>
      </c>
      <c r="BZ3" s="230">
        <v>145279</v>
      </c>
      <c r="CA3" s="230">
        <v>155483</v>
      </c>
      <c r="CB3" s="231">
        <f>((CA3-BZ3)/BZ3)*100</f>
        <v>7.0237267602337576</v>
      </c>
      <c r="CC3" s="73"/>
      <c r="CD3" s="229"/>
      <c r="CE3" s="230">
        <v>149234</v>
      </c>
      <c r="CF3" s="230">
        <v>145279</v>
      </c>
      <c r="CG3" s="231">
        <f>((CF3-CE3)/CE3)*100</f>
        <v>-2.6502003564871273</v>
      </c>
      <c r="CH3" s="230">
        <v>155403</v>
      </c>
      <c r="CI3" s="230">
        <v>145279</v>
      </c>
      <c r="CJ3" s="231">
        <f>((CI3-CH3)/CH3)*100</f>
        <v>-6.514674748878722</v>
      </c>
      <c r="CK3" s="73"/>
      <c r="CL3" s="230">
        <f>SUM(CL4:CL5)</f>
        <v>171654</v>
      </c>
      <c r="CM3" s="230">
        <f>SUM(CM4:CM5)</f>
        <v>163385</v>
      </c>
      <c r="CN3" s="231">
        <f>((CM3-CL3)/CL3)*100</f>
        <v>-4.8172486513567998</v>
      </c>
      <c r="CO3" s="230">
        <f>SUM(CO4:CO5)</f>
        <v>202118</v>
      </c>
      <c r="CP3" s="230">
        <v>163385</v>
      </c>
      <c r="CQ3" s="231">
        <f>((CP3-CO3)/CO3)*100</f>
        <v>-19.163557921610149</v>
      </c>
      <c r="CR3" s="73"/>
      <c r="CS3" s="100" t="s">
        <v>0</v>
      </c>
      <c r="CT3" s="100"/>
      <c r="CU3" s="101">
        <f>SUM(CU4:CU5)</f>
        <v>217281</v>
      </c>
      <c r="CV3" s="101">
        <f>SUM(CV4:CV5)</f>
        <v>202118</v>
      </c>
      <c r="CW3" s="102">
        <f>((CV3-CU3)/CU3)*100</f>
        <v>-6.9785209015054237</v>
      </c>
      <c r="CX3" s="101">
        <f>SUM(CX4:CX5)</f>
        <v>66369</v>
      </c>
      <c r="CY3" s="101">
        <f>SUM(CY4:CY5)</f>
        <v>202118</v>
      </c>
      <c r="CZ3" s="102">
        <f>((CY3-CX3)/CX3)*100</f>
        <v>204.53675661830073</v>
      </c>
      <c r="DA3" s="73"/>
      <c r="DB3" s="100" t="s">
        <v>0</v>
      </c>
      <c r="DC3" s="100"/>
      <c r="DD3" s="101">
        <f>SUM(DD4:DD5)</f>
        <v>207564</v>
      </c>
      <c r="DE3" s="101">
        <f>SUM(DE4:DE5)</f>
        <v>66369</v>
      </c>
      <c r="DF3" s="102">
        <f>((DE3-DD3)/DD3)*100</f>
        <v>-68.024801988784176</v>
      </c>
      <c r="DG3" s="101">
        <f>SUM(DG4:DG5)</f>
        <v>183242</v>
      </c>
      <c r="DH3" s="101">
        <v>66369</v>
      </c>
      <c r="DI3" s="102">
        <f>((DH3-DG3)/DG3)*100</f>
        <v>-63.780683467763943</v>
      </c>
      <c r="DJ3" s="73"/>
      <c r="DK3" s="120" t="s">
        <v>0</v>
      </c>
      <c r="DL3" s="120"/>
      <c r="DM3" s="133">
        <v>177588</v>
      </c>
      <c r="DN3" s="133">
        <v>183011</v>
      </c>
      <c r="DO3" s="125">
        <f>((DN3-DM3)/DM3)*100</f>
        <v>3.0536973218911188</v>
      </c>
      <c r="DP3" s="121">
        <v>163863</v>
      </c>
      <c r="DQ3" s="133">
        <v>183011</v>
      </c>
      <c r="DR3" s="125">
        <f>((DQ3-DP3)/DP3)*100</f>
        <v>11.685371316282504</v>
      </c>
      <c r="DS3" s="127"/>
      <c r="DT3" s="100" t="s">
        <v>0</v>
      </c>
      <c r="DU3" s="100"/>
      <c r="DV3" s="101">
        <f>SUM(DV4:DV5)</f>
        <v>146162</v>
      </c>
      <c r="DW3" s="101">
        <f>SUM(DW4:DW5)</f>
        <v>163863</v>
      </c>
      <c r="DX3" s="102">
        <f>((DW3-DV3)/DV3)*100</f>
        <v>12.110534885948468</v>
      </c>
      <c r="DY3" s="101">
        <v>176726</v>
      </c>
      <c r="DZ3" s="101">
        <v>163863</v>
      </c>
      <c r="EA3" s="102">
        <f>((DZ3-DY3)/DY3)*100</f>
        <v>-7.2784989192308993</v>
      </c>
      <c r="EB3" s="73"/>
      <c r="EC3" s="74" t="s">
        <v>0</v>
      </c>
      <c r="ED3" s="74"/>
      <c r="EE3" s="75">
        <f>EE4+EE5</f>
        <v>171860</v>
      </c>
      <c r="EF3" s="75">
        <f>SUM(EF4:EF5)</f>
        <v>176726</v>
      </c>
      <c r="EG3" s="76">
        <f>((EF3-EE3)/EE3)*100</f>
        <v>2.8313743744908648</v>
      </c>
      <c r="EH3" s="75">
        <v>136569</v>
      </c>
      <c r="EI3" s="75">
        <f>SUM(EI4:EI5)</f>
        <v>176726</v>
      </c>
      <c r="EJ3" s="76">
        <f>((EI3-EH3)/EH3)*100</f>
        <v>29.40418396561445</v>
      </c>
      <c r="EK3" s="73"/>
      <c r="EL3" s="63" t="s">
        <v>0</v>
      </c>
      <c r="EM3" s="63"/>
      <c r="EN3" s="64">
        <f>SUM(EN4:EN5)</f>
        <v>124347</v>
      </c>
      <c r="EO3" s="64">
        <f>SUM(EO4:EO5)</f>
        <v>136569</v>
      </c>
      <c r="EP3" s="65">
        <f t="shared" ref="EP3:EP18" si="1">(EO3-EN3)/EN3*100</f>
        <v>9.8289464160775903</v>
      </c>
      <c r="EQ3" s="64">
        <v>148127</v>
      </c>
      <c r="ER3" s="64">
        <f>SUM(ER4:ER5)</f>
        <v>136569</v>
      </c>
      <c r="ES3" s="65">
        <f t="shared" ref="ES3:ES18" si="2">(ER3-EQ3)/EQ3*100</f>
        <v>-7.8027638445388083</v>
      </c>
      <c r="ET3" s="73"/>
      <c r="EU3" s="24" t="s">
        <v>0</v>
      </c>
      <c r="EV3" s="25">
        <v>159778</v>
      </c>
      <c r="EW3" s="25">
        <v>148127</v>
      </c>
      <c r="EX3" s="32">
        <f>(EW3-EV3)/EV3*100</f>
        <v>-7.291992639787706</v>
      </c>
      <c r="EY3" s="27">
        <v>203856</v>
      </c>
      <c r="EZ3" s="25">
        <v>148127</v>
      </c>
      <c r="FA3" s="32">
        <f>(EZ3-EY3)/EY3*100</f>
        <v>-27.337434267325953</v>
      </c>
      <c r="FC3" s="4" t="s">
        <v>0</v>
      </c>
      <c r="FD3" s="5">
        <v>186671</v>
      </c>
      <c r="FE3" s="5">
        <v>203856</v>
      </c>
      <c r="FF3" s="36">
        <f>(FE3-FD3)/FD3*100</f>
        <v>9.206036288443304</v>
      </c>
      <c r="FG3" s="46">
        <v>293860</v>
      </c>
      <c r="FH3" s="5">
        <v>203856</v>
      </c>
      <c r="FI3" s="47">
        <f>((FH3-FG3)/FG3)*100</f>
        <v>-30.628190294698154</v>
      </c>
    </row>
    <row r="4" spans="1:177" x14ac:dyDescent="0.5">
      <c r="A4" s="232"/>
      <c r="B4" s="232" t="s">
        <v>444</v>
      </c>
      <c r="C4" s="233">
        <v>133269</v>
      </c>
      <c r="D4" s="233">
        <v>131260</v>
      </c>
      <c r="E4" s="351">
        <f t="shared" si="0"/>
        <v>-1.5074773578251508</v>
      </c>
      <c r="F4" s="233">
        <v>116833</v>
      </c>
      <c r="G4" s="370">
        <v>131260</v>
      </c>
      <c r="H4" s="231">
        <f>((G4-F4)/F4)*100</f>
        <v>12.348394717245984</v>
      </c>
      <c r="I4" s="232"/>
      <c r="J4" s="232" t="s">
        <v>444</v>
      </c>
      <c r="K4" s="233">
        <v>117616</v>
      </c>
      <c r="L4" s="233">
        <v>116833</v>
      </c>
      <c r="M4" s="351">
        <f>((L4-K4)/K4)*100</f>
        <v>-0.66572575159842196</v>
      </c>
      <c r="N4" s="233">
        <v>105106</v>
      </c>
      <c r="O4" s="233">
        <v>116833</v>
      </c>
      <c r="P4" s="231">
        <f>((O4-N4)/N4)*100</f>
        <v>11.157307860635928</v>
      </c>
      <c r="Q4" s="232"/>
      <c r="R4" s="232" t="s">
        <v>444</v>
      </c>
      <c r="S4" s="233">
        <v>136036</v>
      </c>
      <c r="T4" s="233">
        <v>105106</v>
      </c>
      <c r="U4" s="351">
        <f>((T4-S4)/S4)*100</f>
        <v>-22.736628539504249</v>
      </c>
      <c r="V4" s="233">
        <v>132382</v>
      </c>
      <c r="W4" s="233">
        <v>105106</v>
      </c>
      <c r="X4" s="231">
        <f>((W4-V4)/V4)*100</f>
        <v>-20.604009608557057</v>
      </c>
      <c r="Y4" s="232"/>
      <c r="Z4" s="232" t="s">
        <v>444</v>
      </c>
      <c r="AA4" s="233">
        <v>153394</v>
      </c>
      <c r="AB4" s="233">
        <v>132382</v>
      </c>
      <c r="AC4" s="351">
        <f>((AB4-AA4)/AA4)*100</f>
        <v>-13.698058594208378</v>
      </c>
      <c r="AD4" s="233">
        <v>108997</v>
      </c>
      <c r="AE4" s="233">
        <v>132382</v>
      </c>
      <c r="AF4" s="231">
        <f>((AE4-AD4)/AD4)*100</f>
        <v>21.454718937218455</v>
      </c>
      <c r="AG4" s="232"/>
      <c r="AH4" s="232" t="s">
        <v>444</v>
      </c>
      <c r="AI4" s="233">
        <v>84249</v>
      </c>
      <c r="AJ4" s="233">
        <v>108997</v>
      </c>
      <c r="AK4" s="351">
        <f>((AJ4-AI4)/AI4)*100</f>
        <v>29.374829374829375</v>
      </c>
      <c r="AL4" s="233">
        <v>137036</v>
      </c>
      <c r="AM4" s="233">
        <v>108997</v>
      </c>
      <c r="AN4" s="231">
        <f>((AM4-AL4)/AL4)*100</f>
        <v>-20.461046732245542</v>
      </c>
      <c r="AO4" s="232"/>
      <c r="AP4" s="232" t="s">
        <v>444</v>
      </c>
      <c r="AQ4" s="233">
        <v>148092</v>
      </c>
      <c r="AR4" s="233">
        <v>137036</v>
      </c>
      <c r="AS4" s="351">
        <f>((AR4-AQ4)/AQ4)*100</f>
        <v>-7.4656294735704831</v>
      </c>
      <c r="AT4" s="233">
        <v>133950</v>
      </c>
      <c r="AU4" s="233">
        <v>137036</v>
      </c>
      <c r="AV4" s="231">
        <f>((AU4-AT4)/AT4)*100</f>
        <v>2.303844718178425</v>
      </c>
      <c r="AW4" s="232"/>
      <c r="AX4" s="232" t="s">
        <v>444</v>
      </c>
      <c r="AY4" s="233">
        <v>137238</v>
      </c>
      <c r="AZ4" s="233">
        <v>133950</v>
      </c>
      <c r="BA4" s="231">
        <f>((AZ4-AY4)/AY4)*100</f>
        <v>-2.3958378874655706</v>
      </c>
      <c r="BB4" s="233">
        <v>137629</v>
      </c>
      <c r="BC4" s="233">
        <v>133950</v>
      </c>
      <c r="BD4" s="231">
        <f>((BC4-BB4)/BB4)*100</f>
        <v>-2.673128483095859</v>
      </c>
      <c r="BE4" s="232"/>
      <c r="BF4" s="232" t="s">
        <v>444</v>
      </c>
      <c r="BG4" s="233">
        <v>143150</v>
      </c>
      <c r="BH4" s="233">
        <v>137629</v>
      </c>
      <c r="BI4" s="231">
        <f>((BH4-BG4)/BG4)*100</f>
        <v>-3.8567935731749916</v>
      </c>
      <c r="BJ4" s="233">
        <v>126172</v>
      </c>
      <c r="BK4" s="233">
        <v>137629</v>
      </c>
      <c r="BL4" s="231">
        <f t="shared" ref="BL4:BL14" si="3">((BK4-BJ4)/BJ4)*100</f>
        <v>9.0804615921123535</v>
      </c>
      <c r="BM4" s="232"/>
      <c r="BN4" s="232" t="s">
        <v>444</v>
      </c>
      <c r="BO4" s="233">
        <v>131180</v>
      </c>
      <c r="BP4" s="233">
        <v>126172</v>
      </c>
      <c r="BQ4" s="231">
        <f t="shared" ref="BQ4:BQ18" si="4">((BP4-BO4)/BO4)*100</f>
        <v>-3.8176551303552375</v>
      </c>
      <c r="BR4" s="233">
        <v>114527</v>
      </c>
      <c r="BS4" s="233">
        <v>126172</v>
      </c>
      <c r="BT4" s="231">
        <f>((BS4-BR4)/BR4)*100</f>
        <v>10.167908004226078</v>
      </c>
      <c r="BU4" s="232"/>
      <c r="BV4" s="232" t="s">
        <v>444</v>
      </c>
      <c r="BW4" s="233">
        <v>115437</v>
      </c>
      <c r="BX4" s="233">
        <v>114527</v>
      </c>
      <c r="BY4" s="231">
        <f t="shared" ref="BY4:BY18" si="5">((BX4-BW4)/BW4)*100</f>
        <v>-0.78830877448305137</v>
      </c>
      <c r="BZ4" s="233">
        <v>114653</v>
      </c>
      <c r="CA4" s="233">
        <v>114527</v>
      </c>
      <c r="CB4" s="231">
        <f t="shared" ref="CB4:CB18" si="6">((CA4-BZ4)/BZ4)*100</f>
        <v>-0.10989681909762501</v>
      </c>
      <c r="CC4" s="73"/>
      <c r="CD4" s="232" t="s">
        <v>57</v>
      </c>
      <c r="CE4" s="233">
        <v>121625</v>
      </c>
      <c r="CF4" s="233">
        <v>114653</v>
      </c>
      <c r="CG4" s="231">
        <f t="shared" ref="CG4:CG18" si="7">((CF4-CE4)/CE4)*100</f>
        <v>-5.732374100719424</v>
      </c>
      <c r="CH4" s="233">
        <v>127118</v>
      </c>
      <c r="CI4" s="233">
        <v>114653</v>
      </c>
      <c r="CJ4" s="231">
        <f t="shared" ref="CJ4:CJ18" si="8">((CI4-CH4)/CH4)*100</f>
        <v>-9.8058496829717274</v>
      </c>
      <c r="CK4" s="73"/>
      <c r="CL4" s="233">
        <v>143941</v>
      </c>
      <c r="CM4" s="233">
        <v>132502</v>
      </c>
      <c r="CN4" s="231">
        <f t="shared" ref="CN4:CN18" si="9">((CM4-CL4)/CL4)*100</f>
        <v>-7.9470060649849588</v>
      </c>
      <c r="CO4" s="233">
        <v>179262</v>
      </c>
      <c r="CP4" s="233">
        <v>132502</v>
      </c>
      <c r="CQ4" s="231">
        <f t="shared" ref="CQ4:CQ18" si="10">((CP4-CO4)/CO4)*100</f>
        <v>-26.084725150896453</v>
      </c>
      <c r="CR4" s="73"/>
      <c r="CS4" s="103"/>
      <c r="CT4" s="103" t="s">
        <v>57</v>
      </c>
      <c r="CU4" s="104">
        <v>195777</v>
      </c>
      <c r="CV4" s="104">
        <v>179262</v>
      </c>
      <c r="CW4" s="102">
        <f t="shared" ref="CW4:CW18" si="11">((CV4-CU4)/CU4)*100</f>
        <v>-8.4356180756677244</v>
      </c>
      <c r="CX4" s="104">
        <v>46498</v>
      </c>
      <c r="CY4" s="104">
        <v>179262</v>
      </c>
      <c r="CZ4" s="102">
        <f t="shared" ref="CZ4:CZ18" si="12">((CY4-CX4)/CX4)*100</f>
        <v>285.52625919394382</v>
      </c>
      <c r="DA4" s="73"/>
      <c r="DB4" s="103"/>
      <c r="DC4" s="103" t="s">
        <v>57</v>
      </c>
      <c r="DD4" s="104">
        <v>188738</v>
      </c>
      <c r="DE4" s="104">
        <v>46498</v>
      </c>
      <c r="DF4" s="102">
        <f t="shared" ref="DF4:DF18" si="13">((DE4-DD4)/DD4)*100</f>
        <v>-75.363731733938053</v>
      </c>
      <c r="DG4" s="104">
        <v>173828</v>
      </c>
      <c r="DH4" s="104">
        <v>46498</v>
      </c>
      <c r="DI4" s="102">
        <f t="shared" ref="DI4:DI18" si="14">((DH4-DG4)/DG4)*100</f>
        <v>-73.250569528499426</v>
      </c>
      <c r="DJ4" s="73"/>
      <c r="DK4" s="24"/>
      <c r="DL4" s="24" t="s">
        <v>57</v>
      </c>
      <c r="DM4" s="50">
        <v>169385</v>
      </c>
      <c r="DN4" s="50">
        <v>173828</v>
      </c>
      <c r="DO4" s="128">
        <f t="shared" ref="DO4:DO18" si="15">((DN4-DM4)/DM4)*100</f>
        <v>2.6230185671694661</v>
      </c>
      <c r="DP4" s="123">
        <v>155470</v>
      </c>
      <c r="DQ4" s="50">
        <v>173828</v>
      </c>
      <c r="DR4" s="128">
        <f t="shared" ref="DR4:DR18" si="16">((DQ4-DP4)/DP4)*100</f>
        <v>11.808065864797067</v>
      </c>
      <c r="DS4" s="130"/>
      <c r="DT4" s="103"/>
      <c r="DU4" s="103" t="s">
        <v>57</v>
      </c>
      <c r="DV4" s="104">
        <v>136945</v>
      </c>
      <c r="DW4" s="104">
        <v>155470</v>
      </c>
      <c r="DX4" s="102">
        <f t="shared" ref="DX4:DX18" si="17">((DW4-DV4)/DV4)*100</f>
        <v>13.527328489539597</v>
      </c>
      <c r="DY4" s="104">
        <v>161656</v>
      </c>
      <c r="DZ4" s="104">
        <v>155470</v>
      </c>
      <c r="EA4" s="102">
        <f t="shared" ref="EA4:EA18" si="18">((DZ4-DY4)/DY4)*100</f>
        <v>-3.826644232196764</v>
      </c>
      <c r="EB4" s="73"/>
      <c r="EC4" s="77"/>
      <c r="ED4" s="77" t="s">
        <v>57</v>
      </c>
      <c r="EE4" s="78">
        <v>160018</v>
      </c>
      <c r="EF4" s="78">
        <v>161656</v>
      </c>
      <c r="EG4" s="79">
        <f t="shared" ref="EG4:EG18" si="19">((EF4-EE4)/EE4)*100</f>
        <v>1.0236348410803784</v>
      </c>
      <c r="EH4" s="80">
        <v>127782</v>
      </c>
      <c r="EI4" s="78">
        <v>161656</v>
      </c>
      <c r="EJ4" s="79">
        <f t="shared" ref="EJ4:EJ18" si="20">((EI4-EH4)/EH4)*100</f>
        <v>26.509210999984351</v>
      </c>
      <c r="EK4" s="61"/>
      <c r="EL4" s="42"/>
      <c r="EM4" s="42" t="s">
        <v>57</v>
      </c>
      <c r="EN4" s="43">
        <v>116647</v>
      </c>
      <c r="EO4" s="58">
        <v>127782</v>
      </c>
      <c r="EP4" s="44">
        <f t="shared" si="1"/>
        <v>9.5458948794225318</v>
      </c>
      <c r="EQ4" s="43">
        <v>142120</v>
      </c>
      <c r="ER4" s="58">
        <v>127782</v>
      </c>
      <c r="ES4" s="44">
        <f t="shared" si="2"/>
        <v>-10.088657472558401</v>
      </c>
      <c r="ET4" s="61"/>
      <c r="EU4" s="24" t="s">
        <v>1</v>
      </c>
      <c r="EV4" s="25">
        <v>158415</v>
      </c>
      <c r="EW4" s="25">
        <v>144203</v>
      </c>
      <c r="EX4" s="32">
        <f>(EW4-EV4)/EV4*100</f>
        <v>-8.9713726604172574</v>
      </c>
      <c r="EY4" s="27">
        <v>188599</v>
      </c>
      <c r="EZ4" s="25">
        <v>144203</v>
      </c>
      <c r="FA4" s="32">
        <f>(EZ4-EY4)/EY4*100</f>
        <v>-23.539891515861697</v>
      </c>
      <c r="FC4" s="4" t="s">
        <v>1</v>
      </c>
      <c r="FD4" s="5">
        <v>167735</v>
      </c>
      <c r="FE4" s="5">
        <v>188599</v>
      </c>
      <c r="FF4" s="36">
        <f>(FE4-FD4)/FD4*100</f>
        <v>12.43866813724029</v>
      </c>
      <c r="FG4" s="37">
        <v>161232</v>
      </c>
      <c r="FH4" s="5">
        <v>188599</v>
      </c>
      <c r="FI4" s="47">
        <f>((FH4-FG4)/FG4)*100</f>
        <v>16.973677681849757</v>
      </c>
    </row>
    <row r="5" spans="1:177" x14ac:dyDescent="0.5">
      <c r="A5" s="232"/>
      <c r="B5" s="232" t="s">
        <v>58</v>
      </c>
      <c r="C5" s="233">
        <v>20915</v>
      </c>
      <c r="D5" s="233">
        <v>17557</v>
      </c>
      <c r="E5" s="351">
        <f t="shared" si="0"/>
        <v>-16.05546258666029</v>
      </c>
      <c r="F5" s="233">
        <v>28681</v>
      </c>
      <c r="G5" s="370">
        <v>17557</v>
      </c>
      <c r="H5" s="231">
        <f>((G5-F5)/F5)*100</f>
        <v>-38.785258533523937</v>
      </c>
      <c r="I5" s="232"/>
      <c r="J5" s="232" t="s">
        <v>58</v>
      </c>
      <c r="K5" s="233">
        <v>25224</v>
      </c>
      <c r="L5" s="233">
        <v>28681</v>
      </c>
      <c r="M5" s="351">
        <f>((L5-K5)/K5)*100</f>
        <v>13.705201395496353</v>
      </c>
      <c r="N5" s="233">
        <v>34958</v>
      </c>
      <c r="O5" s="233">
        <v>28681</v>
      </c>
      <c r="P5" s="231">
        <f>((O5-N5)/N5)*100</f>
        <v>-17.955832713541962</v>
      </c>
      <c r="Q5" s="232"/>
      <c r="R5" s="232" t="s">
        <v>58</v>
      </c>
      <c r="S5" s="233">
        <v>32868</v>
      </c>
      <c r="T5" s="233">
        <v>34958</v>
      </c>
      <c r="U5" s="351">
        <f>((T5-S5)/S5)*100</f>
        <v>6.3587684069611781</v>
      </c>
      <c r="V5" s="233">
        <v>39262</v>
      </c>
      <c r="W5" s="233">
        <v>34958</v>
      </c>
      <c r="X5" s="231">
        <f>((W5-V5)/V5)*100</f>
        <v>-10.962253578523763</v>
      </c>
      <c r="Y5" s="232"/>
      <c r="Z5" s="232" t="s">
        <v>58</v>
      </c>
      <c r="AA5" s="233">
        <v>44056</v>
      </c>
      <c r="AB5" s="233">
        <v>39262</v>
      </c>
      <c r="AC5" s="351">
        <f>((AB5-AA5)/AA5)*100</f>
        <v>-10.881605229707644</v>
      </c>
      <c r="AD5" s="233">
        <v>35847</v>
      </c>
      <c r="AE5" s="233">
        <v>39262</v>
      </c>
      <c r="AF5" s="231">
        <f>((AE5-AD5)/AD5)*100</f>
        <v>9.5265991575306153</v>
      </c>
      <c r="AG5" s="232"/>
      <c r="AH5" s="232" t="s">
        <v>58</v>
      </c>
      <c r="AI5" s="233">
        <v>25768</v>
      </c>
      <c r="AJ5" s="233">
        <v>35847</v>
      </c>
      <c r="AK5" s="351">
        <f>((AJ5-AI5)/AI5)*100</f>
        <v>39.114405464141569</v>
      </c>
      <c r="AL5" s="233">
        <v>29600</v>
      </c>
      <c r="AM5" s="233">
        <v>35847</v>
      </c>
      <c r="AN5" s="231">
        <f>((AM5-AL5)/AL5)*100</f>
        <v>21.10472972972973</v>
      </c>
      <c r="AO5" s="232"/>
      <c r="AP5" s="232" t="s">
        <v>58</v>
      </c>
      <c r="AQ5" s="233">
        <v>26553</v>
      </c>
      <c r="AR5" s="233">
        <v>29600</v>
      </c>
      <c r="AS5" s="351">
        <f>((AR5-AQ5)/AQ5)*100</f>
        <v>11.475162881783604</v>
      </c>
      <c r="AT5" s="233">
        <v>27368</v>
      </c>
      <c r="AU5" s="233">
        <v>29600</v>
      </c>
      <c r="AV5" s="231">
        <f>((AU5-AT5)/AT5)*100</f>
        <v>8.1555100847705351</v>
      </c>
      <c r="AW5" s="232"/>
      <c r="AX5" s="232" t="s">
        <v>58</v>
      </c>
      <c r="AY5" s="233">
        <v>31329</v>
      </c>
      <c r="AZ5" s="233">
        <v>27368</v>
      </c>
      <c r="BA5" s="231">
        <f>((AZ5-AY5)/AY5)*100</f>
        <v>-12.643237894602443</v>
      </c>
      <c r="BB5" s="233">
        <v>29685</v>
      </c>
      <c r="BC5" s="233">
        <v>27368</v>
      </c>
      <c r="BD5" s="231">
        <f>((BC5-BB5)/BB5)*100</f>
        <v>-7.8052888664308568</v>
      </c>
      <c r="BE5" s="232"/>
      <c r="BF5" s="232" t="s">
        <v>58</v>
      </c>
      <c r="BG5" s="233">
        <v>22401</v>
      </c>
      <c r="BH5" s="233">
        <v>29685</v>
      </c>
      <c r="BI5" s="231">
        <f>((BH5-BG5)/BG5)*100</f>
        <v>32.516405517610821</v>
      </c>
      <c r="BJ5" s="233">
        <v>38003</v>
      </c>
      <c r="BK5" s="233">
        <v>29685</v>
      </c>
      <c r="BL5" s="231">
        <f t="shared" si="3"/>
        <v>-21.887745704286505</v>
      </c>
      <c r="BM5" s="232"/>
      <c r="BN5" s="232" t="s">
        <v>58</v>
      </c>
      <c r="BO5" s="233">
        <v>40905</v>
      </c>
      <c r="BP5" s="233">
        <v>38003</v>
      </c>
      <c r="BQ5" s="231">
        <f t="shared" si="4"/>
        <v>-7.0944872265004273</v>
      </c>
      <c r="BR5" s="233">
        <v>40956</v>
      </c>
      <c r="BS5" s="233">
        <v>38003</v>
      </c>
      <c r="BT5" s="231">
        <f>((BS5-BR5)/BR5)*100</f>
        <v>-7.2101767750756913</v>
      </c>
      <c r="BU5" s="232"/>
      <c r="BV5" s="232" t="s">
        <v>58</v>
      </c>
      <c r="BW5" s="233">
        <v>35857</v>
      </c>
      <c r="BX5" s="233">
        <v>40956</v>
      </c>
      <c r="BY5" s="231">
        <f t="shared" si="5"/>
        <v>14.220375379981592</v>
      </c>
      <c r="BZ5" s="233">
        <v>30626</v>
      </c>
      <c r="CA5" s="233">
        <v>40956</v>
      </c>
      <c r="CB5" s="231">
        <f t="shared" si="6"/>
        <v>33.72951087311435</v>
      </c>
      <c r="CC5" s="73"/>
      <c r="CD5" s="232" t="s">
        <v>58</v>
      </c>
      <c r="CE5" s="233">
        <v>27609</v>
      </c>
      <c r="CF5" s="233">
        <v>30626</v>
      </c>
      <c r="CG5" s="231">
        <f t="shared" si="7"/>
        <v>10.927596073744068</v>
      </c>
      <c r="CH5" s="233">
        <v>28285</v>
      </c>
      <c r="CI5" s="233">
        <v>30626</v>
      </c>
      <c r="CJ5" s="231">
        <f t="shared" si="8"/>
        <v>8.2764716280714161</v>
      </c>
      <c r="CK5" s="73"/>
      <c r="CL5" s="233">
        <v>27713</v>
      </c>
      <c r="CM5" s="233">
        <v>30883</v>
      </c>
      <c r="CN5" s="231">
        <f t="shared" si="9"/>
        <v>11.43867499007686</v>
      </c>
      <c r="CO5" s="233">
        <v>22856</v>
      </c>
      <c r="CP5" s="233">
        <v>30883</v>
      </c>
      <c r="CQ5" s="231">
        <f t="shared" si="10"/>
        <v>35.119880994049701</v>
      </c>
      <c r="CR5" s="73"/>
      <c r="CS5" s="103"/>
      <c r="CT5" s="103" t="s">
        <v>58</v>
      </c>
      <c r="CU5" s="104">
        <v>21504</v>
      </c>
      <c r="CV5" s="104">
        <v>22856</v>
      </c>
      <c r="CW5" s="102">
        <f t="shared" si="11"/>
        <v>6.2872023809523805</v>
      </c>
      <c r="CX5" s="104">
        <v>19871</v>
      </c>
      <c r="CY5" s="104">
        <v>22856</v>
      </c>
      <c r="CZ5" s="102">
        <f t="shared" si="12"/>
        <v>15.021891198228573</v>
      </c>
      <c r="DA5" s="73"/>
      <c r="DB5" s="103"/>
      <c r="DC5" s="103" t="s">
        <v>58</v>
      </c>
      <c r="DD5" s="104">
        <v>18826</v>
      </c>
      <c r="DE5" s="104">
        <v>19871</v>
      </c>
      <c r="DF5" s="102">
        <f t="shared" si="13"/>
        <v>5.5508339530436626</v>
      </c>
      <c r="DG5" s="104">
        <v>9414</v>
      </c>
      <c r="DH5" s="104">
        <v>19871</v>
      </c>
      <c r="DI5" s="102">
        <f t="shared" si="14"/>
        <v>111.07924367962609</v>
      </c>
      <c r="DJ5" s="73"/>
      <c r="DK5" s="24"/>
      <c r="DL5" s="24" t="s">
        <v>58</v>
      </c>
      <c r="DM5" s="50">
        <v>8203</v>
      </c>
      <c r="DN5" s="50">
        <v>9414</v>
      </c>
      <c r="DO5" s="128">
        <f t="shared" si="15"/>
        <v>14.762891625015238</v>
      </c>
      <c r="DP5" s="123">
        <v>8393</v>
      </c>
      <c r="DQ5" s="50">
        <v>9414</v>
      </c>
      <c r="DR5" s="128">
        <f t="shared" si="16"/>
        <v>12.164899320862624</v>
      </c>
      <c r="DS5" s="130"/>
      <c r="DT5" s="103"/>
      <c r="DU5" s="103" t="s">
        <v>58</v>
      </c>
      <c r="DV5" s="104">
        <v>9217</v>
      </c>
      <c r="DW5" s="104">
        <v>8393</v>
      </c>
      <c r="DX5" s="102">
        <f t="shared" si="17"/>
        <v>-8.9400021699034404</v>
      </c>
      <c r="DY5" s="104">
        <v>15070</v>
      </c>
      <c r="DZ5" s="104">
        <v>8393</v>
      </c>
      <c r="EA5" s="102">
        <f t="shared" si="18"/>
        <v>-44.306569343065696</v>
      </c>
      <c r="EB5" s="73"/>
      <c r="EC5" s="77"/>
      <c r="ED5" s="77" t="s">
        <v>58</v>
      </c>
      <c r="EE5" s="78">
        <v>11842</v>
      </c>
      <c r="EF5" s="78">
        <v>15070</v>
      </c>
      <c r="EG5" s="79">
        <f t="shared" si="19"/>
        <v>27.258908968079716</v>
      </c>
      <c r="EH5" s="80">
        <v>8787</v>
      </c>
      <c r="EI5" s="78">
        <v>15070</v>
      </c>
      <c r="EJ5" s="79">
        <f t="shared" si="20"/>
        <v>71.503357232274951</v>
      </c>
      <c r="EK5" s="61"/>
      <c r="EL5" s="42"/>
      <c r="EM5" s="42" t="s">
        <v>58</v>
      </c>
      <c r="EN5" s="43">
        <v>7700</v>
      </c>
      <c r="EO5" s="58">
        <v>8787</v>
      </c>
      <c r="EP5" s="44">
        <f t="shared" si="1"/>
        <v>14.116883116883116</v>
      </c>
      <c r="EQ5" s="45">
        <v>6007</v>
      </c>
      <c r="ER5" s="58">
        <v>8787</v>
      </c>
      <c r="ES5" s="44">
        <f t="shared" si="2"/>
        <v>46.27934076910271</v>
      </c>
      <c r="ET5" s="61"/>
      <c r="EU5" s="24" t="s">
        <v>2</v>
      </c>
      <c r="EV5" s="25">
        <v>6427</v>
      </c>
      <c r="EW5" s="25">
        <v>6019</v>
      </c>
      <c r="EX5" s="32">
        <f>(EW5-EV5)/EV5*100</f>
        <v>-6.3482184533997206</v>
      </c>
      <c r="EY5" s="27">
        <v>12307</v>
      </c>
      <c r="EZ5" s="25">
        <v>6019</v>
      </c>
      <c r="FA5" s="32">
        <f>(EZ5-EY5)/EY5*100</f>
        <v>-51.092873974161044</v>
      </c>
      <c r="FC5" s="4" t="s">
        <v>2</v>
      </c>
      <c r="FD5" s="5">
        <v>14025</v>
      </c>
      <c r="FE5" s="5">
        <v>12307</v>
      </c>
      <c r="FF5" s="36">
        <f>(FE5-FD5)/FD5*100</f>
        <v>-12.249554367201426</v>
      </c>
      <c r="FG5" s="46">
        <v>87306</v>
      </c>
      <c r="FH5" s="5">
        <v>119929</v>
      </c>
      <c r="FI5" s="47">
        <f>((FH5-FG5)/FG5)*100</f>
        <v>37.366274941012072</v>
      </c>
    </row>
    <row r="6" spans="1:177" x14ac:dyDescent="0.5">
      <c r="A6" s="232"/>
      <c r="B6" s="232" t="s">
        <v>795</v>
      </c>
      <c r="C6" s="364">
        <v>81</v>
      </c>
      <c r="D6" s="364">
        <v>68</v>
      </c>
      <c r="E6" s="351">
        <f t="shared" si="0"/>
        <v>-16.049382716049383</v>
      </c>
      <c r="F6" s="233" t="s">
        <v>17</v>
      </c>
      <c r="G6" s="370">
        <v>68</v>
      </c>
      <c r="H6" s="249">
        <v>-100</v>
      </c>
      <c r="I6" s="232"/>
      <c r="J6" s="232" t="s">
        <v>795</v>
      </c>
      <c r="K6" s="364" t="s">
        <v>17</v>
      </c>
      <c r="L6" s="364" t="s">
        <v>17</v>
      </c>
      <c r="M6" s="351" t="e">
        <v>#DIV/0!</v>
      </c>
      <c r="N6" s="233">
        <v>50</v>
      </c>
      <c r="O6" s="364" t="s">
        <v>17</v>
      </c>
      <c r="P6" s="249">
        <v>-100</v>
      </c>
      <c r="Q6" s="232"/>
      <c r="R6" s="232" t="s">
        <v>795</v>
      </c>
      <c r="S6" s="233">
        <v>150</v>
      </c>
      <c r="T6" s="233">
        <v>50</v>
      </c>
      <c r="U6" s="351"/>
      <c r="V6" s="233">
        <v>0</v>
      </c>
      <c r="W6" s="233">
        <v>50</v>
      </c>
      <c r="X6" s="231"/>
      <c r="Y6" s="232"/>
      <c r="Z6" s="232"/>
      <c r="AA6" s="233"/>
      <c r="AB6" s="233"/>
      <c r="AC6" s="351"/>
      <c r="AD6" s="233"/>
      <c r="AE6" s="233"/>
      <c r="AF6" s="231"/>
      <c r="AG6" s="232"/>
      <c r="AH6" s="232"/>
      <c r="AI6" s="233"/>
      <c r="AJ6" s="233"/>
      <c r="AK6" s="351"/>
      <c r="AL6" s="233"/>
      <c r="AM6" s="233"/>
      <c r="AN6" s="231"/>
      <c r="AO6" s="232"/>
      <c r="AP6" s="232"/>
      <c r="AQ6" s="233"/>
      <c r="AR6" s="233"/>
      <c r="AS6" s="351"/>
      <c r="AT6" s="233"/>
      <c r="AU6" s="233"/>
      <c r="AV6" s="231"/>
      <c r="AW6" s="232"/>
      <c r="AX6" s="232"/>
      <c r="AY6" s="233"/>
      <c r="AZ6" s="233"/>
      <c r="BA6" s="231"/>
      <c r="BB6" s="233"/>
      <c r="BC6" s="233"/>
      <c r="BD6" s="231"/>
      <c r="BE6" s="232"/>
      <c r="BF6" s="232"/>
      <c r="BG6" s="233"/>
      <c r="BH6" s="233"/>
      <c r="BI6" s="231"/>
      <c r="BJ6" s="233"/>
      <c r="BK6" s="233"/>
      <c r="BL6" s="231"/>
      <c r="BM6" s="232"/>
      <c r="BN6" s="232"/>
      <c r="BO6" s="233"/>
      <c r="BP6" s="233"/>
      <c r="BQ6" s="231"/>
      <c r="BR6" s="233"/>
      <c r="BS6" s="233"/>
      <c r="BT6" s="231"/>
      <c r="BU6" s="232"/>
      <c r="BV6" s="232"/>
      <c r="BW6" s="233"/>
      <c r="BX6" s="233"/>
      <c r="BY6" s="231"/>
      <c r="BZ6" s="233"/>
      <c r="CA6" s="233"/>
      <c r="CB6" s="231"/>
      <c r="CC6" s="73"/>
      <c r="CD6" s="232"/>
      <c r="CE6" s="233"/>
      <c r="CF6" s="233"/>
      <c r="CG6" s="231"/>
      <c r="CH6" s="233"/>
      <c r="CI6" s="233"/>
      <c r="CJ6" s="231"/>
      <c r="CK6" s="73"/>
      <c r="CL6" s="233"/>
      <c r="CM6" s="233"/>
      <c r="CN6" s="231"/>
      <c r="CO6" s="233"/>
      <c r="CP6" s="233"/>
      <c r="CQ6" s="231"/>
      <c r="CR6" s="73"/>
      <c r="CS6" s="103"/>
      <c r="CT6" s="103"/>
      <c r="CU6" s="104"/>
      <c r="CV6" s="104"/>
      <c r="CW6" s="102"/>
      <c r="CX6" s="104"/>
      <c r="CY6" s="104"/>
      <c r="CZ6" s="102"/>
      <c r="DA6" s="73"/>
      <c r="DB6" s="103"/>
      <c r="DC6" s="103"/>
      <c r="DD6" s="104"/>
      <c r="DE6" s="104"/>
      <c r="DF6" s="102"/>
      <c r="DG6" s="104"/>
      <c r="DH6" s="104"/>
      <c r="DI6" s="102"/>
      <c r="DJ6" s="73"/>
      <c r="DK6" s="24"/>
      <c r="DL6" s="24"/>
      <c r="DM6" s="50"/>
      <c r="DN6" s="50"/>
      <c r="DO6" s="128"/>
      <c r="DP6" s="123"/>
      <c r="DQ6" s="50"/>
      <c r="DR6" s="128"/>
      <c r="DS6" s="130"/>
      <c r="DT6" s="103"/>
      <c r="DU6" s="103"/>
      <c r="DV6" s="104"/>
      <c r="DW6" s="104"/>
      <c r="DX6" s="102"/>
      <c r="DY6" s="104"/>
      <c r="DZ6" s="104"/>
      <c r="EA6" s="102"/>
      <c r="EB6" s="73"/>
      <c r="EC6" s="77"/>
      <c r="ED6" s="77"/>
      <c r="EE6" s="78"/>
      <c r="EF6" s="78"/>
      <c r="EG6" s="79"/>
      <c r="EH6" s="80"/>
      <c r="EI6" s="78"/>
      <c r="EJ6" s="79"/>
      <c r="EK6" s="61"/>
      <c r="EL6" s="42"/>
      <c r="EM6" s="42"/>
      <c r="EN6" s="43"/>
      <c r="EO6" s="58"/>
      <c r="EP6" s="44"/>
      <c r="EQ6" s="45"/>
      <c r="ER6" s="58"/>
      <c r="ES6" s="44"/>
      <c r="ET6" s="61"/>
      <c r="EU6" s="24"/>
      <c r="EV6" s="25"/>
      <c r="EW6" s="25"/>
      <c r="EX6" s="32"/>
      <c r="EY6" s="27"/>
      <c r="EZ6" s="25"/>
      <c r="FA6" s="32"/>
      <c r="FC6" s="4"/>
      <c r="FD6" s="5"/>
      <c r="FE6" s="5"/>
      <c r="FF6" s="36"/>
      <c r="FG6" s="46"/>
      <c r="FH6" s="5"/>
      <c r="FI6" s="47"/>
    </row>
    <row r="7" spans="1:177" x14ac:dyDescent="0.5">
      <c r="A7" s="250"/>
      <c r="B7" s="333" t="s">
        <v>808</v>
      </c>
      <c r="C7" s="251">
        <v>2477</v>
      </c>
      <c r="D7" s="251">
        <v>1604</v>
      </c>
      <c r="E7" s="249">
        <f t="shared" si="0"/>
        <v>-35.244247073072266</v>
      </c>
      <c r="F7" s="251">
        <v>3496</v>
      </c>
      <c r="G7" s="370">
        <v>1604</v>
      </c>
      <c r="H7" s="249">
        <f>((G7-F7)/F7)*100</f>
        <v>-54.118993135011436</v>
      </c>
      <c r="I7" s="250"/>
      <c r="J7" s="333" t="s">
        <v>808</v>
      </c>
      <c r="K7" s="251">
        <v>3750</v>
      </c>
      <c r="L7" s="251">
        <v>3496</v>
      </c>
      <c r="M7" s="249">
        <f t="shared" ref="M7" si="21">((L7-K7)/K7)*100</f>
        <v>-6.7733333333333343</v>
      </c>
      <c r="N7" s="251">
        <v>0</v>
      </c>
      <c r="O7" s="251">
        <v>3496</v>
      </c>
      <c r="P7" s="249" t="e">
        <f>((O7-N7)/N7)*100</f>
        <v>#DIV/0!</v>
      </c>
      <c r="Q7" s="250"/>
      <c r="R7" s="333"/>
      <c r="S7" s="360"/>
      <c r="T7" s="251"/>
      <c r="U7" s="336"/>
      <c r="V7" s="360"/>
      <c r="W7" s="251"/>
      <c r="X7" s="336"/>
      <c r="Y7" s="250"/>
      <c r="Z7" s="250"/>
      <c r="AA7" s="251"/>
      <c r="AB7" s="251"/>
      <c r="AC7" s="249"/>
      <c r="AD7" s="251"/>
      <c r="AE7" s="251"/>
      <c r="AF7" s="249"/>
      <c r="AG7" s="250"/>
      <c r="AH7" s="250"/>
      <c r="AI7" s="251"/>
      <c r="AJ7" s="251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50"/>
      <c r="BF7" s="250"/>
      <c r="BG7" s="251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73"/>
      <c r="BV7" s="250"/>
      <c r="BW7" s="251"/>
      <c r="BX7" s="251"/>
      <c r="BY7" s="249"/>
      <c r="BZ7" s="251"/>
      <c r="CA7" s="251"/>
      <c r="CB7" s="249"/>
      <c r="CC7" s="73"/>
      <c r="CD7" s="250"/>
      <c r="CE7" s="250"/>
      <c r="CF7" s="251"/>
      <c r="CG7" s="251"/>
      <c r="CH7" s="249"/>
      <c r="CI7" s="251"/>
      <c r="CJ7" s="251"/>
      <c r="CK7" s="249"/>
      <c r="CL7" s="73"/>
      <c r="CM7" s="250"/>
      <c r="CN7" s="250"/>
      <c r="CO7" s="251"/>
      <c r="CP7" s="251"/>
      <c r="CQ7" s="249"/>
      <c r="CR7" s="251"/>
      <c r="CS7" s="251"/>
      <c r="CT7" s="249"/>
      <c r="CU7" s="73"/>
      <c r="CV7" s="232"/>
      <c r="CW7" s="232"/>
      <c r="CX7" s="233"/>
      <c r="CY7" s="233"/>
      <c r="CZ7" s="231"/>
      <c r="DA7" s="233"/>
      <c r="DB7" s="233"/>
      <c r="DC7" s="231"/>
      <c r="DD7" s="73"/>
      <c r="DE7" s="103"/>
      <c r="DF7" s="103"/>
      <c r="DG7" s="104"/>
      <c r="DH7" s="104"/>
      <c r="DI7" s="102"/>
      <c r="DJ7" s="104"/>
      <c r="DK7" s="104"/>
      <c r="DL7" s="102"/>
      <c r="DM7" s="73"/>
      <c r="DN7" s="103"/>
      <c r="DO7" s="103"/>
      <c r="DP7" s="104"/>
      <c r="DQ7" s="104"/>
      <c r="DR7" s="102"/>
      <c r="DS7" s="104"/>
      <c r="DT7" s="104"/>
      <c r="DU7" s="102"/>
      <c r="DV7" s="73"/>
      <c r="DW7" s="24"/>
      <c r="DX7" s="24"/>
      <c r="DY7" s="50"/>
      <c r="DZ7" s="50"/>
      <c r="EA7" s="128"/>
      <c r="EB7" s="123"/>
      <c r="EC7" s="123"/>
      <c r="ED7" s="128"/>
      <c r="EE7" s="130"/>
      <c r="EF7" s="103"/>
      <c r="EG7" s="103"/>
      <c r="EH7" s="104"/>
      <c r="EI7" s="104"/>
      <c r="EJ7" s="102"/>
      <c r="EK7" s="104"/>
      <c r="EL7" s="104"/>
      <c r="EM7" s="102"/>
      <c r="EN7" s="73"/>
      <c r="EO7" s="77"/>
      <c r="EP7" s="77"/>
      <c r="EQ7" s="78"/>
      <c r="ER7" s="78"/>
      <c r="ES7" s="79"/>
      <c r="ET7" s="80"/>
      <c r="EU7" s="78"/>
      <c r="EV7" s="79"/>
      <c r="EX7" s="42"/>
      <c r="EY7" s="42"/>
      <c r="EZ7" s="43"/>
      <c r="FA7" s="43"/>
      <c r="FB7" s="44"/>
      <c r="FC7" s="45"/>
      <c r="FD7" s="43"/>
      <c r="FE7" s="44"/>
      <c r="FF7" s="61"/>
      <c r="FG7" s="24"/>
      <c r="FH7" s="25"/>
      <c r="FI7" s="25"/>
      <c r="FJ7" s="32"/>
      <c r="FK7" s="27"/>
      <c r="FL7" s="25"/>
      <c r="FM7" s="32"/>
      <c r="FO7" s="4"/>
      <c r="FP7" s="5"/>
      <c r="FQ7" s="5"/>
      <c r="FR7" s="36"/>
      <c r="FS7" s="46"/>
      <c r="FT7" s="5"/>
      <c r="FU7" s="47"/>
    </row>
    <row r="8" spans="1:177" x14ac:dyDescent="0.5">
      <c r="A8" s="229" t="s">
        <v>1</v>
      </c>
      <c r="B8" s="229"/>
      <c r="C8" s="230">
        <v>134440</v>
      </c>
      <c r="D8" s="338">
        <f>D10+D11+D12+D13+D14</f>
        <v>133706</v>
      </c>
      <c r="E8" s="351">
        <f t="shared" si="0"/>
        <v>-0.54596846176733116</v>
      </c>
      <c r="F8" s="338">
        <v>140113</v>
      </c>
      <c r="G8" s="371">
        <v>133706</v>
      </c>
      <c r="H8" s="231">
        <f>((G8-F8)/F8)*100</f>
        <v>-4.5727377188412213</v>
      </c>
      <c r="I8" s="229" t="s">
        <v>1</v>
      </c>
      <c r="J8" s="229"/>
      <c r="K8" s="230">
        <v>117884</v>
      </c>
      <c r="L8" s="338">
        <v>140113</v>
      </c>
      <c r="M8" s="351">
        <f>((L8-K8)/K8)*100</f>
        <v>18.85667266126022</v>
      </c>
      <c r="N8" s="338">
        <v>134978</v>
      </c>
      <c r="O8" s="338">
        <v>140113</v>
      </c>
      <c r="P8" s="231">
        <f>((O8-N8)/N8)*100</f>
        <v>3.8043236675606398</v>
      </c>
      <c r="Q8" s="229" t="s">
        <v>1</v>
      </c>
      <c r="R8" s="229"/>
      <c r="S8" s="230">
        <v>141455</v>
      </c>
      <c r="T8" s="338">
        <v>134978</v>
      </c>
      <c r="U8" s="351">
        <f>((T8-S8)/S8)*100</f>
        <v>-4.5788413276306947</v>
      </c>
      <c r="V8" s="338">
        <v>134019</v>
      </c>
      <c r="W8" s="230">
        <v>134978</v>
      </c>
      <c r="X8" s="231">
        <f>((W8-V8)/V8)*100</f>
        <v>0.7155701803475627</v>
      </c>
      <c r="Y8" s="229" t="s">
        <v>1</v>
      </c>
      <c r="Z8" s="229"/>
      <c r="AA8" s="230">
        <v>150297</v>
      </c>
      <c r="AB8" s="338">
        <v>134019</v>
      </c>
      <c r="AC8" s="351">
        <f>((AB8-AA8)/AA8)*100</f>
        <v>-10.830555500109783</v>
      </c>
      <c r="AD8" s="338">
        <v>114285</v>
      </c>
      <c r="AE8" s="230">
        <v>134019</v>
      </c>
      <c r="AF8" s="231">
        <f>((AE8-AD8)/AD8)*100</f>
        <v>17.267357920987006</v>
      </c>
      <c r="AG8" s="229" t="s">
        <v>1</v>
      </c>
      <c r="AH8" s="229"/>
      <c r="AI8" s="230">
        <v>109879</v>
      </c>
      <c r="AJ8" s="338">
        <v>114285</v>
      </c>
      <c r="AK8" s="351">
        <f>((AJ8-AI8)/AI8)*100</f>
        <v>4.0098653973916765</v>
      </c>
      <c r="AL8" s="338">
        <v>126323</v>
      </c>
      <c r="AM8" s="230">
        <v>114285</v>
      </c>
      <c r="AN8" s="231">
        <f>((AM8-AL8)/AL8)*100</f>
        <v>-9.5295393554617931</v>
      </c>
      <c r="AO8" s="229" t="s">
        <v>1</v>
      </c>
      <c r="AP8" s="229"/>
      <c r="AQ8" s="230">
        <v>133441</v>
      </c>
      <c r="AR8" s="338">
        <v>126323</v>
      </c>
      <c r="AS8" s="351">
        <f>((AR8-AQ8)/AQ8)*100</f>
        <v>-5.3341926394436499</v>
      </c>
      <c r="AT8" s="338">
        <v>142434</v>
      </c>
      <c r="AU8" s="230">
        <v>126323</v>
      </c>
      <c r="AV8" s="231">
        <f>((AU8-AT8)/AT8)*100</f>
        <v>-11.311203785612985</v>
      </c>
      <c r="AW8" s="229" t="s">
        <v>1</v>
      </c>
      <c r="AX8" s="229"/>
      <c r="AY8" s="230">
        <v>135090</v>
      </c>
      <c r="AZ8" s="338">
        <v>142434</v>
      </c>
      <c r="BA8" s="231">
        <f>((AZ8-AY8)/AY8)*100</f>
        <v>5.4363757495003329</v>
      </c>
      <c r="BB8" s="338">
        <v>139290</v>
      </c>
      <c r="BC8" s="230">
        <v>142434</v>
      </c>
      <c r="BD8" s="231">
        <f>((BC8-BB8)/BB8)*100</f>
        <v>2.2571613181132886</v>
      </c>
      <c r="BE8" s="229" t="s">
        <v>1</v>
      </c>
      <c r="BF8" s="229"/>
      <c r="BG8" s="230">
        <v>140500</v>
      </c>
      <c r="BH8" s="338">
        <v>139290</v>
      </c>
      <c r="BI8" s="231">
        <f>((BH8-BG8)/BG8)*100</f>
        <v>-0.86120996441281139</v>
      </c>
      <c r="BJ8" s="230">
        <v>135575</v>
      </c>
      <c r="BK8" s="230">
        <v>139290</v>
      </c>
      <c r="BL8" s="231">
        <f t="shared" si="3"/>
        <v>2.7401807117831458</v>
      </c>
      <c r="BM8" s="229" t="s">
        <v>1</v>
      </c>
      <c r="BN8" s="229"/>
      <c r="BO8" s="230">
        <v>155534</v>
      </c>
      <c r="BP8" s="230">
        <v>135575</v>
      </c>
      <c r="BQ8" s="231">
        <f t="shared" si="4"/>
        <v>-12.832563941003253</v>
      </c>
      <c r="BR8" s="230">
        <v>126184</v>
      </c>
      <c r="BS8" s="230">
        <v>135575</v>
      </c>
      <c r="BT8" s="231">
        <f>((BS8-BR8)/BR8)*100</f>
        <v>7.4423064730869211</v>
      </c>
      <c r="BU8" s="229" t="s">
        <v>1</v>
      </c>
      <c r="BV8" s="229"/>
      <c r="BW8" s="230">
        <v>156753</v>
      </c>
      <c r="BX8" s="230">
        <v>126184</v>
      </c>
      <c r="BY8" s="231">
        <f t="shared" si="5"/>
        <v>-19.501381153789723</v>
      </c>
      <c r="BZ8" s="230">
        <v>118516</v>
      </c>
      <c r="CA8" s="230">
        <v>126184</v>
      </c>
      <c r="CB8" s="231">
        <f t="shared" si="6"/>
        <v>6.4700124877653655</v>
      </c>
      <c r="CC8" s="73"/>
      <c r="CD8" s="229"/>
      <c r="CE8" s="230">
        <v>134434</v>
      </c>
      <c r="CF8" s="230">
        <v>118516</v>
      </c>
      <c r="CG8" s="231">
        <f t="shared" si="7"/>
        <v>-11.84075457101626</v>
      </c>
      <c r="CH8" s="230">
        <v>135900</v>
      </c>
      <c r="CI8" s="230">
        <v>118516</v>
      </c>
      <c r="CJ8" s="231">
        <f t="shared" si="8"/>
        <v>-12.791758646063281</v>
      </c>
      <c r="CK8" s="73"/>
      <c r="CL8" s="230">
        <f>SUM(CL9:CL12)</f>
        <v>151701</v>
      </c>
      <c r="CM8" s="230">
        <f>SUM(CM9:CM12)</f>
        <v>148900</v>
      </c>
      <c r="CN8" s="231">
        <f t="shared" si="9"/>
        <v>-1.8463952116334104</v>
      </c>
      <c r="CO8" s="230">
        <f>SUM(CO9:CO12)</f>
        <v>167011</v>
      </c>
      <c r="CP8" s="230">
        <v>148900</v>
      </c>
      <c r="CQ8" s="231">
        <f t="shared" si="10"/>
        <v>-10.844195891288598</v>
      </c>
      <c r="CR8" s="73"/>
      <c r="CS8" s="100" t="s">
        <v>1</v>
      </c>
      <c r="CT8" s="100"/>
      <c r="CU8" s="101">
        <f>SUM(CU9:CU12)</f>
        <v>170858</v>
      </c>
      <c r="CV8" s="101">
        <v>167009</v>
      </c>
      <c r="CW8" s="102">
        <f t="shared" si="11"/>
        <v>-2.2527478959135658</v>
      </c>
      <c r="CX8" s="101">
        <f>SUM(CX9:CX12)</f>
        <v>134811</v>
      </c>
      <c r="CY8" s="101">
        <v>167009</v>
      </c>
      <c r="CZ8" s="102">
        <f t="shared" si="12"/>
        <v>23.883807701151984</v>
      </c>
      <c r="DA8" s="73"/>
      <c r="DB8" s="100" t="s">
        <v>1</v>
      </c>
      <c r="DC8" s="100"/>
      <c r="DD8" s="101">
        <f>SUM(DD9:DD12)</f>
        <v>172176</v>
      </c>
      <c r="DE8" s="101">
        <f>SUM(DE9:DE12)</f>
        <v>134811</v>
      </c>
      <c r="DF8" s="102">
        <f t="shared" si="13"/>
        <v>-21.701630889322555</v>
      </c>
      <c r="DG8" s="101">
        <v>139750</v>
      </c>
      <c r="DH8" s="101">
        <v>134811</v>
      </c>
      <c r="DI8" s="102">
        <f t="shared" si="14"/>
        <v>-3.5341681574239709</v>
      </c>
      <c r="DJ8" s="73"/>
      <c r="DK8" s="120" t="s">
        <v>1</v>
      </c>
      <c r="DL8" s="120"/>
      <c r="DM8" s="133">
        <v>152365</v>
      </c>
      <c r="DN8" s="133">
        <v>139750</v>
      </c>
      <c r="DO8" s="125">
        <f t="shared" si="15"/>
        <v>-8.2794605060217243</v>
      </c>
      <c r="DP8" s="121">
        <v>119918</v>
      </c>
      <c r="DQ8" s="133">
        <v>139750</v>
      </c>
      <c r="DR8" s="125">
        <f t="shared" si="16"/>
        <v>16.537967611200987</v>
      </c>
      <c r="DS8" s="127"/>
      <c r="DT8" s="100" t="s">
        <v>1</v>
      </c>
      <c r="DU8" s="100"/>
      <c r="DV8" s="101">
        <f>SUM(DV9:DV12)</f>
        <v>129112</v>
      </c>
      <c r="DW8" s="101">
        <f>SUM(DW9:DW12)</f>
        <v>119918</v>
      </c>
      <c r="DX8" s="102">
        <f t="shared" si="17"/>
        <v>-7.120949253361422</v>
      </c>
      <c r="DY8" s="101">
        <f>SUM(DY9:DY12)</f>
        <v>138368</v>
      </c>
      <c r="DZ8" s="101">
        <v>119918</v>
      </c>
      <c r="EA8" s="102">
        <f t="shared" si="18"/>
        <v>-13.334007863089731</v>
      </c>
      <c r="EB8" s="73"/>
      <c r="EC8" s="74" t="s">
        <v>1</v>
      </c>
      <c r="ED8" s="74"/>
      <c r="EE8" s="75">
        <f>SUM(EE9:EE12)</f>
        <v>147510</v>
      </c>
      <c r="EF8" s="75">
        <f>SUM(EF9:EF12)</f>
        <v>138437</v>
      </c>
      <c r="EG8" s="76">
        <f t="shared" si="19"/>
        <v>-6.1507694393600429</v>
      </c>
      <c r="EH8" s="75">
        <v>125975</v>
      </c>
      <c r="EI8" s="75">
        <f>SUM(EI9:EI12)</f>
        <v>138437</v>
      </c>
      <c r="EJ8" s="76">
        <f t="shared" si="20"/>
        <v>9.8924389759872984</v>
      </c>
      <c r="EK8" s="73"/>
      <c r="EL8" s="63" t="s">
        <v>1</v>
      </c>
      <c r="EM8" s="63"/>
      <c r="EN8" s="64">
        <f>SUM(EN9:EN12)</f>
        <v>117210</v>
      </c>
      <c r="EO8" s="64">
        <f>SUM(EO9:EO12)</f>
        <v>125975</v>
      </c>
      <c r="EP8" s="65">
        <f t="shared" si="1"/>
        <v>7.4780308847367971</v>
      </c>
      <c r="EQ8" s="64">
        <v>145000</v>
      </c>
      <c r="ER8" s="64">
        <f>SUM(ER9:ER12)</f>
        <v>125975</v>
      </c>
      <c r="ES8" s="65">
        <f t="shared" si="2"/>
        <v>-13.120689655172413</v>
      </c>
      <c r="ET8" s="73"/>
    </row>
    <row r="9" spans="1:177" x14ac:dyDescent="0.5">
      <c r="A9" s="232"/>
      <c r="B9" s="232" t="s">
        <v>521</v>
      </c>
      <c r="C9" s="334">
        <v>0</v>
      </c>
      <c r="D9" s="334">
        <v>0</v>
      </c>
      <c r="E9" s="351">
        <v>0</v>
      </c>
      <c r="F9" s="339">
        <v>0</v>
      </c>
      <c r="G9" s="372">
        <v>0</v>
      </c>
      <c r="H9" s="351">
        <v>0</v>
      </c>
      <c r="I9" s="232"/>
      <c r="J9" s="232" t="s">
        <v>521</v>
      </c>
      <c r="K9" s="334">
        <v>0</v>
      </c>
      <c r="L9" s="334">
        <v>0</v>
      </c>
      <c r="M9" s="351">
        <v>0</v>
      </c>
      <c r="N9" s="339">
        <v>0</v>
      </c>
      <c r="O9" s="339">
        <v>0</v>
      </c>
      <c r="P9" s="351">
        <v>0</v>
      </c>
      <c r="Q9" s="232"/>
      <c r="R9" s="232" t="s">
        <v>521</v>
      </c>
      <c r="S9" s="334">
        <v>0</v>
      </c>
      <c r="T9" s="334">
        <v>0</v>
      </c>
      <c r="U9" s="351">
        <v>0</v>
      </c>
      <c r="V9" s="339">
        <v>0</v>
      </c>
      <c r="W9" s="339">
        <v>0</v>
      </c>
      <c r="X9" s="351">
        <v>0</v>
      </c>
      <c r="Y9" s="232"/>
      <c r="Z9" s="232" t="s">
        <v>521</v>
      </c>
      <c r="AA9" s="334">
        <v>0</v>
      </c>
      <c r="AB9" s="334">
        <v>0</v>
      </c>
      <c r="AC9" s="351">
        <v>0</v>
      </c>
      <c r="AD9" s="339" t="s">
        <v>530</v>
      </c>
      <c r="AE9" s="339">
        <v>0</v>
      </c>
      <c r="AF9" s="351">
        <v>0</v>
      </c>
      <c r="AG9" s="232"/>
      <c r="AH9" s="232" t="s">
        <v>521</v>
      </c>
      <c r="AI9" s="334" t="s">
        <v>530</v>
      </c>
      <c r="AJ9" s="334" t="s">
        <v>530</v>
      </c>
      <c r="AK9" s="351">
        <v>0</v>
      </c>
      <c r="AL9" s="339" t="s">
        <v>530</v>
      </c>
      <c r="AM9" s="339" t="s">
        <v>530</v>
      </c>
      <c r="AN9" s="351">
        <v>0</v>
      </c>
      <c r="AO9" s="232"/>
      <c r="AP9" s="232" t="s">
        <v>521</v>
      </c>
      <c r="AQ9" s="334" t="s">
        <v>530</v>
      </c>
      <c r="AR9" s="334" t="s">
        <v>530</v>
      </c>
      <c r="AS9" s="351">
        <v>0</v>
      </c>
      <c r="AT9" s="339" t="s">
        <v>530</v>
      </c>
      <c r="AU9" s="339" t="s">
        <v>530</v>
      </c>
      <c r="AV9" s="351">
        <v>0</v>
      </c>
      <c r="AW9" s="232"/>
      <c r="AX9" s="232" t="s">
        <v>521</v>
      </c>
      <c r="AY9" s="334" t="s">
        <v>530</v>
      </c>
      <c r="AZ9" s="339" t="s">
        <v>530</v>
      </c>
      <c r="BA9" s="340">
        <v>0</v>
      </c>
      <c r="BB9" s="339" t="s">
        <v>530</v>
      </c>
      <c r="BC9" s="339" t="s">
        <v>530</v>
      </c>
      <c r="BD9" s="340">
        <v>0</v>
      </c>
      <c r="BE9" s="232"/>
      <c r="BF9" s="232" t="s">
        <v>521</v>
      </c>
      <c r="BG9" s="334" t="s">
        <v>530</v>
      </c>
      <c r="BH9" s="339" t="s">
        <v>530</v>
      </c>
      <c r="BI9" s="340">
        <v>0</v>
      </c>
      <c r="BJ9" s="334" t="s">
        <v>530</v>
      </c>
      <c r="BK9" s="339" t="s">
        <v>530</v>
      </c>
      <c r="BL9" s="340">
        <v>0</v>
      </c>
      <c r="BM9" s="232"/>
      <c r="BN9" s="232" t="s">
        <v>521</v>
      </c>
      <c r="BO9" s="234">
        <v>0</v>
      </c>
      <c r="BP9" s="234">
        <v>0</v>
      </c>
      <c r="BQ9" s="231"/>
      <c r="BR9" s="234"/>
      <c r="BS9" s="234">
        <v>0</v>
      </c>
      <c r="BT9" s="231"/>
      <c r="BU9" s="232"/>
      <c r="BV9" s="232" t="s">
        <v>435</v>
      </c>
      <c r="BW9" s="234">
        <v>28</v>
      </c>
      <c r="BX9" s="234">
        <v>14</v>
      </c>
      <c r="BY9" s="231">
        <f t="shared" si="5"/>
        <v>-50</v>
      </c>
      <c r="BZ9" s="234"/>
      <c r="CA9" s="234">
        <v>14</v>
      </c>
      <c r="CB9" s="231"/>
      <c r="CC9" s="73"/>
      <c r="CD9" s="232" t="s">
        <v>57</v>
      </c>
      <c r="CE9" s="234">
        <v>67298</v>
      </c>
      <c r="CF9" s="234">
        <v>59890</v>
      </c>
      <c r="CG9" s="231">
        <f t="shared" si="7"/>
        <v>-11.007756545513983</v>
      </c>
      <c r="CH9" s="234">
        <v>68890</v>
      </c>
      <c r="CI9" s="234">
        <v>59890</v>
      </c>
      <c r="CJ9" s="231">
        <f t="shared" si="8"/>
        <v>-13.064305414428802</v>
      </c>
      <c r="CK9" s="73"/>
      <c r="CL9" s="234">
        <v>72795</v>
      </c>
      <c r="CM9" s="234">
        <v>71468</v>
      </c>
      <c r="CN9" s="231">
        <f t="shared" si="9"/>
        <v>-1.8229273988598118</v>
      </c>
      <c r="CO9" s="234">
        <v>74690</v>
      </c>
      <c r="CP9" s="234">
        <v>71468</v>
      </c>
      <c r="CQ9" s="231">
        <f t="shared" si="10"/>
        <v>-4.3138304993975103</v>
      </c>
      <c r="CR9" s="73"/>
      <c r="CS9" s="103"/>
      <c r="CT9" s="103" t="s">
        <v>57</v>
      </c>
      <c r="CU9" s="105">
        <v>79415</v>
      </c>
      <c r="CV9" s="105">
        <v>74163</v>
      </c>
      <c r="CW9" s="102">
        <f t="shared" si="11"/>
        <v>-6.6133601964364406</v>
      </c>
      <c r="CX9" s="105">
        <v>69548</v>
      </c>
      <c r="CY9" s="105">
        <v>74163</v>
      </c>
      <c r="CZ9" s="102">
        <f t="shared" si="12"/>
        <v>6.6357048369471441</v>
      </c>
      <c r="DA9" s="73"/>
      <c r="DB9" s="103"/>
      <c r="DC9" s="103" t="s">
        <v>57</v>
      </c>
      <c r="DD9" s="105">
        <v>86246</v>
      </c>
      <c r="DE9" s="105">
        <v>69548</v>
      </c>
      <c r="DF9" s="102">
        <f t="shared" si="13"/>
        <v>-19.36089789671405</v>
      </c>
      <c r="DG9" s="105">
        <v>65193</v>
      </c>
      <c r="DH9" s="105">
        <v>69548</v>
      </c>
      <c r="DI9" s="102">
        <f t="shared" si="14"/>
        <v>6.6801650483947661</v>
      </c>
      <c r="DJ9" s="73"/>
      <c r="DK9" s="24"/>
      <c r="DL9" s="24" t="s">
        <v>57</v>
      </c>
      <c r="DM9" s="50">
        <v>70787</v>
      </c>
      <c r="DN9" s="50">
        <v>65793</v>
      </c>
      <c r="DO9" s="128">
        <f t="shared" si="15"/>
        <v>-7.054967720061593</v>
      </c>
      <c r="DP9" s="25">
        <v>59550</v>
      </c>
      <c r="DQ9" s="50">
        <v>65793</v>
      </c>
      <c r="DR9" s="128">
        <f t="shared" si="16"/>
        <v>10.483627204030228</v>
      </c>
      <c r="DS9" s="130"/>
      <c r="DT9" s="103"/>
      <c r="DU9" s="103" t="s">
        <v>57</v>
      </c>
      <c r="DV9" s="105">
        <v>62551</v>
      </c>
      <c r="DW9" s="105">
        <v>59550</v>
      </c>
      <c r="DX9" s="102">
        <f t="shared" si="17"/>
        <v>-4.7976850889674028</v>
      </c>
      <c r="DY9" s="105">
        <v>71357</v>
      </c>
      <c r="DZ9" s="105">
        <v>59550</v>
      </c>
      <c r="EA9" s="102">
        <f t="shared" si="18"/>
        <v>-16.546379472231177</v>
      </c>
      <c r="EB9" s="73"/>
      <c r="EC9" s="77"/>
      <c r="ED9" s="77" t="s">
        <v>57</v>
      </c>
      <c r="EE9" s="80">
        <v>82746</v>
      </c>
      <c r="EF9" s="80">
        <v>75129</v>
      </c>
      <c r="EG9" s="79">
        <f t="shared" si="19"/>
        <v>-9.2052788050177643</v>
      </c>
      <c r="EH9" s="81">
        <v>66857</v>
      </c>
      <c r="EI9" s="80">
        <v>75129</v>
      </c>
      <c r="EJ9" s="79">
        <f t="shared" si="20"/>
        <v>12.372676009991475</v>
      </c>
      <c r="EK9" s="61"/>
      <c r="EL9" s="42"/>
      <c r="EM9" s="42" t="s">
        <v>57</v>
      </c>
      <c r="EN9" s="43">
        <v>64141</v>
      </c>
      <c r="EO9" s="43">
        <f>62926+3931</f>
        <v>66857</v>
      </c>
      <c r="EP9" s="44">
        <f t="shared" si="1"/>
        <v>4.2344210411437304</v>
      </c>
      <c r="EQ9" s="45">
        <v>69928</v>
      </c>
      <c r="ER9" s="43">
        <f>62926+3931</f>
        <v>66857</v>
      </c>
      <c r="ES9" s="44">
        <f t="shared" si="2"/>
        <v>-4.3916599931357974</v>
      </c>
      <c r="ET9" s="61"/>
      <c r="EV9" s="34" t="s">
        <v>33</v>
      </c>
      <c r="FC9" s="34" t="s">
        <v>35</v>
      </c>
    </row>
    <row r="10" spans="1:177" x14ac:dyDescent="0.5">
      <c r="A10" s="232"/>
      <c r="B10" s="232" t="s">
        <v>522</v>
      </c>
      <c r="C10" s="234">
        <v>40674</v>
      </c>
      <c r="D10" s="339">
        <v>42419</v>
      </c>
      <c r="E10" s="351">
        <f t="shared" ref="E10:E15" si="22">((D10-C10)/C10)*100</f>
        <v>4.2902099621379755</v>
      </c>
      <c r="F10" s="339">
        <v>52375</v>
      </c>
      <c r="G10" s="372">
        <v>42419</v>
      </c>
      <c r="H10" s="231">
        <f t="shared" ref="H10:H18" si="23">((G10-F10)/F10)*100</f>
        <v>-19.009069212410502</v>
      </c>
      <c r="I10" s="232"/>
      <c r="J10" s="232" t="s">
        <v>522</v>
      </c>
      <c r="K10" s="234">
        <v>40051</v>
      </c>
      <c r="L10" s="339">
        <v>52375</v>
      </c>
      <c r="M10" s="351">
        <f t="shared" ref="M10:M18" si="24">((L10-K10)/K10)*100</f>
        <v>30.770767271728545</v>
      </c>
      <c r="N10" s="339">
        <v>49220</v>
      </c>
      <c r="O10" s="339">
        <v>52375</v>
      </c>
      <c r="P10" s="231">
        <f t="shared" ref="P10:P18" si="25">((O10-N10)/N10)*100</f>
        <v>6.409995936611133</v>
      </c>
      <c r="Q10" s="232"/>
      <c r="R10" s="232" t="s">
        <v>522</v>
      </c>
      <c r="S10" s="234">
        <v>54746</v>
      </c>
      <c r="T10" s="339">
        <v>49220</v>
      </c>
      <c r="U10" s="351">
        <f t="shared" ref="U10:U18" si="26">((T10-S10)/S10)*100</f>
        <v>-10.093888137946152</v>
      </c>
      <c r="V10" s="339">
        <v>64631</v>
      </c>
      <c r="W10" s="234">
        <v>49220</v>
      </c>
      <c r="X10" s="231">
        <f t="shared" ref="X10:X18" si="27">((W10-V10)/V10)*100</f>
        <v>-23.844594699138185</v>
      </c>
      <c r="Y10" s="232"/>
      <c r="Z10" s="232" t="s">
        <v>522</v>
      </c>
      <c r="AA10" s="234">
        <v>68970</v>
      </c>
      <c r="AB10" s="339">
        <v>64631</v>
      </c>
      <c r="AC10" s="351">
        <f t="shared" ref="AC10:AC18" si="28">((AB10-AA10)/AA10)*100</f>
        <v>-6.2911410758300716</v>
      </c>
      <c r="AD10" s="339">
        <v>52928</v>
      </c>
      <c r="AE10" s="234">
        <v>64631</v>
      </c>
      <c r="AF10" s="231">
        <f t="shared" ref="AF10:AF18" si="29">((AE10-AD10)/AD10)*100</f>
        <v>22.111169891172914</v>
      </c>
      <c r="AG10" s="232"/>
      <c r="AH10" s="232" t="s">
        <v>522</v>
      </c>
      <c r="AI10" s="234">
        <v>49828</v>
      </c>
      <c r="AJ10" s="339">
        <v>52928</v>
      </c>
      <c r="AK10" s="351">
        <f t="shared" ref="AK10:AK18" si="30">((AJ10-AI10)/AI10)*100</f>
        <v>6.2214016215782291</v>
      </c>
      <c r="AL10" s="339">
        <v>59938</v>
      </c>
      <c r="AM10" s="234">
        <v>52928</v>
      </c>
      <c r="AN10" s="231">
        <f t="shared" ref="AN10:AN18" si="31">((AM10-AL10)/AL10)*100</f>
        <v>-11.695418599219193</v>
      </c>
      <c r="AO10" s="232"/>
      <c r="AP10" s="232" t="s">
        <v>522</v>
      </c>
      <c r="AQ10" s="234">
        <v>63240</v>
      </c>
      <c r="AR10" s="339">
        <v>59938</v>
      </c>
      <c r="AS10" s="351">
        <f t="shared" ref="AS10:AS18" si="32">((AR10-AQ10)/AQ10)*100</f>
        <v>-5.2213788741302976</v>
      </c>
      <c r="AT10" s="339">
        <v>70876</v>
      </c>
      <c r="AU10" s="234">
        <v>59938</v>
      </c>
      <c r="AV10" s="231">
        <f t="shared" ref="AV10:AV18" si="33">((AU10-AT10)/AT10)*100</f>
        <v>-15.432586489079519</v>
      </c>
      <c r="AW10" s="232"/>
      <c r="AX10" s="232" t="s">
        <v>522</v>
      </c>
      <c r="AY10" s="234">
        <v>67886</v>
      </c>
      <c r="AZ10" s="339">
        <v>70876</v>
      </c>
      <c r="BA10" s="231">
        <f t="shared" ref="BA10:BA18" si="34">((AZ10-AY10)/AY10)*100</f>
        <v>4.4044427422443508</v>
      </c>
      <c r="BB10" s="339">
        <v>70519</v>
      </c>
      <c r="BC10" s="234">
        <v>70876</v>
      </c>
      <c r="BD10" s="231">
        <f t="shared" ref="BD10:BD18" si="35">((BC10-BB10)/BB10)*100</f>
        <v>0.50624654348473463</v>
      </c>
      <c r="BE10" s="232"/>
      <c r="BF10" s="232" t="s">
        <v>522</v>
      </c>
      <c r="BG10" s="234">
        <v>72848</v>
      </c>
      <c r="BH10" s="339">
        <v>70519</v>
      </c>
      <c r="BI10" s="231">
        <f t="shared" ref="BI10:BI18" si="36">((BH10-BG10)/BG10)*100</f>
        <v>-3.1970678673402158</v>
      </c>
      <c r="BJ10" s="234">
        <v>70137</v>
      </c>
      <c r="BK10" s="234">
        <v>70519</v>
      </c>
      <c r="BL10" s="231">
        <f t="shared" si="3"/>
        <v>0.54464833112337285</v>
      </c>
      <c r="BM10" s="232"/>
      <c r="BN10" s="232" t="s">
        <v>522</v>
      </c>
      <c r="BO10" s="234">
        <v>83819</v>
      </c>
      <c r="BP10" s="234">
        <v>70137</v>
      </c>
      <c r="BQ10" s="231">
        <f t="shared" si="4"/>
        <v>-16.323267994130209</v>
      </c>
      <c r="BR10" s="234"/>
      <c r="BS10" s="234">
        <v>70137</v>
      </c>
      <c r="BT10" s="231"/>
      <c r="BU10" s="232"/>
      <c r="BV10" s="232" t="s">
        <v>436</v>
      </c>
      <c r="BW10" s="234">
        <v>135149</v>
      </c>
      <c r="BX10" s="234">
        <v>108209</v>
      </c>
      <c r="BY10" s="231">
        <f t="shared" si="5"/>
        <v>-19.933554817275748</v>
      </c>
      <c r="BZ10" s="234"/>
      <c r="CA10" s="234">
        <v>108209</v>
      </c>
      <c r="CB10" s="231"/>
      <c r="CC10" s="73"/>
      <c r="CD10" s="232" t="s">
        <v>59</v>
      </c>
      <c r="CE10" s="234">
        <v>50663</v>
      </c>
      <c r="CF10" s="234">
        <v>43686</v>
      </c>
      <c r="CG10" s="231">
        <f t="shared" si="7"/>
        <v>-13.771391350689852</v>
      </c>
      <c r="CH10" s="234">
        <v>51438</v>
      </c>
      <c r="CI10" s="234">
        <v>43686</v>
      </c>
      <c r="CJ10" s="231">
        <f t="shared" si="8"/>
        <v>-15.070570395427504</v>
      </c>
      <c r="CK10" s="73"/>
      <c r="CL10" s="234">
        <v>64953</v>
      </c>
      <c r="CM10" s="234">
        <v>63656</v>
      </c>
      <c r="CN10" s="231">
        <f t="shared" si="9"/>
        <v>-1.9968284759749357</v>
      </c>
      <c r="CO10" s="234">
        <v>84902</v>
      </c>
      <c r="CP10" s="234">
        <v>63656</v>
      </c>
      <c r="CQ10" s="231">
        <f t="shared" si="10"/>
        <v>-25.024145485383148</v>
      </c>
      <c r="CR10" s="73"/>
      <c r="CS10" s="103"/>
      <c r="CT10" s="103" t="s">
        <v>59</v>
      </c>
      <c r="CU10" s="105">
        <v>83759</v>
      </c>
      <c r="CV10" s="105">
        <v>84791</v>
      </c>
      <c r="CW10" s="102">
        <f t="shared" si="11"/>
        <v>1.2321064005062143</v>
      </c>
      <c r="CX10" s="105">
        <v>59825</v>
      </c>
      <c r="CY10" s="105">
        <v>84791</v>
      </c>
      <c r="CZ10" s="102">
        <f t="shared" si="12"/>
        <v>41.731717509402422</v>
      </c>
      <c r="DA10" s="73"/>
      <c r="DB10" s="103"/>
      <c r="DC10" s="103" t="s">
        <v>59</v>
      </c>
      <c r="DD10" s="105">
        <v>79733</v>
      </c>
      <c r="DE10" s="105">
        <v>59825</v>
      </c>
      <c r="DF10" s="102">
        <f t="shared" si="13"/>
        <v>-24.968331807407221</v>
      </c>
      <c r="DG10" s="105">
        <v>71617</v>
      </c>
      <c r="DH10" s="105">
        <v>59825</v>
      </c>
      <c r="DI10" s="102">
        <f t="shared" si="14"/>
        <v>-16.465364368795118</v>
      </c>
      <c r="DJ10" s="73"/>
      <c r="DK10" s="24"/>
      <c r="DL10" s="24" t="s">
        <v>59</v>
      </c>
      <c r="DM10" s="50">
        <v>78611</v>
      </c>
      <c r="DN10" s="50">
        <v>71617</v>
      </c>
      <c r="DO10" s="128">
        <f t="shared" si="15"/>
        <v>-8.8969737059699039</v>
      </c>
      <c r="DP10" s="25">
        <v>55003</v>
      </c>
      <c r="DQ10" s="50">
        <v>71617</v>
      </c>
      <c r="DR10" s="128">
        <f t="shared" si="16"/>
        <v>30.205625147719218</v>
      </c>
      <c r="DS10" s="130"/>
      <c r="DT10" s="103"/>
      <c r="DU10" s="103" t="s">
        <v>59</v>
      </c>
      <c r="DV10" s="105">
        <v>60770</v>
      </c>
      <c r="DW10" s="105">
        <v>55003</v>
      </c>
      <c r="DX10" s="102">
        <f>((DW10-DV10)/DV10)*100</f>
        <v>-9.4898798749382927</v>
      </c>
      <c r="DY10" s="105">
        <v>61256</v>
      </c>
      <c r="DZ10" s="105">
        <v>55003</v>
      </c>
      <c r="EA10" s="102">
        <f>((DZ10-DY10)/DY10)*100</f>
        <v>-10.207979626485569</v>
      </c>
      <c r="EB10" s="73"/>
      <c r="EC10" s="77"/>
      <c r="ED10" s="77" t="s">
        <v>58</v>
      </c>
      <c r="EE10" s="80">
        <v>1693</v>
      </c>
      <c r="EF10" s="80">
        <v>1829</v>
      </c>
      <c r="EG10" s="79">
        <f t="shared" si="19"/>
        <v>8.0330773774365039</v>
      </c>
      <c r="EH10" s="81">
        <v>1393</v>
      </c>
      <c r="EI10" s="80">
        <v>1829</v>
      </c>
      <c r="EJ10" s="79">
        <f t="shared" si="20"/>
        <v>31.299353912419235</v>
      </c>
      <c r="EK10" s="61"/>
      <c r="EL10" s="42"/>
      <c r="EM10" s="42" t="s">
        <v>58</v>
      </c>
      <c r="EN10" s="43">
        <v>1156</v>
      </c>
      <c r="EO10" s="43">
        <f>1070+323</f>
        <v>1393</v>
      </c>
      <c r="EP10" s="44">
        <f t="shared" si="1"/>
        <v>20.501730103806228</v>
      </c>
      <c r="EQ10" s="45">
        <v>1078</v>
      </c>
      <c r="ER10" s="43">
        <f>1070+323</f>
        <v>1393</v>
      </c>
      <c r="ES10" s="44">
        <f t="shared" si="2"/>
        <v>29.220779220779221</v>
      </c>
      <c r="ET10" s="61"/>
      <c r="EU10" s="29"/>
      <c r="EV10" s="30">
        <v>18142</v>
      </c>
      <c r="EW10" s="30">
        <v>18172</v>
      </c>
      <c r="EX10" s="29" t="s">
        <v>3</v>
      </c>
      <c r="EY10" s="30">
        <v>17807</v>
      </c>
      <c r="EZ10" s="30">
        <v>18172</v>
      </c>
      <c r="FA10" s="29" t="s">
        <v>3</v>
      </c>
      <c r="FC10" s="48"/>
      <c r="FD10" s="49">
        <v>17777</v>
      </c>
      <c r="FE10" s="49">
        <v>17807</v>
      </c>
      <c r="FF10" s="48" t="s">
        <v>3</v>
      </c>
      <c r="FG10" s="49">
        <v>17441</v>
      </c>
      <c r="FH10" s="49">
        <v>17807</v>
      </c>
      <c r="FI10" s="48" t="s">
        <v>3</v>
      </c>
    </row>
    <row r="11" spans="1:177" x14ac:dyDescent="0.5">
      <c r="A11" s="232"/>
      <c r="B11" s="232" t="s">
        <v>523</v>
      </c>
      <c r="C11" s="234">
        <v>63720</v>
      </c>
      <c r="D11" s="339">
        <v>61415</v>
      </c>
      <c r="E11" s="351">
        <f t="shared" si="22"/>
        <v>-3.6173885750156938</v>
      </c>
      <c r="F11" s="339">
        <v>55892</v>
      </c>
      <c r="G11" s="372">
        <v>61415</v>
      </c>
      <c r="H11" s="231">
        <f t="shared" si="23"/>
        <v>9.8815572890574668</v>
      </c>
      <c r="I11" s="232"/>
      <c r="J11" s="232" t="s">
        <v>523</v>
      </c>
      <c r="K11" s="234">
        <v>48858</v>
      </c>
      <c r="L11" s="339">
        <v>55892</v>
      </c>
      <c r="M11" s="351">
        <f t="shared" si="24"/>
        <v>14.396823447541857</v>
      </c>
      <c r="N11" s="339">
        <v>48725</v>
      </c>
      <c r="O11" s="339">
        <v>55892</v>
      </c>
      <c r="P11" s="231">
        <f t="shared" si="25"/>
        <v>14.709081580297589</v>
      </c>
      <c r="Q11" s="232"/>
      <c r="R11" s="232" t="s">
        <v>523</v>
      </c>
      <c r="S11" s="234">
        <v>47851</v>
      </c>
      <c r="T11" s="339">
        <v>48725</v>
      </c>
      <c r="U11" s="351">
        <f t="shared" si="26"/>
        <v>1.8265031033834194</v>
      </c>
      <c r="V11" s="339">
        <v>37973</v>
      </c>
      <c r="W11" s="234">
        <v>48725</v>
      </c>
      <c r="X11" s="231">
        <f t="shared" si="27"/>
        <v>28.31485529191794</v>
      </c>
      <c r="Y11" s="232"/>
      <c r="Z11" s="232" t="s">
        <v>523</v>
      </c>
      <c r="AA11" s="234">
        <v>45175</v>
      </c>
      <c r="AB11" s="339">
        <v>37973</v>
      </c>
      <c r="AC11" s="351">
        <f t="shared" si="28"/>
        <v>-15.942446043165468</v>
      </c>
      <c r="AD11" s="339">
        <v>32383</v>
      </c>
      <c r="AE11" s="234">
        <v>37973</v>
      </c>
      <c r="AF11" s="231">
        <f t="shared" si="29"/>
        <v>17.262143717382578</v>
      </c>
      <c r="AG11" s="232"/>
      <c r="AH11" s="232" t="s">
        <v>523</v>
      </c>
      <c r="AI11" s="234">
        <v>32157</v>
      </c>
      <c r="AJ11" s="339">
        <v>32383</v>
      </c>
      <c r="AK11" s="351">
        <f t="shared" si="30"/>
        <v>0.70280187828466589</v>
      </c>
      <c r="AL11" s="339">
        <v>36975</v>
      </c>
      <c r="AM11" s="234">
        <v>32383</v>
      </c>
      <c r="AN11" s="231">
        <f t="shared" si="31"/>
        <v>-12.419202163624069</v>
      </c>
      <c r="AO11" s="232"/>
      <c r="AP11" s="232" t="s">
        <v>523</v>
      </c>
      <c r="AQ11" s="234">
        <v>38714</v>
      </c>
      <c r="AR11" s="339">
        <v>36975</v>
      </c>
      <c r="AS11" s="351">
        <f t="shared" si="32"/>
        <v>-4.4919150694839072</v>
      </c>
      <c r="AT11" s="339">
        <v>39904</v>
      </c>
      <c r="AU11" s="234">
        <v>36975</v>
      </c>
      <c r="AV11" s="231">
        <f t="shared" si="33"/>
        <v>-7.3401162790697683</v>
      </c>
      <c r="AW11" s="232"/>
      <c r="AX11" s="232" t="s">
        <v>523</v>
      </c>
      <c r="AY11" s="234">
        <v>37991</v>
      </c>
      <c r="AZ11" s="339">
        <v>39904</v>
      </c>
      <c r="BA11" s="231">
        <f t="shared" si="34"/>
        <v>5.0354031217920037</v>
      </c>
      <c r="BB11" s="339">
        <v>38430</v>
      </c>
      <c r="BC11" s="234">
        <v>39904</v>
      </c>
      <c r="BD11" s="231">
        <f t="shared" si="35"/>
        <v>3.8355451470205568</v>
      </c>
      <c r="BE11" s="232"/>
      <c r="BF11" s="232" t="s">
        <v>523</v>
      </c>
      <c r="BG11" s="234">
        <v>38537</v>
      </c>
      <c r="BH11" s="339">
        <v>38430</v>
      </c>
      <c r="BI11" s="231">
        <f t="shared" si="36"/>
        <v>-0.27765524041829931</v>
      </c>
      <c r="BJ11" s="234">
        <v>39260</v>
      </c>
      <c r="BK11" s="234">
        <v>38430</v>
      </c>
      <c r="BL11" s="231">
        <f t="shared" si="3"/>
        <v>-2.1141110545084056</v>
      </c>
      <c r="BM11" s="232"/>
      <c r="BN11" s="232" t="s">
        <v>523</v>
      </c>
      <c r="BO11" s="234">
        <v>44684</v>
      </c>
      <c r="BP11" s="234">
        <v>39260</v>
      </c>
      <c r="BQ11" s="231">
        <f t="shared" si="4"/>
        <v>-12.138573091039298</v>
      </c>
      <c r="BR11" s="234"/>
      <c r="BS11" s="234">
        <v>39260</v>
      </c>
      <c r="BT11" s="231"/>
      <c r="BU11" s="232"/>
      <c r="BV11" s="232" t="s">
        <v>437</v>
      </c>
      <c r="BW11" s="234">
        <v>13914</v>
      </c>
      <c r="BX11" s="234">
        <v>11816</v>
      </c>
      <c r="BY11" s="231">
        <f t="shared" si="5"/>
        <v>-15.078338364237458</v>
      </c>
      <c r="BZ11" s="234"/>
      <c r="CA11" s="234">
        <v>11816</v>
      </c>
      <c r="CB11" s="231"/>
      <c r="CC11" s="73"/>
      <c r="CD11" s="232"/>
      <c r="CE11" s="234"/>
      <c r="CF11" s="234"/>
      <c r="CG11" s="231"/>
      <c r="CH11" s="234"/>
      <c r="CI11" s="234"/>
      <c r="CJ11" s="231"/>
      <c r="CK11" s="73"/>
      <c r="CL11" s="234"/>
      <c r="CM11" s="234"/>
      <c r="CN11" s="231"/>
      <c r="CO11" s="234"/>
      <c r="CP11" s="234"/>
      <c r="CQ11" s="231"/>
      <c r="CR11" s="73"/>
      <c r="CS11" s="103"/>
      <c r="CT11" s="103"/>
      <c r="CU11" s="105"/>
      <c r="CV11" s="105"/>
      <c r="CW11" s="102"/>
      <c r="CX11" s="105"/>
      <c r="CY11" s="105"/>
      <c r="CZ11" s="102"/>
      <c r="DA11" s="73"/>
      <c r="DB11" s="103"/>
      <c r="DC11" s="103"/>
      <c r="DD11" s="105"/>
      <c r="DE11" s="105"/>
      <c r="DF11" s="102"/>
      <c r="DG11" s="105"/>
      <c r="DH11" s="105"/>
      <c r="DI11" s="102"/>
      <c r="DJ11" s="73"/>
      <c r="DK11" s="24"/>
      <c r="DL11" s="24"/>
      <c r="DM11" s="50"/>
      <c r="DN11" s="50"/>
      <c r="DO11" s="128"/>
      <c r="DP11" s="25"/>
      <c r="DQ11" s="50"/>
      <c r="DR11" s="128"/>
      <c r="DS11" s="130"/>
      <c r="DT11" s="103"/>
      <c r="DU11" s="103"/>
      <c r="DV11" s="105"/>
      <c r="DW11" s="105"/>
      <c r="DX11" s="102"/>
      <c r="DY11" s="105"/>
      <c r="DZ11" s="105"/>
      <c r="EA11" s="102"/>
      <c r="EB11" s="73"/>
      <c r="EC11" s="77"/>
      <c r="ED11" s="77"/>
      <c r="EE11" s="80"/>
      <c r="EF11" s="80"/>
      <c r="EG11" s="79"/>
      <c r="EH11" s="81"/>
      <c r="EI11" s="80"/>
      <c r="EJ11" s="79"/>
      <c r="EK11" s="61"/>
      <c r="EL11" s="42"/>
      <c r="EM11" s="42"/>
      <c r="EN11" s="43"/>
      <c r="EO11" s="43"/>
      <c r="EP11" s="44"/>
      <c r="EQ11" s="45"/>
      <c r="ER11" s="43"/>
      <c r="ES11" s="44"/>
      <c r="ET11" s="61"/>
      <c r="EU11" s="29"/>
      <c r="EV11" s="30"/>
      <c r="EW11" s="30"/>
      <c r="EX11" s="29"/>
      <c r="EY11" s="30"/>
      <c r="EZ11" s="30"/>
      <c r="FA11" s="29"/>
      <c r="FC11" s="48"/>
      <c r="FD11" s="49"/>
      <c r="FE11" s="49"/>
      <c r="FF11" s="48"/>
      <c r="FG11" s="49"/>
      <c r="FH11" s="49"/>
      <c r="FI11" s="48"/>
    </row>
    <row r="12" spans="1:177" x14ac:dyDescent="0.5">
      <c r="A12" s="232"/>
      <c r="B12" s="232" t="s">
        <v>524</v>
      </c>
      <c r="C12" s="234">
        <v>21970</v>
      </c>
      <c r="D12" s="339">
        <v>22808</v>
      </c>
      <c r="E12" s="351">
        <f t="shared" si="22"/>
        <v>3.8142922166590805</v>
      </c>
      <c r="F12" s="339">
        <v>23679</v>
      </c>
      <c r="G12" s="373">
        <v>22808</v>
      </c>
      <c r="H12" s="231">
        <f t="shared" si="23"/>
        <v>-3.678364795810634</v>
      </c>
      <c r="I12" s="232"/>
      <c r="J12" s="232" t="s">
        <v>524</v>
      </c>
      <c r="K12" s="234">
        <v>21568</v>
      </c>
      <c r="L12" s="339">
        <v>23679</v>
      </c>
      <c r="M12" s="351">
        <f t="shared" si="24"/>
        <v>9.7876483679525226</v>
      </c>
      <c r="N12" s="339">
        <v>28616</v>
      </c>
      <c r="O12" s="234">
        <v>23679</v>
      </c>
      <c r="P12" s="231">
        <f t="shared" si="25"/>
        <v>-17.252585965893207</v>
      </c>
      <c r="Q12" s="232"/>
      <c r="R12" s="232" t="s">
        <v>524</v>
      </c>
      <c r="S12" s="234">
        <v>29873</v>
      </c>
      <c r="T12" s="339">
        <v>28616</v>
      </c>
      <c r="U12" s="351">
        <f t="shared" si="26"/>
        <v>-4.2078130753523251</v>
      </c>
      <c r="V12" s="339">
        <v>26151</v>
      </c>
      <c r="W12" s="234">
        <v>28616</v>
      </c>
      <c r="X12" s="231">
        <f t="shared" si="27"/>
        <v>9.426025773392988</v>
      </c>
      <c r="Y12" s="232"/>
      <c r="Z12" s="232" t="s">
        <v>524</v>
      </c>
      <c r="AA12" s="234">
        <v>30102</v>
      </c>
      <c r="AB12" s="339">
        <v>26151</v>
      </c>
      <c r="AC12" s="351">
        <f t="shared" si="28"/>
        <v>-13.125373729320311</v>
      </c>
      <c r="AD12" s="339">
        <v>21790</v>
      </c>
      <c r="AE12" s="234">
        <v>26151</v>
      </c>
      <c r="AF12" s="231">
        <f t="shared" si="29"/>
        <v>20.013767783386875</v>
      </c>
      <c r="AG12" s="232"/>
      <c r="AH12" s="232" t="s">
        <v>524</v>
      </c>
      <c r="AI12" s="234">
        <v>20689</v>
      </c>
      <c r="AJ12" s="339">
        <v>21790</v>
      </c>
      <c r="AK12" s="351">
        <f t="shared" si="30"/>
        <v>5.3216685195031177</v>
      </c>
      <c r="AL12" s="339">
        <v>23772</v>
      </c>
      <c r="AM12" s="234">
        <v>21790</v>
      </c>
      <c r="AN12" s="231">
        <f t="shared" si="31"/>
        <v>-8.3375399629816584</v>
      </c>
      <c r="AO12" s="232"/>
      <c r="AP12" s="232" t="s">
        <v>524</v>
      </c>
      <c r="AQ12" s="234">
        <v>25023</v>
      </c>
      <c r="AR12" s="339">
        <v>23772</v>
      </c>
      <c r="AS12" s="351">
        <f t="shared" si="32"/>
        <v>-4.9994005514926272</v>
      </c>
      <c r="AT12" s="339">
        <v>26065</v>
      </c>
      <c r="AU12" s="234">
        <v>23772</v>
      </c>
      <c r="AV12" s="231">
        <f t="shared" si="33"/>
        <v>-8.7972376750431618</v>
      </c>
      <c r="AW12" s="232"/>
      <c r="AX12" s="232" t="s">
        <v>524</v>
      </c>
      <c r="AY12" s="234">
        <v>23647</v>
      </c>
      <c r="AZ12" s="339">
        <v>26065</v>
      </c>
      <c r="BA12" s="231">
        <f t="shared" si="34"/>
        <v>10.225398570643209</v>
      </c>
      <c r="BB12" s="339">
        <v>24894</v>
      </c>
      <c r="BC12" s="234">
        <v>26065</v>
      </c>
      <c r="BD12" s="231">
        <f t="shared" si="35"/>
        <v>4.7039447256366991</v>
      </c>
      <c r="BE12" s="232"/>
      <c r="BF12" s="232" t="s">
        <v>524</v>
      </c>
      <c r="BG12" s="234">
        <v>23872</v>
      </c>
      <c r="BH12" s="339">
        <v>24894</v>
      </c>
      <c r="BI12" s="231">
        <f t="shared" si="36"/>
        <v>4.2811662198391423</v>
      </c>
      <c r="BJ12" s="234">
        <v>21519</v>
      </c>
      <c r="BK12" s="234">
        <v>24894</v>
      </c>
      <c r="BL12" s="231">
        <f t="shared" si="3"/>
        <v>15.683814303638647</v>
      </c>
      <c r="BM12" s="232"/>
      <c r="BN12" s="232" t="s">
        <v>524</v>
      </c>
      <c r="BO12" s="234">
        <v>22093</v>
      </c>
      <c r="BP12" s="234">
        <v>21519</v>
      </c>
      <c r="BQ12" s="231">
        <f t="shared" si="4"/>
        <v>-2.5981079980084187</v>
      </c>
      <c r="BR12" s="234"/>
      <c r="BS12" s="234">
        <v>21519</v>
      </c>
      <c r="BT12" s="231"/>
      <c r="BU12" s="232"/>
      <c r="BV12" s="232" t="s">
        <v>438</v>
      </c>
      <c r="BW12" s="234">
        <v>7662</v>
      </c>
      <c r="BX12" s="234">
        <v>6145</v>
      </c>
      <c r="BY12" s="231">
        <f t="shared" si="5"/>
        <v>-19.799008091882015</v>
      </c>
      <c r="BZ12" s="234"/>
      <c r="CA12" s="234">
        <v>6145</v>
      </c>
      <c r="CB12" s="231"/>
      <c r="CC12" s="73"/>
      <c r="CD12" s="232" t="s">
        <v>58</v>
      </c>
      <c r="CE12" s="234">
        <v>16473</v>
      </c>
      <c r="CF12" s="234">
        <v>14940</v>
      </c>
      <c r="CG12" s="231">
        <f t="shared" si="7"/>
        <v>-9.3061373156073568</v>
      </c>
      <c r="CH12" s="234">
        <v>15572</v>
      </c>
      <c r="CI12" s="234">
        <v>14940</v>
      </c>
      <c r="CJ12" s="231">
        <f t="shared" si="8"/>
        <v>-4.0585666581042901</v>
      </c>
      <c r="CK12" s="73"/>
      <c r="CL12" s="234">
        <v>13953</v>
      </c>
      <c r="CM12" s="234">
        <v>13776</v>
      </c>
      <c r="CN12" s="231">
        <f t="shared" si="9"/>
        <v>-1.2685443990539669</v>
      </c>
      <c r="CO12" s="234">
        <v>7419</v>
      </c>
      <c r="CP12" s="234">
        <v>13776</v>
      </c>
      <c r="CQ12" s="231">
        <f t="shared" si="10"/>
        <v>85.685402345329564</v>
      </c>
      <c r="CR12" s="73"/>
      <c r="CS12" s="103"/>
      <c r="CT12" s="103" t="s">
        <v>58</v>
      </c>
      <c r="CU12" s="105">
        <v>7684</v>
      </c>
      <c r="CV12" s="105">
        <v>8055</v>
      </c>
      <c r="CW12" s="102">
        <f t="shared" si="11"/>
        <v>4.8282144716293596</v>
      </c>
      <c r="CX12" s="105">
        <v>5438</v>
      </c>
      <c r="CY12" s="105">
        <v>8055</v>
      </c>
      <c r="CZ12" s="102">
        <f t="shared" si="12"/>
        <v>48.124310408238323</v>
      </c>
      <c r="DA12" s="73"/>
      <c r="DB12" s="103"/>
      <c r="DC12" s="103" t="s">
        <v>58</v>
      </c>
      <c r="DD12" s="105">
        <v>6197</v>
      </c>
      <c r="DE12" s="105">
        <v>5438</v>
      </c>
      <c r="DF12" s="102">
        <f t="shared" si="13"/>
        <v>-12.247861868646119</v>
      </c>
      <c r="DG12" s="105">
        <v>2340</v>
      </c>
      <c r="DH12" s="105">
        <v>5438</v>
      </c>
      <c r="DI12" s="102">
        <f t="shared" si="14"/>
        <v>132.39316239316238</v>
      </c>
      <c r="DJ12" s="73"/>
      <c r="DK12" s="24"/>
      <c r="DL12" s="24" t="s">
        <v>58</v>
      </c>
      <c r="DM12" s="50">
        <v>2967</v>
      </c>
      <c r="DN12" s="50">
        <v>2340</v>
      </c>
      <c r="DO12" s="128">
        <f t="shared" si="15"/>
        <v>-21.132457027300301</v>
      </c>
      <c r="DP12" s="25">
        <v>5365</v>
      </c>
      <c r="DQ12" s="50">
        <v>2340</v>
      </c>
      <c r="DR12" s="128">
        <f t="shared" si="16"/>
        <v>-56.383970177073628</v>
      </c>
      <c r="DS12" s="130"/>
      <c r="DT12" s="103"/>
      <c r="DU12" s="103" t="s">
        <v>58</v>
      </c>
      <c r="DV12" s="105">
        <v>5791</v>
      </c>
      <c r="DW12" s="105">
        <v>5365</v>
      </c>
      <c r="DX12" s="102">
        <f t="shared" si="17"/>
        <v>-7.356242445173546</v>
      </c>
      <c r="DY12" s="105">
        <v>5755</v>
      </c>
      <c r="DZ12" s="105">
        <v>5365</v>
      </c>
      <c r="EA12" s="102">
        <f t="shared" si="18"/>
        <v>-6.7767158992180709</v>
      </c>
      <c r="EB12" s="73"/>
      <c r="EC12" s="77"/>
      <c r="ED12" s="77" t="s">
        <v>59</v>
      </c>
      <c r="EE12" s="80">
        <v>63071</v>
      </c>
      <c r="EF12" s="80">
        <v>61479</v>
      </c>
      <c r="EG12" s="79">
        <f t="shared" si="19"/>
        <v>-2.524139461876298</v>
      </c>
      <c r="EH12" s="81">
        <v>57725</v>
      </c>
      <c r="EI12" s="80">
        <v>61479</v>
      </c>
      <c r="EJ12" s="79">
        <f t="shared" si="20"/>
        <v>6.5032481593763531</v>
      </c>
      <c r="EK12" s="61"/>
      <c r="EL12" s="42"/>
      <c r="EM12" s="42" t="s">
        <v>59</v>
      </c>
      <c r="EN12" s="43">
        <v>51913</v>
      </c>
      <c r="EO12" s="43">
        <v>57725</v>
      </c>
      <c r="EP12" s="44">
        <f t="shared" si="1"/>
        <v>11.195654267717142</v>
      </c>
      <c r="EQ12" s="45">
        <v>73994</v>
      </c>
      <c r="ER12" s="43">
        <v>57725</v>
      </c>
      <c r="ES12" s="44">
        <f t="shared" si="2"/>
        <v>-21.98691785820472</v>
      </c>
      <c r="ET12" s="61"/>
      <c r="EU12" s="20" t="s">
        <v>0</v>
      </c>
      <c r="EV12" s="21">
        <v>103219</v>
      </c>
      <c r="EW12" s="21">
        <v>101264</v>
      </c>
      <c r="EX12" s="31">
        <f>(EW12-EV12)/EV12*100</f>
        <v>-1.8940311376781407</v>
      </c>
      <c r="EY12" s="35">
        <v>104629</v>
      </c>
      <c r="EZ12" s="21">
        <v>101264</v>
      </c>
      <c r="FA12" s="31">
        <f>(EZ12-EY12)/EY12*100</f>
        <v>-3.216125548366132</v>
      </c>
      <c r="FC12" s="42" t="s">
        <v>0</v>
      </c>
      <c r="FD12" s="43">
        <v>102602</v>
      </c>
      <c r="FE12" s="45">
        <v>104629</v>
      </c>
      <c r="FF12" s="44">
        <f>(FE12-FD12)/FD12*100</f>
        <v>1.9755950176409816</v>
      </c>
      <c r="FG12" s="45">
        <v>89880</v>
      </c>
      <c r="FH12" s="45">
        <v>104629</v>
      </c>
      <c r="FI12" s="44">
        <f>(FH12-FG12)/FG12*100</f>
        <v>16.409657320872274</v>
      </c>
    </row>
    <row r="13" spans="1:177" x14ac:dyDescent="0.5">
      <c r="A13" s="232"/>
      <c r="B13" s="232" t="s">
        <v>525</v>
      </c>
      <c r="C13" s="234">
        <v>6990</v>
      </c>
      <c r="D13" s="339">
        <v>6145</v>
      </c>
      <c r="E13" s="351">
        <f t="shared" si="22"/>
        <v>-12.088698140200286</v>
      </c>
      <c r="F13" s="339">
        <v>7343</v>
      </c>
      <c r="G13" s="373">
        <v>6145</v>
      </c>
      <c r="H13" s="231">
        <f t="shared" si="23"/>
        <v>-16.314857687593626</v>
      </c>
      <c r="I13" s="232"/>
      <c r="J13" s="232" t="s">
        <v>525</v>
      </c>
      <c r="K13" s="234">
        <v>6525</v>
      </c>
      <c r="L13" s="339">
        <v>7343</v>
      </c>
      <c r="M13" s="351">
        <f t="shared" si="24"/>
        <v>12.536398467432949</v>
      </c>
      <c r="N13" s="339">
        <v>7399</v>
      </c>
      <c r="O13" s="234">
        <v>7343</v>
      </c>
      <c r="P13" s="231">
        <f t="shared" si="25"/>
        <v>-0.7568590350047304</v>
      </c>
      <c r="Q13" s="232"/>
      <c r="R13" s="232" t="s">
        <v>525</v>
      </c>
      <c r="S13" s="234">
        <v>7837</v>
      </c>
      <c r="T13" s="339">
        <v>7399</v>
      </c>
      <c r="U13" s="351">
        <f t="shared" si="26"/>
        <v>-5.588873293352048</v>
      </c>
      <c r="V13" s="339">
        <v>4242</v>
      </c>
      <c r="W13" s="234">
        <v>7399</v>
      </c>
      <c r="X13" s="231">
        <f t="shared" si="27"/>
        <v>74.422442244224413</v>
      </c>
      <c r="Y13" s="232"/>
      <c r="Z13" s="232" t="s">
        <v>525</v>
      </c>
      <c r="AA13" s="234">
        <v>4950</v>
      </c>
      <c r="AB13" s="339">
        <v>4242</v>
      </c>
      <c r="AC13" s="351">
        <f t="shared" si="28"/>
        <v>-14.303030303030303</v>
      </c>
      <c r="AD13" s="339">
        <v>6003</v>
      </c>
      <c r="AE13" s="234">
        <v>4242</v>
      </c>
      <c r="AF13" s="231">
        <f t="shared" si="29"/>
        <v>-29.33533233383308</v>
      </c>
      <c r="AG13" s="232"/>
      <c r="AH13" s="232" t="s">
        <v>525</v>
      </c>
      <c r="AI13" s="234">
        <v>6001</v>
      </c>
      <c r="AJ13" s="339">
        <v>6003</v>
      </c>
      <c r="AK13" s="351">
        <f t="shared" si="30"/>
        <v>3.3327778703549409E-2</v>
      </c>
      <c r="AL13" s="339">
        <v>4080</v>
      </c>
      <c r="AM13" s="234">
        <v>6003</v>
      </c>
      <c r="AN13" s="231">
        <f t="shared" si="31"/>
        <v>47.132352941176471</v>
      </c>
      <c r="AO13" s="232"/>
      <c r="AP13" s="232" t="s">
        <v>525</v>
      </c>
      <c r="AQ13" s="234">
        <v>4579</v>
      </c>
      <c r="AR13" s="339">
        <v>4080</v>
      </c>
      <c r="AS13" s="351">
        <f t="shared" si="32"/>
        <v>-10.8975758899323</v>
      </c>
      <c r="AT13" s="339">
        <v>3766</v>
      </c>
      <c r="AU13" s="234">
        <v>4080</v>
      </c>
      <c r="AV13" s="231">
        <f t="shared" si="33"/>
        <v>8.3377588953797126</v>
      </c>
      <c r="AW13" s="232"/>
      <c r="AX13" s="232" t="s">
        <v>525</v>
      </c>
      <c r="AY13" s="234">
        <v>3540</v>
      </c>
      <c r="AZ13" s="339">
        <v>3766</v>
      </c>
      <c r="BA13" s="231">
        <f t="shared" si="34"/>
        <v>6.3841807909604515</v>
      </c>
      <c r="BB13" s="339">
        <v>3043</v>
      </c>
      <c r="BC13" s="234">
        <v>3766</v>
      </c>
      <c r="BD13" s="231">
        <f t="shared" si="35"/>
        <v>23.759447913243509</v>
      </c>
      <c r="BE13" s="232"/>
      <c r="BF13" s="232" t="s">
        <v>525</v>
      </c>
      <c r="BG13" s="234">
        <v>3019</v>
      </c>
      <c r="BH13" s="339">
        <v>3043</v>
      </c>
      <c r="BI13" s="231">
        <f t="shared" si="36"/>
        <v>0.7949652202716132</v>
      </c>
      <c r="BJ13" s="234">
        <v>1950</v>
      </c>
      <c r="BK13" s="234">
        <v>3043</v>
      </c>
      <c r="BL13" s="231">
        <f t="shared" si="3"/>
        <v>56.051282051282044</v>
      </c>
      <c r="BM13" s="232"/>
      <c r="BN13" s="232" t="s">
        <v>525</v>
      </c>
      <c r="BO13" s="234">
        <v>2065</v>
      </c>
      <c r="BP13" s="234">
        <v>1950</v>
      </c>
      <c r="BQ13" s="231">
        <f t="shared" si="4"/>
        <v>-5.5690072639225177</v>
      </c>
      <c r="BR13" s="234"/>
      <c r="BS13" s="234">
        <v>1950</v>
      </c>
      <c r="BT13" s="231"/>
      <c r="BU13" s="232"/>
      <c r="BV13" s="232"/>
      <c r="BW13" s="234"/>
      <c r="BX13" s="234"/>
      <c r="BY13" s="231"/>
      <c r="BZ13" s="234"/>
      <c r="CA13" s="234"/>
      <c r="CB13" s="231"/>
      <c r="CC13" s="73"/>
      <c r="CD13" s="232"/>
      <c r="CE13" s="234"/>
      <c r="CF13" s="234"/>
      <c r="CG13" s="231"/>
      <c r="CH13" s="234"/>
      <c r="CI13" s="234"/>
      <c r="CJ13" s="231"/>
      <c r="CK13" s="73"/>
      <c r="CL13" s="234"/>
      <c r="CM13" s="234"/>
      <c r="CN13" s="231"/>
      <c r="CO13" s="234"/>
      <c r="CP13" s="234"/>
      <c r="CQ13" s="231"/>
      <c r="CR13" s="73"/>
      <c r="CS13" s="103"/>
      <c r="CT13" s="103"/>
      <c r="CU13" s="105"/>
      <c r="CV13" s="105"/>
      <c r="CW13" s="102"/>
      <c r="CX13" s="105"/>
      <c r="CY13" s="105"/>
      <c r="CZ13" s="102"/>
      <c r="DA13" s="73"/>
      <c r="DB13" s="103"/>
      <c r="DC13" s="103"/>
      <c r="DD13" s="105"/>
      <c r="DE13" s="105"/>
      <c r="DF13" s="102"/>
      <c r="DG13" s="105"/>
      <c r="DH13" s="105"/>
      <c r="DI13" s="102"/>
      <c r="DJ13" s="73"/>
      <c r="DK13" s="24"/>
      <c r="DL13" s="24"/>
      <c r="DM13" s="50"/>
      <c r="DN13" s="50"/>
      <c r="DO13" s="128"/>
      <c r="DP13" s="25"/>
      <c r="DQ13" s="50"/>
      <c r="DR13" s="128"/>
      <c r="DS13" s="130"/>
      <c r="DT13" s="103"/>
      <c r="DU13" s="103"/>
      <c r="DV13" s="105"/>
      <c r="DW13" s="105"/>
      <c r="DX13" s="102"/>
      <c r="DY13" s="105"/>
      <c r="DZ13" s="105"/>
      <c r="EA13" s="102"/>
      <c r="EB13" s="73"/>
      <c r="EC13" s="77"/>
      <c r="ED13" s="77"/>
      <c r="EE13" s="80"/>
      <c r="EF13" s="80"/>
      <c r="EG13" s="79"/>
      <c r="EH13" s="81"/>
      <c r="EI13" s="80"/>
      <c r="EJ13" s="79"/>
      <c r="EK13" s="61"/>
      <c r="EL13" s="42"/>
      <c r="EM13" s="42"/>
      <c r="EN13" s="43"/>
      <c r="EO13" s="43"/>
      <c r="EP13" s="44"/>
      <c r="EQ13" s="45"/>
      <c r="ER13" s="43"/>
      <c r="ES13" s="44"/>
      <c r="ET13" s="61"/>
      <c r="EU13" s="20"/>
      <c r="EV13" s="21"/>
      <c r="EW13" s="21"/>
      <c r="EX13" s="31"/>
      <c r="EY13" s="35"/>
      <c r="EZ13" s="21"/>
      <c r="FA13" s="31"/>
      <c r="FC13" s="42"/>
      <c r="FD13" s="43"/>
      <c r="FE13" s="45"/>
      <c r="FF13" s="44"/>
      <c r="FG13" s="45"/>
      <c r="FH13" s="45"/>
      <c r="FI13" s="44"/>
    </row>
    <row r="14" spans="1:177" x14ac:dyDescent="0.5">
      <c r="A14" s="232"/>
      <c r="B14" s="232" t="str">
        <f>R27</f>
        <v>รถยนต์นั่ง</v>
      </c>
      <c r="C14" s="234">
        <v>1086</v>
      </c>
      <c r="D14" s="339">
        <v>919</v>
      </c>
      <c r="E14" s="351">
        <f>((D14-C14)/C14)*100</f>
        <v>-15.377532228360957</v>
      </c>
      <c r="F14" s="339">
        <v>824</v>
      </c>
      <c r="G14" s="373">
        <v>919</v>
      </c>
      <c r="H14" s="231">
        <f t="shared" si="23"/>
        <v>11.529126213592233</v>
      </c>
      <c r="I14" s="232"/>
      <c r="J14" s="232" t="str">
        <f>Z27</f>
        <v>รถยนต์นั่ง</v>
      </c>
      <c r="K14" s="234">
        <v>882</v>
      </c>
      <c r="L14" s="339">
        <v>824</v>
      </c>
      <c r="M14" s="351">
        <f t="shared" si="24"/>
        <v>-6.5759637188208613</v>
      </c>
      <c r="N14" s="339">
        <v>1018</v>
      </c>
      <c r="O14" s="234">
        <v>824</v>
      </c>
      <c r="P14" s="231">
        <f t="shared" si="25"/>
        <v>-19.056974459724952</v>
      </c>
      <c r="Q14" s="232"/>
      <c r="R14" s="232" t="str">
        <f>AH27</f>
        <v>รถยนต์นั่ง</v>
      </c>
      <c r="S14" s="234">
        <v>1148</v>
      </c>
      <c r="T14" s="339">
        <v>1018</v>
      </c>
      <c r="U14" s="351">
        <f t="shared" si="26"/>
        <v>-11.324041811846691</v>
      </c>
      <c r="V14" s="339">
        <v>1022</v>
      </c>
      <c r="W14" s="234">
        <v>1018</v>
      </c>
      <c r="X14" s="231">
        <f t="shared" si="27"/>
        <v>-0.39138943248532287</v>
      </c>
      <c r="Y14" s="232"/>
      <c r="Z14" s="232" t="s">
        <v>526</v>
      </c>
      <c r="AA14" s="234">
        <v>1100</v>
      </c>
      <c r="AB14" s="339">
        <v>1022</v>
      </c>
      <c r="AC14" s="351">
        <f t="shared" si="28"/>
        <v>-7.0909090909090908</v>
      </c>
      <c r="AD14" s="339">
        <v>1181</v>
      </c>
      <c r="AE14" s="234">
        <v>1022</v>
      </c>
      <c r="AF14" s="231">
        <f t="shared" si="29"/>
        <v>-13.463166807790008</v>
      </c>
      <c r="AG14" s="232"/>
      <c r="AH14" s="232" t="s">
        <v>526</v>
      </c>
      <c r="AI14" s="234">
        <v>1204</v>
      </c>
      <c r="AJ14" s="339">
        <v>1181</v>
      </c>
      <c r="AK14" s="351">
        <f t="shared" si="30"/>
        <v>-1.9102990033222591</v>
      </c>
      <c r="AL14" s="339">
        <v>1558</v>
      </c>
      <c r="AM14" s="234">
        <v>1181</v>
      </c>
      <c r="AN14" s="231">
        <f t="shared" si="31"/>
        <v>-24.197689345314505</v>
      </c>
      <c r="AO14" s="232"/>
      <c r="AP14" s="232" t="s">
        <v>526</v>
      </c>
      <c r="AQ14" s="234">
        <v>1885</v>
      </c>
      <c r="AR14" s="339">
        <v>1558</v>
      </c>
      <c r="AS14" s="351">
        <f t="shared" si="32"/>
        <v>-17.347480106100797</v>
      </c>
      <c r="AT14" s="339">
        <v>1823</v>
      </c>
      <c r="AU14" s="234">
        <v>1558</v>
      </c>
      <c r="AV14" s="231">
        <f t="shared" si="33"/>
        <v>-14.53647833241909</v>
      </c>
      <c r="AW14" s="232"/>
      <c r="AX14" s="232" t="s">
        <v>526</v>
      </c>
      <c r="AY14" s="234">
        <v>2026</v>
      </c>
      <c r="AZ14" s="339">
        <v>1823</v>
      </c>
      <c r="BA14" s="231">
        <f t="shared" si="34"/>
        <v>-10.01974333662389</v>
      </c>
      <c r="BB14" s="339">
        <v>2404</v>
      </c>
      <c r="BC14" s="234">
        <v>1823</v>
      </c>
      <c r="BD14" s="231">
        <f t="shared" si="35"/>
        <v>-24.168053244592347</v>
      </c>
      <c r="BE14" s="232"/>
      <c r="BF14" s="232" t="s">
        <v>526</v>
      </c>
      <c r="BG14" s="234">
        <v>2224</v>
      </c>
      <c r="BH14" s="339">
        <v>2404</v>
      </c>
      <c r="BI14" s="231">
        <f t="shared" si="36"/>
        <v>8.0935251798561154</v>
      </c>
      <c r="BJ14" s="234">
        <v>2709</v>
      </c>
      <c r="BK14" s="234">
        <v>2404</v>
      </c>
      <c r="BL14" s="231">
        <f t="shared" si="3"/>
        <v>-11.258767072720561</v>
      </c>
      <c r="BM14" s="232"/>
      <c r="BN14" s="232" t="s">
        <v>526</v>
      </c>
      <c r="BO14" s="234">
        <v>2873</v>
      </c>
      <c r="BP14" s="234">
        <v>2709</v>
      </c>
      <c r="BQ14" s="231">
        <f t="shared" si="4"/>
        <v>-5.7083188304907759</v>
      </c>
      <c r="BR14" s="234"/>
      <c r="BS14" s="234">
        <v>2709</v>
      </c>
      <c r="BT14" s="231"/>
      <c r="BU14" s="232"/>
      <c r="BV14" s="232"/>
      <c r="BW14" s="234"/>
      <c r="BX14" s="234"/>
      <c r="BY14" s="231"/>
      <c r="BZ14" s="234"/>
      <c r="CA14" s="234"/>
      <c r="CB14" s="231"/>
      <c r="CC14" s="73"/>
      <c r="CD14" s="232"/>
      <c r="CE14" s="234"/>
      <c r="CF14" s="234"/>
      <c r="CG14" s="231"/>
      <c r="CH14" s="234"/>
      <c r="CI14" s="234"/>
      <c r="CJ14" s="231"/>
      <c r="CK14" s="73"/>
      <c r="CL14" s="234"/>
      <c r="CM14" s="234"/>
      <c r="CN14" s="231"/>
      <c r="CO14" s="234"/>
      <c r="CP14" s="234"/>
      <c r="CQ14" s="231"/>
      <c r="CR14" s="73"/>
      <c r="CS14" s="103"/>
      <c r="CT14" s="103"/>
      <c r="CU14" s="105"/>
      <c r="CV14" s="105"/>
      <c r="CW14" s="102"/>
      <c r="CX14" s="105"/>
      <c r="CY14" s="105"/>
      <c r="CZ14" s="102"/>
      <c r="DA14" s="73"/>
      <c r="DB14" s="103"/>
      <c r="DC14" s="103"/>
      <c r="DD14" s="105"/>
      <c r="DE14" s="105"/>
      <c r="DF14" s="102"/>
      <c r="DG14" s="105"/>
      <c r="DH14" s="105"/>
      <c r="DI14" s="102"/>
      <c r="DJ14" s="73"/>
      <c r="DK14" s="24"/>
      <c r="DL14" s="24"/>
      <c r="DM14" s="50"/>
      <c r="DN14" s="50"/>
      <c r="DO14" s="128"/>
      <c r="DP14" s="25"/>
      <c r="DQ14" s="50"/>
      <c r="DR14" s="128"/>
      <c r="DS14" s="130"/>
      <c r="DT14" s="103"/>
      <c r="DU14" s="103"/>
      <c r="DV14" s="105"/>
      <c r="DW14" s="105"/>
      <c r="DX14" s="102"/>
      <c r="DY14" s="105"/>
      <c r="DZ14" s="105"/>
      <c r="EA14" s="102"/>
      <c r="EB14" s="73"/>
      <c r="EC14" s="77"/>
      <c r="ED14" s="77"/>
      <c r="EE14" s="80"/>
      <c r="EF14" s="80"/>
      <c r="EG14" s="79"/>
      <c r="EH14" s="81"/>
      <c r="EI14" s="80"/>
      <c r="EJ14" s="79"/>
      <c r="EK14" s="61"/>
      <c r="EL14" s="42"/>
      <c r="EM14" s="42"/>
      <c r="EN14" s="43"/>
      <c r="EO14" s="43"/>
      <c r="EP14" s="44"/>
      <c r="EQ14" s="45"/>
      <c r="ER14" s="43"/>
      <c r="ES14" s="44"/>
      <c r="ET14" s="61"/>
      <c r="EU14" s="20"/>
      <c r="EV14" s="21"/>
      <c r="EW14" s="21"/>
      <c r="EX14" s="31"/>
      <c r="EY14" s="35"/>
      <c r="EZ14" s="21"/>
      <c r="FA14" s="31"/>
      <c r="FC14" s="42"/>
      <c r="FD14" s="43"/>
      <c r="FE14" s="45"/>
      <c r="FF14" s="44"/>
      <c r="FG14" s="45"/>
      <c r="FH14" s="45"/>
      <c r="FI14" s="44"/>
    </row>
    <row r="15" spans="1:177" x14ac:dyDescent="0.5">
      <c r="A15" s="229" t="s">
        <v>2</v>
      </c>
      <c r="B15" s="229" t="s">
        <v>60</v>
      </c>
      <c r="C15" s="230">
        <v>75214</v>
      </c>
      <c r="D15" s="242">
        <f>D16+D17</f>
        <v>89570</v>
      </c>
      <c r="E15" s="351">
        <f t="shared" si="22"/>
        <v>19.086872124870368</v>
      </c>
      <c r="F15" s="242">
        <v>175066</v>
      </c>
      <c r="G15" s="374">
        <v>89570</v>
      </c>
      <c r="H15" s="231">
        <f t="shared" si="23"/>
        <v>-48.836438828784573</v>
      </c>
      <c r="I15" s="229" t="s">
        <v>2</v>
      </c>
      <c r="J15" s="229" t="s">
        <v>60</v>
      </c>
      <c r="K15" s="230">
        <v>69753</v>
      </c>
      <c r="L15" s="242">
        <v>175066</v>
      </c>
      <c r="M15" s="351">
        <f t="shared" si="24"/>
        <v>150.97988616977048</v>
      </c>
      <c r="N15" s="242">
        <v>68136</v>
      </c>
      <c r="O15" s="242">
        <v>175066</v>
      </c>
      <c r="P15" s="231">
        <f t="shared" si="25"/>
        <v>156.93612774451097</v>
      </c>
      <c r="Q15" s="229" t="s">
        <v>2</v>
      </c>
      <c r="R15" s="229" t="s">
        <v>60</v>
      </c>
      <c r="S15" s="230">
        <v>61121</v>
      </c>
      <c r="T15" s="242">
        <v>68136</v>
      </c>
      <c r="U15" s="351">
        <f t="shared" si="26"/>
        <v>11.477233684003862</v>
      </c>
      <c r="V15" s="242">
        <v>90971</v>
      </c>
      <c r="W15" s="242">
        <v>68136</v>
      </c>
      <c r="X15" s="231">
        <f t="shared" si="27"/>
        <v>-25.101405942553122</v>
      </c>
      <c r="Y15" s="229" t="s">
        <v>2</v>
      </c>
      <c r="Z15" s="229" t="s">
        <v>60</v>
      </c>
      <c r="AA15" s="230">
        <v>92659</v>
      </c>
      <c r="AB15" s="242">
        <v>90971</v>
      </c>
      <c r="AC15" s="351">
        <f t="shared" si="28"/>
        <v>-1.8217334527676752</v>
      </c>
      <c r="AD15" s="242">
        <v>78919</v>
      </c>
      <c r="AE15" s="242">
        <v>90971</v>
      </c>
      <c r="AF15" s="231">
        <f t="shared" si="29"/>
        <v>15.271354173266261</v>
      </c>
      <c r="AG15" s="229" t="s">
        <v>2</v>
      </c>
      <c r="AH15" s="229" t="s">
        <v>60</v>
      </c>
      <c r="AI15" s="230">
        <v>69179</v>
      </c>
      <c r="AJ15" s="242">
        <v>78919</v>
      </c>
      <c r="AK15" s="351">
        <f t="shared" si="30"/>
        <v>14.079417164168317</v>
      </c>
      <c r="AL15" s="242">
        <v>68871</v>
      </c>
      <c r="AM15" s="242">
        <v>78919</v>
      </c>
      <c r="AN15" s="231">
        <f t="shared" si="31"/>
        <v>14.589595040002322</v>
      </c>
      <c r="AO15" s="229" t="s">
        <v>2</v>
      </c>
      <c r="AP15" s="229" t="s">
        <v>60</v>
      </c>
      <c r="AQ15" s="230">
        <v>57454</v>
      </c>
      <c r="AR15" s="242">
        <v>68871</v>
      </c>
      <c r="AS15" s="351">
        <f t="shared" si="32"/>
        <v>19.871549413443798</v>
      </c>
      <c r="AT15" s="242">
        <v>84047</v>
      </c>
      <c r="AU15" s="242">
        <v>68871</v>
      </c>
      <c r="AV15" s="231">
        <f t="shared" si="33"/>
        <v>-18.056563589420204</v>
      </c>
      <c r="AW15" s="229" t="s">
        <v>2</v>
      </c>
      <c r="AX15" s="229" t="s">
        <v>60</v>
      </c>
      <c r="AY15" s="230">
        <v>65625</v>
      </c>
      <c r="AZ15" s="242">
        <v>84047</v>
      </c>
      <c r="BA15" s="231">
        <f t="shared" si="34"/>
        <v>28.071619047619045</v>
      </c>
      <c r="BB15" s="242">
        <v>61602</v>
      </c>
      <c r="BC15" s="242">
        <v>84047</v>
      </c>
      <c r="BD15" s="231">
        <f t="shared" si="35"/>
        <v>36.435505340735688</v>
      </c>
      <c r="BE15" s="229" t="s">
        <v>2</v>
      </c>
      <c r="BF15" s="229" t="s">
        <v>60</v>
      </c>
      <c r="BG15" s="230">
        <v>62569</v>
      </c>
      <c r="BH15" s="242">
        <v>61602</v>
      </c>
      <c r="BI15" s="231">
        <f t="shared" si="36"/>
        <v>-1.5454937748725406</v>
      </c>
      <c r="BJ15" s="230">
        <v>61536</v>
      </c>
      <c r="BK15" s="242">
        <v>61602</v>
      </c>
      <c r="BL15" s="231">
        <f>((BK15-BJ15)/BJ15)*100</f>
        <v>0.10725429017160687</v>
      </c>
      <c r="BM15" s="229" t="s">
        <v>2</v>
      </c>
      <c r="BN15" s="229" t="s">
        <v>60</v>
      </c>
      <c r="BO15" s="230">
        <v>58899</v>
      </c>
      <c r="BP15" s="242">
        <v>61536</v>
      </c>
      <c r="BQ15" s="231">
        <f t="shared" si="4"/>
        <v>4.4771558090969288</v>
      </c>
      <c r="BR15" s="230">
        <v>77343</v>
      </c>
      <c r="BS15" s="242">
        <v>61536</v>
      </c>
      <c r="BT15" s="231">
        <f>((BS15-BR15)/BR15)*100</f>
        <v>-20.43753151545712</v>
      </c>
      <c r="BU15" s="229" t="s">
        <v>2</v>
      </c>
      <c r="BV15" s="229" t="s">
        <v>60</v>
      </c>
      <c r="BW15" s="230">
        <v>60916</v>
      </c>
      <c r="BX15" s="242">
        <v>77343</v>
      </c>
      <c r="BY15" s="231">
        <f t="shared" si="5"/>
        <v>26.966642589795786</v>
      </c>
      <c r="BZ15" s="230">
        <v>63462</v>
      </c>
      <c r="CA15" s="242">
        <v>77343</v>
      </c>
      <c r="CB15" s="231">
        <f t="shared" si="6"/>
        <v>21.872931833223031</v>
      </c>
      <c r="CC15" s="73"/>
      <c r="CD15" s="229" t="s">
        <v>60</v>
      </c>
      <c r="CE15" s="230">
        <v>65835</v>
      </c>
      <c r="CF15" s="242">
        <v>63462</v>
      </c>
      <c r="CG15" s="231">
        <f t="shared" si="7"/>
        <v>-3.6044657097288679</v>
      </c>
      <c r="CH15" s="230">
        <v>68774</v>
      </c>
      <c r="CI15" s="242">
        <v>63462</v>
      </c>
      <c r="CJ15" s="231">
        <f t="shared" si="8"/>
        <v>-7.7238491290313194</v>
      </c>
      <c r="CK15" s="73"/>
      <c r="CL15" s="242">
        <f>SUM(CL16:CL17)</f>
        <v>61091</v>
      </c>
      <c r="CM15" s="242">
        <f>SUM(CM16:CM17)</f>
        <v>71836</v>
      </c>
      <c r="CN15" s="231">
        <f t="shared" si="9"/>
        <v>17.588515493280514</v>
      </c>
      <c r="CO15" s="230">
        <v>70356</v>
      </c>
      <c r="CP15" s="242">
        <v>71836</v>
      </c>
      <c r="CQ15" s="231">
        <f t="shared" si="10"/>
        <v>2.1035874694411283</v>
      </c>
      <c r="CR15" s="73"/>
      <c r="CS15" s="100" t="s">
        <v>2</v>
      </c>
      <c r="CT15" s="100" t="s">
        <v>60</v>
      </c>
      <c r="CU15" s="101">
        <f>SUM(CU16:CU17)</f>
        <v>66515</v>
      </c>
      <c r="CV15" s="101">
        <f>SUM(CV16:CV17)</f>
        <v>70356</v>
      </c>
      <c r="CW15" s="102">
        <f t="shared" si="11"/>
        <v>5.7746372998571749</v>
      </c>
      <c r="CX15" s="101">
        <f>SUM(CX16:CX17)</f>
        <v>81409</v>
      </c>
      <c r="CY15" s="101">
        <f>SUM(CY16:CY17)</f>
        <v>70356</v>
      </c>
      <c r="CZ15" s="102">
        <f t="shared" si="12"/>
        <v>-13.577122922526993</v>
      </c>
      <c r="DA15" s="73"/>
      <c r="DB15" s="100" t="s">
        <v>2</v>
      </c>
      <c r="DC15" s="100" t="s">
        <v>60</v>
      </c>
      <c r="DD15" s="101">
        <f>SUM(DD16:DD17)</f>
        <v>107559</v>
      </c>
      <c r="DE15" s="101">
        <f>SUM(DE16:DE17)</f>
        <v>81409</v>
      </c>
      <c r="DF15" s="102">
        <f t="shared" si="13"/>
        <v>-24.312237934528959</v>
      </c>
      <c r="DG15" s="101">
        <v>78247</v>
      </c>
      <c r="DH15" s="101">
        <v>81409</v>
      </c>
      <c r="DI15" s="102">
        <f t="shared" si="14"/>
        <v>4.0410494971053197</v>
      </c>
      <c r="DJ15" s="73"/>
      <c r="DK15" s="120" t="s">
        <v>2</v>
      </c>
      <c r="DL15" s="120" t="s">
        <v>60</v>
      </c>
      <c r="DM15" s="133">
        <v>72188</v>
      </c>
      <c r="DN15" s="133">
        <v>78247</v>
      </c>
      <c r="DO15" s="125">
        <f t="shared" si="15"/>
        <v>8.3933617775807612</v>
      </c>
      <c r="DP15" s="121">
        <v>55047</v>
      </c>
      <c r="DQ15" s="133">
        <v>78247</v>
      </c>
      <c r="DR15" s="125">
        <f t="shared" si="16"/>
        <v>42.145802677711771</v>
      </c>
      <c r="DS15" s="127"/>
      <c r="DT15" s="100" t="s">
        <v>2</v>
      </c>
      <c r="DU15" s="100" t="s">
        <v>60</v>
      </c>
      <c r="DV15" s="101">
        <f>SUM(DV16:DV17)</f>
        <v>64162</v>
      </c>
      <c r="DW15" s="101">
        <f>SUM(DW16:DW17)</f>
        <v>55047</v>
      </c>
      <c r="DX15" s="102">
        <f t="shared" si="17"/>
        <v>-14.206227985411926</v>
      </c>
      <c r="DY15" s="101">
        <v>55048</v>
      </c>
      <c r="DZ15" s="101">
        <v>55047</v>
      </c>
      <c r="EA15" s="102">
        <f t="shared" si="18"/>
        <v>-1.8165964249382356E-3</v>
      </c>
      <c r="EB15" s="73"/>
      <c r="EC15" s="74" t="s">
        <v>2</v>
      </c>
      <c r="ED15" s="74" t="s">
        <v>60</v>
      </c>
      <c r="EE15" s="75">
        <f>EE16+EE17</f>
        <v>63474</v>
      </c>
      <c r="EF15" s="75">
        <f>EF16+EF17</f>
        <v>55048</v>
      </c>
      <c r="EG15" s="76">
        <f t="shared" si="19"/>
        <v>-13.274726659734695</v>
      </c>
      <c r="EH15" s="75">
        <f>EH16+EH17</f>
        <v>170398</v>
      </c>
      <c r="EI15" s="75">
        <f>EI16+EI17</f>
        <v>55048</v>
      </c>
      <c r="EJ15" s="76">
        <f t="shared" si="20"/>
        <v>-67.694456507705496</v>
      </c>
      <c r="EK15" s="73"/>
      <c r="EL15" s="63" t="s">
        <v>2</v>
      </c>
      <c r="EM15" s="63" t="s">
        <v>60</v>
      </c>
      <c r="EN15" s="64">
        <f>SUM(EN16:EN17)</f>
        <v>106480</v>
      </c>
      <c r="EO15" s="64">
        <f>SUM(EO16:EO17)</f>
        <v>171652</v>
      </c>
      <c r="EP15" s="65">
        <f t="shared" si="1"/>
        <v>61.205860255447028</v>
      </c>
      <c r="EQ15" s="64">
        <f>SUM(EQ16:EQ17)</f>
        <v>163305</v>
      </c>
      <c r="ER15" s="64">
        <f>SUM(ER16:ER17)</f>
        <v>171652</v>
      </c>
      <c r="ES15" s="65">
        <f t="shared" si="2"/>
        <v>5.1112948164477512</v>
      </c>
      <c r="ET15" s="73"/>
      <c r="EU15" s="20" t="s">
        <v>1</v>
      </c>
      <c r="EV15" s="21">
        <v>49383</v>
      </c>
      <c r="EW15" s="21">
        <v>50558</v>
      </c>
      <c r="EX15" s="31">
        <f>(EW15-EV15)/EV15*100</f>
        <v>2.3793613186724176</v>
      </c>
      <c r="EY15" s="35">
        <v>57397</v>
      </c>
      <c r="EZ15" s="21">
        <v>50558</v>
      </c>
      <c r="FA15" s="31">
        <f>(EZ15-EY15)/EY15*100</f>
        <v>-11.915256894959667</v>
      </c>
      <c r="FC15" s="42" t="s">
        <v>1</v>
      </c>
      <c r="FD15" s="43">
        <v>55137</v>
      </c>
      <c r="FE15" s="45">
        <v>57397</v>
      </c>
      <c r="FF15" s="44">
        <f>(FE15-FD15)/FD15*100</f>
        <v>4.0988809692221189</v>
      </c>
      <c r="FG15" s="45">
        <v>55341</v>
      </c>
      <c r="FH15" s="45">
        <v>57397</v>
      </c>
      <c r="FI15" s="44">
        <f>(FH15-FG15)/FG15*100</f>
        <v>3.7151479011944128</v>
      </c>
    </row>
    <row r="16" spans="1:177" x14ac:dyDescent="0.5">
      <c r="A16" s="232"/>
      <c r="B16" s="232" t="s">
        <v>61</v>
      </c>
      <c r="C16" s="234">
        <v>26358</v>
      </c>
      <c r="D16" s="244">
        <v>30898</v>
      </c>
      <c r="E16" s="351">
        <f>((D16-C16)/C16)*100</f>
        <v>17.224372107140148</v>
      </c>
      <c r="F16" s="244">
        <v>29681</v>
      </c>
      <c r="G16" s="375">
        <v>30898</v>
      </c>
      <c r="H16" s="231">
        <f t="shared" si="23"/>
        <v>4.100266163538965</v>
      </c>
      <c r="I16" s="232"/>
      <c r="J16" s="232" t="s">
        <v>61</v>
      </c>
      <c r="K16" s="234">
        <v>28958</v>
      </c>
      <c r="L16" s="244">
        <v>29681</v>
      </c>
      <c r="M16" s="351">
        <f>((L16-K16)/K16)*100</f>
        <v>2.4967193866979764</v>
      </c>
      <c r="N16" s="244">
        <v>35606</v>
      </c>
      <c r="O16" s="244">
        <v>29681</v>
      </c>
      <c r="P16" s="231">
        <f t="shared" si="25"/>
        <v>-16.640453856091668</v>
      </c>
      <c r="Q16" s="232"/>
      <c r="R16" s="232" t="s">
        <v>61</v>
      </c>
      <c r="S16" s="234">
        <v>30321</v>
      </c>
      <c r="T16" s="244">
        <v>35606</v>
      </c>
      <c r="U16" s="351">
        <f t="shared" si="26"/>
        <v>17.43016391279971</v>
      </c>
      <c r="V16" s="244">
        <v>45711</v>
      </c>
      <c r="W16" s="244">
        <v>35606</v>
      </c>
      <c r="X16" s="231">
        <f t="shared" si="27"/>
        <v>-22.106276388615431</v>
      </c>
      <c r="Y16" s="232"/>
      <c r="Z16" s="232" t="s">
        <v>61</v>
      </c>
      <c r="AA16" s="234">
        <v>40399</v>
      </c>
      <c r="AB16" s="244">
        <v>45711</v>
      </c>
      <c r="AC16" s="351">
        <f t="shared" si="28"/>
        <v>13.148840317829649</v>
      </c>
      <c r="AD16" s="244">
        <v>30989</v>
      </c>
      <c r="AE16" s="244">
        <v>45711</v>
      </c>
      <c r="AF16" s="231">
        <f t="shared" si="29"/>
        <v>47.507179967085094</v>
      </c>
      <c r="AG16" s="232"/>
      <c r="AH16" s="232" t="s">
        <v>61</v>
      </c>
      <c r="AI16" s="234">
        <v>24319</v>
      </c>
      <c r="AJ16" s="244">
        <v>30989</v>
      </c>
      <c r="AK16" s="351">
        <f t="shared" si="30"/>
        <v>27.427114601751718</v>
      </c>
      <c r="AL16" s="244">
        <v>25363</v>
      </c>
      <c r="AM16" s="244">
        <v>30989</v>
      </c>
      <c r="AN16" s="231">
        <f t="shared" si="31"/>
        <v>22.181918542759139</v>
      </c>
      <c r="AO16" s="232"/>
      <c r="AP16" s="232" t="s">
        <v>61</v>
      </c>
      <c r="AQ16" s="234">
        <v>28514</v>
      </c>
      <c r="AR16" s="244">
        <v>25363</v>
      </c>
      <c r="AS16" s="351">
        <f t="shared" si="32"/>
        <v>-11.050711930981272</v>
      </c>
      <c r="AT16" s="244">
        <v>26057</v>
      </c>
      <c r="AU16" s="244">
        <v>25363</v>
      </c>
      <c r="AV16" s="231">
        <f t="shared" si="33"/>
        <v>-2.6633917949111563</v>
      </c>
      <c r="AW16" s="232"/>
      <c r="AX16" s="232" t="s">
        <v>61</v>
      </c>
      <c r="AY16" s="234">
        <v>28122</v>
      </c>
      <c r="AZ16" s="244">
        <v>26057</v>
      </c>
      <c r="BA16" s="231">
        <f t="shared" si="34"/>
        <v>-7.3430054761396777</v>
      </c>
      <c r="BB16" s="244">
        <v>27590</v>
      </c>
      <c r="BC16" s="244">
        <v>26057</v>
      </c>
      <c r="BD16" s="231">
        <f t="shared" si="35"/>
        <v>-5.5563610003624504</v>
      </c>
      <c r="BE16" s="232"/>
      <c r="BF16" s="232" t="s">
        <v>61</v>
      </c>
      <c r="BG16" s="234">
        <v>26403</v>
      </c>
      <c r="BH16" s="244">
        <v>27590</v>
      </c>
      <c r="BI16" s="231">
        <f t="shared" si="36"/>
        <v>4.4957012460705226</v>
      </c>
      <c r="BJ16" s="234">
        <v>29839</v>
      </c>
      <c r="BK16" s="244">
        <v>27590</v>
      </c>
      <c r="BL16" s="231">
        <f>((BK16-BJ16)/BJ16)*100</f>
        <v>-7.5371158550889774</v>
      </c>
      <c r="BM16" s="232"/>
      <c r="BN16" s="232" t="s">
        <v>61</v>
      </c>
      <c r="BO16" s="234">
        <v>29914</v>
      </c>
      <c r="BP16" s="244">
        <v>29839</v>
      </c>
      <c r="BQ16" s="231">
        <f t="shared" si="4"/>
        <v>-0.25071872701745002</v>
      </c>
      <c r="BR16" s="234">
        <v>22683</v>
      </c>
      <c r="BS16" s="244">
        <v>29839</v>
      </c>
      <c r="BT16" s="231">
        <f>((BS16-BR16)/BR16)*100</f>
        <v>31.547855221972405</v>
      </c>
      <c r="BU16" s="232"/>
      <c r="BV16" s="232" t="s">
        <v>61</v>
      </c>
      <c r="BW16" s="234">
        <v>19249</v>
      </c>
      <c r="BX16" s="244">
        <v>22683</v>
      </c>
      <c r="BY16" s="231">
        <f t="shared" si="5"/>
        <v>17.839887786378515</v>
      </c>
      <c r="BZ16" s="234">
        <v>22328</v>
      </c>
      <c r="CA16" s="244">
        <v>22683</v>
      </c>
      <c r="CB16" s="231">
        <f t="shared" si="6"/>
        <v>1.5899319240415619</v>
      </c>
      <c r="CC16" s="73"/>
      <c r="CD16" s="232" t="s">
        <v>61</v>
      </c>
      <c r="CE16" s="234">
        <v>22530</v>
      </c>
      <c r="CF16" s="244">
        <v>22328</v>
      </c>
      <c r="CG16" s="231">
        <f t="shared" si="7"/>
        <v>-0.89658233466489123</v>
      </c>
      <c r="CH16" s="234">
        <v>20286</v>
      </c>
      <c r="CI16" s="244">
        <v>22328</v>
      </c>
      <c r="CJ16" s="231">
        <f t="shared" si="8"/>
        <v>10.066055407670314</v>
      </c>
      <c r="CK16" s="73"/>
      <c r="CL16" s="244">
        <v>24268</v>
      </c>
      <c r="CM16" s="244">
        <v>26469</v>
      </c>
      <c r="CN16" s="231">
        <f t="shared" si="9"/>
        <v>9.0695566177682547</v>
      </c>
      <c r="CO16" s="234">
        <v>26183</v>
      </c>
      <c r="CP16" s="244">
        <v>26469</v>
      </c>
      <c r="CQ16" s="231">
        <f t="shared" si="10"/>
        <v>1.0923118053698964</v>
      </c>
      <c r="CR16" s="73"/>
      <c r="CS16" s="103"/>
      <c r="CT16" s="103" t="s">
        <v>61</v>
      </c>
      <c r="CU16" s="105">
        <v>20462</v>
      </c>
      <c r="CV16" s="105">
        <v>26183</v>
      </c>
      <c r="CW16" s="102">
        <f t="shared" si="11"/>
        <v>27.959143778711759</v>
      </c>
      <c r="CX16" s="105">
        <v>17114</v>
      </c>
      <c r="CY16" s="105">
        <v>26183</v>
      </c>
      <c r="CZ16" s="102">
        <f t="shared" si="12"/>
        <v>52.991702699544227</v>
      </c>
      <c r="DA16" s="73"/>
      <c r="DB16" s="103"/>
      <c r="DC16" s="103" t="s">
        <v>61</v>
      </c>
      <c r="DD16" s="105">
        <v>29117</v>
      </c>
      <c r="DE16" s="105">
        <v>17114</v>
      </c>
      <c r="DF16" s="102">
        <f t="shared" si="13"/>
        <v>-41.223340316653498</v>
      </c>
      <c r="DG16" s="105">
        <v>15552</v>
      </c>
      <c r="DH16" s="105">
        <v>17114</v>
      </c>
      <c r="DI16" s="102">
        <f t="shared" si="14"/>
        <v>10.043724279835391</v>
      </c>
      <c r="DJ16" s="73"/>
      <c r="DK16" s="24"/>
      <c r="DL16" s="24" t="s">
        <v>61</v>
      </c>
      <c r="DM16" s="50">
        <v>14661</v>
      </c>
      <c r="DN16" s="50">
        <v>15552</v>
      </c>
      <c r="DO16" s="128">
        <f t="shared" si="15"/>
        <v>6.0773480662983426</v>
      </c>
      <c r="DP16" s="25">
        <v>6237</v>
      </c>
      <c r="DQ16" s="50">
        <v>15552</v>
      </c>
      <c r="DR16" s="128">
        <f t="shared" si="16"/>
        <v>149.35064935064935</v>
      </c>
      <c r="DS16" s="130"/>
      <c r="DT16" s="103"/>
      <c r="DU16" s="103" t="s">
        <v>61</v>
      </c>
      <c r="DV16" s="105">
        <v>7467</v>
      </c>
      <c r="DW16" s="105">
        <v>6237</v>
      </c>
      <c r="DX16" s="102">
        <f t="shared" si="17"/>
        <v>-16.472478907191643</v>
      </c>
      <c r="DY16" s="105">
        <v>8961</v>
      </c>
      <c r="DZ16" s="105">
        <v>6237</v>
      </c>
      <c r="EA16" s="102">
        <f t="shared" si="18"/>
        <v>-30.398393036491463</v>
      </c>
      <c r="EB16" s="73"/>
      <c r="EC16" s="77"/>
      <c r="ED16" s="77" t="s">
        <v>61</v>
      </c>
      <c r="EE16" s="80">
        <v>11374</v>
      </c>
      <c r="EF16" s="80">
        <v>8961</v>
      </c>
      <c r="EG16" s="79">
        <f t="shared" si="19"/>
        <v>-21.215051872692108</v>
      </c>
      <c r="EH16" s="81">
        <v>8673</v>
      </c>
      <c r="EI16" s="80">
        <v>8961</v>
      </c>
      <c r="EJ16" s="79">
        <f t="shared" si="20"/>
        <v>3.3206502940159117</v>
      </c>
      <c r="EK16" s="61"/>
      <c r="EL16" s="42"/>
      <c r="EM16" s="42" t="s">
        <v>61</v>
      </c>
      <c r="EN16" s="43">
        <v>7145</v>
      </c>
      <c r="EO16" s="43">
        <v>9127</v>
      </c>
      <c r="EP16" s="44">
        <f t="shared" si="1"/>
        <v>27.73967809657103</v>
      </c>
      <c r="EQ16" s="45">
        <v>6292</v>
      </c>
      <c r="ER16" s="43">
        <v>9127</v>
      </c>
      <c r="ES16" s="44">
        <f t="shared" si="2"/>
        <v>45.057215511760965</v>
      </c>
      <c r="ET16" s="61"/>
      <c r="EU16" s="20" t="s">
        <v>2</v>
      </c>
      <c r="EV16" s="21">
        <v>49804</v>
      </c>
      <c r="EW16" s="21">
        <v>41776</v>
      </c>
      <c r="EX16" s="31">
        <f>(EW16-EV16)/EV16*100</f>
        <v>-16.119187213878401</v>
      </c>
      <c r="EY16" s="35">
        <v>49725</v>
      </c>
      <c r="EZ16" s="21">
        <v>41776</v>
      </c>
      <c r="FA16" s="31">
        <f>(EZ16-EY16)/EY16*100</f>
        <v>-15.985922574157868</v>
      </c>
      <c r="FC16" s="42" t="s">
        <v>2</v>
      </c>
      <c r="FD16" s="43">
        <v>42224</v>
      </c>
      <c r="FE16" s="45">
        <v>49725</v>
      </c>
      <c r="FF16" s="44">
        <f>(FE16-FD16)/FD16*100</f>
        <v>17.764778325123153</v>
      </c>
      <c r="FG16" s="45">
        <v>36435</v>
      </c>
      <c r="FH16" s="45">
        <v>49725</v>
      </c>
      <c r="FI16" s="44">
        <f>(FH16-FG16)/FG16*100</f>
        <v>36.475916014820911</v>
      </c>
    </row>
    <row r="17" spans="1:150" x14ac:dyDescent="0.5">
      <c r="A17" s="232"/>
      <c r="B17" s="232" t="s">
        <v>62</v>
      </c>
      <c r="C17" s="234">
        <v>48856</v>
      </c>
      <c r="D17" s="244">
        <v>58672</v>
      </c>
      <c r="E17" s="351">
        <f t="shared" ref="E17:E18" si="37">((D17-C17)/C17)*100</f>
        <v>20.091698051416408</v>
      </c>
      <c r="F17" s="244">
        <v>145385</v>
      </c>
      <c r="G17" s="375">
        <v>58672</v>
      </c>
      <c r="H17" s="231">
        <f t="shared" si="23"/>
        <v>-59.643704646284</v>
      </c>
      <c r="I17" s="232"/>
      <c r="J17" s="232" t="s">
        <v>62</v>
      </c>
      <c r="K17" s="234">
        <v>40795</v>
      </c>
      <c r="L17" s="244">
        <v>145385</v>
      </c>
      <c r="M17" s="351">
        <f t="shared" si="24"/>
        <v>256.37945826694448</v>
      </c>
      <c r="N17" s="244">
        <v>32530</v>
      </c>
      <c r="O17" s="244">
        <v>145385</v>
      </c>
      <c r="P17" s="231">
        <f t="shared" si="25"/>
        <v>346.92591454042423</v>
      </c>
      <c r="Q17" s="232"/>
      <c r="R17" s="232" t="s">
        <v>62</v>
      </c>
      <c r="S17" s="234">
        <v>30800</v>
      </c>
      <c r="T17" s="244">
        <v>32530</v>
      </c>
      <c r="U17" s="351">
        <f t="shared" si="26"/>
        <v>5.616883116883117</v>
      </c>
      <c r="V17" s="244">
        <v>45260</v>
      </c>
      <c r="W17" s="244">
        <v>32530</v>
      </c>
      <c r="X17" s="231">
        <f t="shared" si="27"/>
        <v>-28.126380910296067</v>
      </c>
      <c r="Y17" s="232"/>
      <c r="Z17" s="232" t="s">
        <v>62</v>
      </c>
      <c r="AA17" s="234">
        <v>52260</v>
      </c>
      <c r="AB17" s="244">
        <v>45260</v>
      </c>
      <c r="AC17" s="351">
        <f t="shared" si="28"/>
        <v>-13.394565633371602</v>
      </c>
      <c r="AD17" s="244">
        <v>47930</v>
      </c>
      <c r="AE17" s="244">
        <v>45260</v>
      </c>
      <c r="AF17" s="231">
        <f t="shared" si="29"/>
        <v>-5.5706238264135202</v>
      </c>
      <c r="AG17" s="232"/>
      <c r="AH17" s="232" t="s">
        <v>62</v>
      </c>
      <c r="AI17" s="234">
        <v>44860</v>
      </c>
      <c r="AJ17" s="244">
        <v>47930</v>
      </c>
      <c r="AK17" s="351">
        <f t="shared" si="30"/>
        <v>6.8435131520285335</v>
      </c>
      <c r="AL17" s="244">
        <v>43508</v>
      </c>
      <c r="AM17" s="244">
        <v>47930</v>
      </c>
      <c r="AN17" s="231">
        <f t="shared" si="31"/>
        <v>10.163648064723729</v>
      </c>
      <c r="AO17" s="232"/>
      <c r="AP17" s="232" t="s">
        <v>62</v>
      </c>
      <c r="AQ17" s="234">
        <v>28940</v>
      </c>
      <c r="AR17" s="244">
        <v>43508</v>
      </c>
      <c r="AS17" s="351">
        <f t="shared" si="32"/>
        <v>50.338631651693156</v>
      </c>
      <c r="AT17" s="244">
        <v>57990</v>
      </c>
      <c r="AU17" s="244">
        <v>43508</v>
      </c>
      <c r="AV17" s="231">
        <f t="shared" si="33"/>
        <v>-24.973271253664425</v>
      </c>
      <c r="AW17" s="232"/>
      <c r="AX17" s="232" t="s">
        <v>62</v>
      </c>
      <c r="AY17" s="234">
        <v>37503</v>
      </c>
      <c r="AZ17" s="244">
        <v>57990</v>
      </c>
      <c r="BA17" s="231">
        <f t="shared" si="34"/>
        <v>54.627629789616826</v>
      </c>
      <c r="BB17" s="244">
        <v>34012</v>
      </c>
      <c r="BC17" s="244">
        <v>57990</v>
      </c>
      <c r="BD17" s="231">
        <f t="shared" si="35"/>
        <v>70.498647536163702</v>
      </c>
      <c r="BE17" s="232"/>
      <c r="BF17" s="232" t="s">
        <v>62</v>
      </c>
      <c r="BG17" s="234">
        <v>36166</v>
      </c>
      <c r="BH17" s="244">
        <v>34012</v>
      </c>
      <c r="BI17" s="231">
        <f t="shared" si="36"/>
        <v>-5.9558701542885579</v>
      </c>
      <c r="BJ17" s="234">
        <v>31697</v>
      </c>
      <c r="BK17" s="244">
        <v>34012</v>
      </c>
      <c r="BL17" s="231">
        <f>((BK17-BJ17)/BJ17)*100</f>
        <v>7.3035303025522929</v>
      </c>
      <c r="BM17" s="232"/>
      <c r="BN17" s="232" t="s">
        <v>62</v>
      </c>
      <c r="BO17" s="234">
        <v>28985</v>
      </c>
      <c r="BP17" s="244">
        <v>31697</v>
      </c>
      <c r="BQ17" s="231">
        <f t="shared" si="4"/>
        <v>9.3565637398654484</v>
      </c>
      <c r="BR17" s="234">
        <v>54660</v>
      </c>
      <c r="BS17" s="244">
        <v>31697</v>
      </c>
      <c r="BT17" s="231">
        <f>((BS17-BR17)/BR17)*100</f>
        <v>-42.010611050128063</v>
      </c>
      <c r="BU17" s="232"/>
      <c r="BV17" s="232" t="s">
        <v>62</v>
      </c>
      <c r="BW17" s="234">
        <v>41667</v>
      </c>
      <c r="BX17" s="244">
        <v>54660</v>
      </c>
      <c r="BY17" s="231">
        <f t="shared" si="5"/>
        <v>31.182950536395708</v>
      </c>
      <c r="BZ17" s="234">
        <v>41134</v>
      </c>
      <c r="CA17" s="244">
        <v>54660</v>
      </c>
      <c r="CB17" s="231">
        <f t="shared" si="6"/>
        <v>32.882773374823749</v>
      </c>
      <c r="CC17" s="73"/>
      <c r="CD17" s="232" t="s">
        <v>62</v>
      </c>
      <c r="CE17" s="234">
        <v>43305</v>
      </c>
      <c r="CF17" s="244">
        <v>41134</v>
      </c>
      <c r="CG17" s="231">
        <f t="shared" si="7"/>
        <v>-5.0132779124812377</v>
      </c>
      <c r="CH17" s="234">
        <v>48488</v>
      </c>
      <c r="CI17" s="244">
        <v>41134</v>
      </c>
      <c r="CJ17" s="231">
        <f t="shared" si="8"/>
        <v>-15.166639168454049</v>
      </c>
      <c r="CK17" s="73"/>
      <c r="CL17" s="244">
        <v>36823</v>
      </c>
      <c r="CM17" s="244">
        <v>45367</v>
      </c>
      <c r="CN17" s="231">
        <f t="shared" si="9"/>
        <v>23.20288949841132</v>
      </c>
      <c r="CO17" s="234">
        <v>44173</v>
      </c>
      <c r="CP17" s="244">
        <v>45367</v>
      </c>
      <c r="CQ17" s="231">
        <f t="shared" si="10"/>
        <v>2.7030086251782763</v>
      </c>
      <c r="CR17" s="73"/>
      <c r="CS17" s="103"/>
      <c r="CT17" s="103" t="s">
        <v>62</v>
      </c>
      <c r="CU17" s="105">
        <v>46053</v>
      </c>
      <c r="CV17" s="105">
        <v>44173</v>
      </c>
      <c r="CW17" s="102">
        <f t="shared" si="11"/>
        <v>-4.0822530562612638</v>
      </c>
      <c r="CX17" s="105">
        <v>64295</v>
      </c>
      <c r="CY17" s="105">
        <v>44173</v>
      </c>
      <c r="CZ17" s="102">
        <f t="shared" si="12"/>
        <v>-31.296368302356324</v>
      </c>
      <c r="DA17" s="73"/>
      <c r="DB17" s="103"/>
      <c r="DC17" s="103" t="s">
        <v>62</v>
      </c>
      <c r="DD17" s="105">
        <v>78442</v>
      </c>
      <c r="DE17" s="105">
        <v>64295</v>
      </c>
      <c r="DF17" s="102">
        <f t="shared" si="13"/>
        <v>-18.034981260039267</v>
      </c>
      <c r="DG17" s="105">
        <v>62695</v>
      </c>
      <c r="DH17" s="105">
        <v>64295</v>
      </c>
      <c r="DI17" s="102">
        <f t="shared" si="14"/>
        <v>2.552037642555228</v>
      </c>
      <c r="DJ17" s="73"/>
      <c r="DK17" s="24"/>
      <c r="DL17" s="24" t="s">
        <v>62</v>
      </c>
      <c r="DM17" s="50">
        <v>57527</v>
      </c>
      <c r="DN17" s="50">
        <v>62695</v>
      </c>
      <c r="DO17" s="128">
        <f t="shared" si="15"/>
        <v>8.9836076972552021</v>
      </c>
      <c r="DP17" s="25">
        <v>48810</v>
      </c>
      <c r="DQ17" s="50">
        <v>62695</v>
      </c>
      <c r="DR17" s="128">
        <f t="shared" si="16"/>
        <v>28.447039541077647</v>
      </c>
      <c r="DS17" s="130"/>
      <c r="DT17" s="103"/>
      <c r="DU17" s="103" t="s">
        <v>62</v>
      </c>
      <c r="DV17" s="105">
        <v>56695</v>
      </c>
      <c r="DW17" s="105">
        <v>48810</v>
      </c>
      <c r="DX17" s="102">
        <f t="shared" si="17"/>
        <v>-13.907752006349765</v>
      </c>
      <c r="DY17" s="105">
        <v>46087</v>
      </c>
      <c r="DZ17" s="105">
        <v>48810</v>
      </c>
      <c r="EA17" s="102">
        <f t="shared" si="18"/>
        <v>5.908390652461649</v>
      </c>
      <c r="EB17" s="73"/>
      <c r="EC17" s="77"/>
      <c r="ED17" s="77" t="s">
        <v>62</v>
      </c>
      <c r="EE17" s="80">
        <v>52100</v>
      </c>
      <c r="EF17" s="80">
        <v>46087</v>
      </c>
      <c r="EG17" s="79">
        <f t="shared" si="19"/>
        <v>-11.54126679462572</v>
      </c>
      <c r="EH17" s="81">
        <v>161725</v>
      </c>
      <c r="EI17" s="80">
        <v>46087</v>
      </c>
      <c r="EJ17" s="79">
        <f t="shared" si="20"/>
        <v>-71.502859792858246</v>
      </c>
      <c r="EK17" s="61"/>
      <c r="EL17" s="42"/>
      <c r="EM17" s="42" t="s">
        <v>62</v>
      </c>
      <c r="EN17" s="43">
        <v>99335</v>
      </c>
      <c r="EO17" s="43">
        <v>162525</v>
      </c>
      <c r="EP17" s="44">
        <f t="shared" si="1"/>
        <v>63.613026627070013</v>
      </c>
      <c r="EQ17" s="45">
        <v>157013</v>
      </c>
      <c r="ER17" s="43">
        <v>162525</v>
      </c>
      <c r="ES17" s="44">
        <f t="shared" si="2"/>
        <v>3.5105373440415764</v>
      </c>
      <c r="ET17" s="61"/>
    </row>
    <row r="18" spans="1:150" x14ac:dyDescent="0.5">
      <c r="A18" s="232"/>
      <c r="B18" s="232" t="s">
        <v>63</v>
      </c>
      <c r="C18" s="337">
        <v>4401.7984212395404</v>
      </c>
      <c r="D18" s="243">
        <v>5429.8546597048198</v>
      </c>
      <c r="E18" s="351">
        <f t="shared" si="37"/>
        <v>23.355368421795657</v>
      </c>
      <c r="F18" s="243">
        <v>6562.9001776782397</v>
      </c>
      <c r="G18" s="376">
        <v>5429.8546597048198</v>
      </c>
      <c r="H18" s="231">
        <f t="shared" si="23"/>
        <v>-17.26440273809342</v>
      </c>
      <c r="I18" s="232"/>
      <c r="J18" s="232" t="s">
        <v>63</v>
      </c>
      <c r="K18" s="337">
        <v>4504.4226725890403</v>
      </c>
      <c r="L18" s="243">
        <v>6562.9001776782397</v>
      </c>
      <c r="M18" s="351">
        <f t="shared" si="24"/>
        <v>45.699030812888459</v>
      </c>
      <c r="N18" s="243">
        <v>5627.7132873434302</v>
      </c>
      <c r="O18" s="243">
        <v>6562.9001776782397</v>
      </c>
      <c r="P18" s="231">
        <f t="shared" si="25"/>
        <v>16.617529049285768</v>
      </c>
      <c r="Q18" s="232"/>
      <c r="R18" s="232" t="s">
        <v>63</v>
      </c>
      <c r="S18" s="337">
        <v>4254.66</v>
      </c>
      <c r="T18" s="243">
        <v>5627.7132873434257</v>
      </c>
      <c r="U18" s="351">
        <f t="shared" si="26"/>
        <v>32.271751146823149</v>
      </c>
      <c r="V18" s="243">
        <v>7409.2135728942603</v>
      </c>
      <c r="W18" s="243">
        <v>5627.7132873434302</v>
      </c>
      <c r="X18" s="231">
        <f t="shared" si="27"/>
        <v>-24.044391054784008</v>
      </c>
      <c r="Y18" s="232"/>
      <c r="Z18" s="232" t="s">
        <v>63</v>
      </c>
      <c r="AA18" s="337">
        <v>6778.8745404903902</v>
      </c>
      <c r="AB18" s="243">
        <v>7409.2135728942603</v>
      </c>
      <c r="AC18" s="351">
        <f t="shared" si="28"/>
        <v>9.2985794122437149</v>
      </c>
      <c r="AD18" s="243">
        <v>5544.33</v>
      </c>
      <c r="AE18" s="243">
        <v>7409.2135728942603</v>
      </c>
      <c r="AF18" s="231">
        <f t="shared" si="29"/>
        <v>33.635868948894824</v>
      </c>
      <c r="AG18" s="232"/>
      <c r="AH18" s="232" t="s">
        <v>63</v>
      </c>
      <c r="AI18" s="337">
        <v>4902.1099999999997</v>
      </c>
      <c r="AJ18" s="243">
        <v>5544.33</v>
      </c>
      <c r="AK18" s="351">
        <f t="shared" si="30"/>
        <v>13.100889208932486</v>
      </c>
      <c r="AL18" s="243">
        <v>4737.71</v>
      </c>
      <c r="AM18" s="243">
        <v>5544.33</v>
      </c>
      <c r="AN18" s="231">
        <f t="shared" si="31"/>
        <v>17.025524989921291</v>
      </c>
      <c r="AO18" s="232"/>
      <c r="AP18" s="232" t="s">
        <v>63</v>
      </c>
      <c r="AQ18" s="337">
        <v>4730.1899999999996</v>
      </c>
      <c r="AR18" s="243">
        <v>4737.71</v>
      </c>
      <c r="AS18" s="351">
        <f t="shared" si="32"/>
        <v>0.15897881480448856</v>
      </c>
      <c r="AT18" s="243">
        <v>5647.74</v>
      </c>
      <c r="AU18" s="243">
        <v>4737.71</v>
      </c>
      <c r="AV18" s="231">
        <f t="shared" si="33"/>
        <v>-16.113170932089645</v>
      </c>
      <c r="AW18" s="232"/>
      <c r="AX18" s="232" t="s">
        <v>63</v>
      </c>
      <c r="AY18" s="337">
        <v>5604.2947961190766</v>
      </c>
      <c r="AZ18" s="243">
        <v>5647.74</v>
      </c>
      <c r="BA18" s="231">
        <f t="shared" si="34"/>
        <v>0.77521267994339904</v>
      </c>
      <c r="BB18" s="243">
        <v>4769.0600000000004</v>
      </c>
      <c r="BC18" s="243">
        <v>5647.74</v>
      </c>
      <c r="BD18" s="231">
        <f t="shared" si="35"/>
        <v>18.424595203247584</v>
      </c>
      <c r="BE18" s="232"/>
      <c r="BF18" s="232" t="s">
        <v>63</v>
      </c>
      <c r="BG18" s="337">
        <v>4606.8900000000003</v>
      </c>
      <c r="BH18" s="243">
        <v>4769.0600000000004</v>
      </c>
      <c r="BI18" s="231">
        <f t="shared" si="36"/>
        <v>3.52016219184743</v>
      </c>
      <c r="BJ18" s="235">
        <v>4193.0600000000004</v>
      </c>
      <c r="BK18" s="243">
        <v>4769.0600000000004</v>
      </c>
      <c r="BL18" s="231">
        <f>((BK18-BJ18)/BJ18)*100</f>
        <v>13.736984445726986</v>
      </c>
      <c r="BM18" s="232"/>
      <c r="BN18" s="232" t="s">
        <v>63</v>
      </c>
      <c r="BO18" s="235">
        <v>4129.6099999999997</v>
      </c>
      <c r="BP18" s="243">
        <v>4193.0600000000004</v>
      </c>
      <c r="BQ18" s="231">
        <f t="shared" si="4"/>
        <v>1.5364647024779756</v>
      </c>
      <c r="BR18" s="235">
        <v>3350.06</v>
      </c>
      <c r="BS18" s="243">
        <v>4193.0600000000004</v>
      </c>
      <c r="BT18" s="231">
        <f>((BS18-BR18)/BR18)*100</f>
        <v>25.163728410834445</v>
      </c>
      <c r="BU18" s="232"/>
      <c r="BV18" s="232" t="s">
        <v>63</v>
      </c>
      <c r="BW18" s="235" t="s">
        <v>461</v>
      </c>
      <c r="BX18" s="243">
        <v>3350.06</v>
      </c>
      <c r="BY18" s="231">
        <f t="shared" si="5"/>
        <v>38.097829223450638</v>
      </c>
      <c r="BZ18" s="235">
        <v>2945.3</v>
      </c>
      <c r="CA18" s="243">
        <v>3350.06</v>
      </c>
      <c r="CB18" s="231">
        <f t="shared" si="6"/>
        <v>13.74257291277628</v>
      </c>
      <c r="CC18" s="73"/>
      <c r="CD18" s="232" t="s">
        <v>63</v>
      </c>
      <c r="CE18" s="235">
        <v>3084.94</v>
      </c>
      <c r="CF18" s="243">
        <v>2945.3</v>
      </c>
      <c r="CG18" s="231">
        <f t="shared" si="7"/>
        <v>-4.5265061881268309</v>
      </c>
      <c r="CH18" s="235">
        <v>3030.57</v>
      </c>
      <c r="CI18" s="243">
        <v>2945.3</v>
      </c>
      <c r="CJ18" s="231">
        <f t="shared" si="8"/>
        <v>-2.8136621163675475</v>
      </c>
      <c r="CK18" s="73"/>
      <c r="CL18" s="243">
        <v>3665.02</v>
      </c>
      <c r="CM18" s="243">
        <v>4106.66</v>
      </c>
      <c r="CN18" s="231">
        <f t="shared" si="9"/>
        <v>12.050138880551808</v>
      </c>
      <c r="CO18" s="235">
        <v>2836.98</v>
      </c>
      <c r="CP18" s="243">
        <v>4106.66</v>
      </c>
      <c r="CQ18" s="231">
        <f t="shared" si="10"/>
        <v>44.754633448244249</v>
      </c>
      <c r="CR18" s="73"/>
      <c r="CS18" s="103"/>
      <c r="CT18" s="103" t="s">
        <v>63</v>
      </c>
      <c r="CU18" s="106">
        <v>2041.87</v>
      </c>
      <c r="CV18" s="106">
        <v>2836.98</v>
      </c>
      <c r="CW18" s="102">
        <f t="shared" si="11"/>
        <v>38.940285130786982</v>
      </c>
      <c r="CX18" s="106">
        <v>1674.04</v>
      </c>
      <c r="CY18" s="106">
        <v>2836.98</v>
      </c>
      <c r="CZ18" s="102">
        <f t="shared" si="12"/>
        <v>69.469068839454266</v>
      </c>
      <c r="DA18" s="73"/>
      <c r="DB18" s="103"/>
      <c r="DC18" s="103" t="s">
        <v>63</v>
      </c>
      <c r="DD18" s="106">
        <v>2405.86</v>
      </c>
      <c r="DE18" s="106">
        <v>1674.04</v>
      </c>
      <c r="DF18" s="102">
        <f t="shared" si="13"/>
        <v>-30.418228824619892</v>
      </c>
      <c r="DG18" s="106">
        <v>2523.0100000000002</v>
      </c>
      <c r="DH18" s="106">
        <v>1674.04</v>
      </c>
      <c r="DI18" s="102">
        <f t="shared" si="14"/>
        <v>-33.649093741205945</v>
      </c>
      <c r="DJ18" s="73"/>
      <c r="DK18" s="24"/>
      <c r="DL18" s="24" t="s">
        <v>63</v>
      </c>
      <c r="DM18" s="132">
        <v>2292.36</v>
      </c>
      <c r="DN18" s="132">
        <v>2523.0100000000002</v>
      </c>
      <c r="DO18" s="128">
        <f t="shared" si="15"/>
        <v>10.061683156223285</v>
      </c>
      <c r="DP18" s="124">
        <v>1354.37</v>
      </c>
      <c r="DQ18" s="132">
        <v>2523.0100000000002</v>
      </c>
      <c r="DR18" s="128">
        <f t="shared" si="16"/>
        <v>86.286612963961147</v>
      </c>
      <c r="DS18" s="130"/>
      <c r="DT18" s="103"/>
      <c r="DU18" s="103" t="s">
        <v>63</v>
      </c>
      <c r="DV18" s="106">
        <v>1583.44</v>
      </c>
      <c r="DW18" s="106">
        <v>1354.37</v>
      </c>
      <c r="DX18" s="102">
        <f t="shared" si="17"/>
        <v>-14.466604355075036</v>
      </c>
      <c r="DY18" s="106">
        <v>1680.86</v>
      </c>
      <c r="DZ18" s="106">
        <v>1354.37</v>
      </c>
      <c r="EA18" s="102">
        <f t="shared" si="18"/>
        <v>-19.423985340837429</v>
      </c>
      <c r="EB18" s="73"/>
      <c r="EC18" s="77"/>
      <c r="ED18" s="77" t="s">
        <v>63</v>
      </c>
      <c r="EE18" s="82">
        <v>1879.03</v>
      </c>
      <c r="EF18" s="82">
        <v>1680.86</v>
      </c>
      <c r="EG18" s="79">
        <f t="shared" si="19"/>
        <v>-10.546398939878559</v>
      </c>
      <c r="EH18" s="83">
        <v>2646.46</v>
      </c>
      <c r="EI18" s="82">
        <v>1680.86</v>
      </c>
      <c r="EJ18" s="79">
        <f t="shared" si="20"/>
        <v>-36.486476273965984</v>
      </c>
      <c r="EK18" s="61"/>
      <c r="EL18" s="42"/>
      <c r="EM18" s="42" t="s">
        <v>63</v>
      </c>
      <c r="EN18" s="66">
        <v>1970.11</v>
      </c>
      <c r="EO18" s="66">
        <v>2436.23</v>
      </c>
      <c r="EP18" s="44">
        <f t="shared" si="1"/>
        <v>23.65959261158007</v>
      </c>
      <c r="EQ18" s="67">
        <v>2573.9</v>
      </c>
      <c r="ER18" s="66">
        <v>2436.23</v>
      </c>
      <c r="ES18" s="44">
        <f t="shared" si="2"/>
        <v>-5.3486926454019219</v>
      </c>
      <c r="ET18" s="61"/>
    </row>
    <row r="20" spans="1:150" x14ac:dyDescent="0.5">
      <c r="C20" s="62" t="s">
        <v>885</v>
      </c>
      <c r="K20" s="62" t="s">
        <v>848</v>
      </c>
      <c r="S20" s="62" t="s">
        <v>797</v>
      </c>
      <c r="AA20" s="62" t="s">
        <v>746</v>
      </c>
      <c r="AI20" s="62" t="s">
        <v>705</v>
      </c>
      <c r="AQ20" s="62" t="s">
        <v>658</v>
      </c>
      <c r="AY20" s="62" t="s">
        <v>612</v>
      </c>
      <c r="BG20" s="62" t="s">
        <v>564</v>
      </c>
      <c r="BO20" s="62" t="s">
        <v>520</v>
      </c>
      <c r="BW20" s="62" t="s">
        <v>466</v>
      </c>
      <c r="CE20" t="s">
        <v>410</v>
      </c>
      <c r="CL20" t="s">
        <v>316</v>
      </c>
      <c r="CU20" t="s">
        <v>276</v>
      </c>
      <c r="DD20" t="s">
        <v>235</v>
      </c>
      <c r="DM20" t="s">
        <v>198</v>
      </c>
      <c r="DV20" t="s">
        <v>161</v>
      </c>
      <c r="EE20" t="s">
        <v>121</v>
      </c>
      <c r="EN20" t="s">
        <v>75</v>
      </c>
    </row>
    <row r="21" spans="1:150" x14ac:dyDescent="0.5">
      <c r="A21" s="239"/>
      <c r="B21" s="239"/>
      <c r="C21" s="363" t="s">
        <v>883</v>
      </c>
      <c r="D21" s="363" t="s">
        <v>884</v>
      </c>
      <c r="E21" s="350" t="s">
        <v>3</v>
      </c>
      <c r="F21" s="363" t="s">
        <v>846</v>
      </c>
      <c r="G21" s="377" t="s">
        <v>884</v>
      </c>
      <c r="H21" s="350" t="s">
        <v>3</v>
      </c>
      <c r="I21" s="239"/>
      <c r="J21" s="239"/>
      <c r="K21" s="363" t="s">
        <v>843</v>
      </c>
      <c r="L21" s="363" t="s">
        <v>846</v>
      </c>
      <c r="M21" s="350" t="s">
        <v>3</v>
      </c>
      <c r="N21" s="363" t="s">
        <v>845</v>
      </c>
      <c r="O21" s="363" t="s">
        <v>846</v>
      </c>
      <c r="P21" s="350" t="s">
        <v>3</v>
      </c>
      <c r="Q21" s="239"/>
      <c r="R21" s="239"/>
      <c r="S21" s="341" t="s">
        <v>794</v>
      </c>
      <c r="T21" s="341" t="s">
        <v>798</v>
      </c>
      <c r="U21" s="350" t="s">
        <v>3</v>
      </c>
      <c r="V21" s="341" t="s">
        <v>799</v>
      </c>
      <c r="W21" s="341" t="s">
        <v>800</v>
      </c>
      <c r="X21" s="350" t="s">
        <v>3</v>
      </c>
      <c r="Y21" s="239"/>
      <c r="Z21" s="239"/>
      <c r="AA21" s="341" t="s">
        <v>744</v>
      </c>
      <c r="AB21" s="341" t="s">
        <v>747</v>
      </c>
      <c r="AC21" s="350" t="s">
        <v>3</v>
      </c>
      <c r="AD21" s="341" t="s">
        <v>748</v>
      </c>
      <c r="AE21" s="341" t="s">
        <v>749</v>
      </c>
      <c r="AF21" s="350" t="s">
        <v>3</v>
      </c>
      <c r="AG21" s="239"/>
      <c r="AH21" s="239"/>
      <c r="AI21" s="341" t="s">
        <v>703</v>
      </c>
      <c r="AJ21" s="341" t="s">
        <v>706</v>
      </c>
      <c r="AK21" s="350" t="s">
        <v>3</v>
      </c>
      <c r="AL21" s="341" t="s">
        <v>707</v>
      </c>
      <c r="AM21" s="341" t="s">
        <v>708</v>
      </c>
      <c r="AN21" s="350" t="s">
        <v>3</v>
      </c>
      <c r="AO21" s="239"/>
      <c r="AP21" s="239"/>
      <c r="AQ21" s="341" t="s">
        <v>653</v>
      </c>
      <c r="AR21" s="341" t="s">
        <v>654</v>
      </c>
      <c r="AS21" s="350" t="s">
        <v>3</v>
      </c>
      <c r="AT21" s="341" t="s">
        <v>655</v>
      </c>
      <c r="AU21" s="341" t="s">
        <v>656</v>
      </c>
      <c r="AV21" s="350" t="s">
        <v>3</v>
      </c>
      <c r="AW21" s="239"/>
      <c r="AX21" s="239"/>
      <c r="AY21" s="341" t="s">
        <v>608</v>
      </c>
      <c r="AZ21" s="341" t="s">
        <v>613</v>
      </c>
      <c r="BA21" s="350" t="s">
        <v>3</v>
      </c>
      <c r="BB21" s="341" t="s">
        <v>614</v>
      </c>
      <c r="BC21" s="341" t="s">
        <v>615</v>
      </c>
      <c r="BD21" s="239" t="s">
        <v>3</v>
      </c>
      <c r="BE21" s="239"/>
      <c r="BF21" s="239"/>
      <c r="BG21" s="240" t="s">
        <v>562</v>
      </c>
      <c r="BH21" s="240" t="s">
        <v>565</v>
      </c>
      <c r="BI21" s="239" t="s">
        <v>3</v>
      </c>
      <c r="BJ21" s="241" t="s">
        <v>566</v>
      </c>
      <c r="BK21" s="240" t="s">
        <v>567</v>
      </c>
      <c r="BL21" s="239" t="s">
        <v>3</v>
      </c>
      <c r="BM21" s="239"/>
      <c r="BN21" s="239"/>
      <c r="BO21" s="240" t="s">
        <v>516</v>
      </c>
      <c r="BP21" s="240" t="s">
        <v>518</v>
      </c>
      <c r="BQ21" s="239" t="s">
        <v>3</v>
      </c>
      <c r="BR21" s="241" t="s">
        <v>463</v>
      </c>
      <c r="BS21" s="240" t="s">
        <v>519</v>
      </c>
      <c r="BT21" s="239" t="s">
        <v>3</v>
      </c>
      <c r="BU21" s="239"/>
      <c r="BV21" s="239"/>
      <c r="BW21" s="240" t="s">
        <v>459</v>
      </c>
      <c r="BX21" s="240" t="s">
        <v>463</v>
      </c>
      <c r="BY21" s="239" t="s">
        <v>3</v>
      </c>
      <c r="BZ21" s="241" t="s">
        <v>464</v>
      </c>
      <c r="CA21" s="240" t="s">
        <v>465</v>
      </c>
      <c r="CB21" s="239" t="s">
        <v>3</v>
      </c>
      <c r="CC21" s="62"/>
      <c r="CD21" s="239"/>
      <c r="CE21" s="240" t="s">
        <v>408</v>
      </c>
      <c r="CF21" s="240" t="s">
        <v>411</v>
      </c>
      <c r="CG21" s="239" t="s">
        <v>3</v>
      </c>
      <c r="CH21" s="241" t="s">
        <v>412</v>
      </c>
      <c r="CI21" s="240" t="s">
        <v>413</v>
      </c>
      <c r="CJ21" s="239" t="s">
        <v>3</v>
      </c>
      <c r="CK21" s="62"/>
      <c r="CL21" s="240" t="s">
        <v>313</v>
      </c>
      <c r="CM21" s="240" t="s">
        <v>317</v>
      </c>
      <c r="CN21" s="239" t="s">
        <v>3</v>
      </c>
      <c r="CO21" s="241" t="s">
        <v>277</v>
      </c>
      <c r="CP21" s="240" t="s">
        <v>317</v>
      </c>
      <c r="CQ21" s="239" t="s">
        <v>3</v>
      </c>
      <c r="CR21" s="62"/>
      <c r="CS21" s="141"/>
      <c r="CT21" s="141"/>
      <c r="CU21" s="144" t="s">
        <v>274</v>
      </c>
      <c r="CV21" s="144" t="s">
        <v>277</v>
      </c>
      <c r="CW21" s="141" t="s">
        <v>3</v>
      </c>
      <c r="CX21" s="144" t="s">
        <v>232</v>
      </c>
      <c r="CY21" s="144" t="s">
        <v>277</v>
      </c>
      <c r="CZ21" s="141" t="s">
        <v>3</v>
      </c>
      <c r="DA21" s="62"/>
      <c r="DB21" s="141"/>
      <c r="DC21" s="141"/>
      <c r="DD21" s="144" t="s">
        <v>231</v>
      </c>
      <c r="DE21" s="144" t="s">
        <v>233</v>
      </c>
      <c r="DF21" s="141" t="s">
        <v>3</v>
      </c>
      <c r="DG21" s="146" t="s">
        <v>199</v>
      </c>
      <c r="DH21" s="144" t="s">
        <v>232</v>
      </c>
      <c r="DI21" s="141" t="s">
        <v>3</v>
      </c>
      <c r="DJ21" s="62"/>
      <c r="DK21" s="95"/>
      <c r="DL21" s="95"/>
      <c r="DM21" s="96" t="s">
        <v>196</v>
      </c>
      <c r="DN21" s="96" t="s">
        <v>199</v>
      </c>
      <c r="DO21" s="95" t="s">
        <v>3</v>
      </c>
      <c r="DP21" s="96" t="s">
        <v>162</v>
      </c>
      <c r="DQ21" s="96" t="s">
        <v>199</v>
      </c>
      <c r="DR21" s="95" t="s">
        <v>3</v>
      </c>
      <c r="DS21" s="62"/>
      <c r="DT21" s="107"/>
      <c r="DU21" s="107"/>
      <c r="DV21" s="108" t="s">
        <v>159</v>
      </c>
      <c r="DW21" s="108" t="s">
        <v>162</v>
      </c>
      <c r="DX21" s="107" t="s">
        <v>3</v>
      </c>
      <c r="DY21" s="108" t="s">
        <v>122</v>
      </c>
      <c r="DZ21" s="108" t="s">
        <v>162</v>
      </c>
      <c r="EA21" s="107" t="s">
        <v>3</v>
      </c>
      <c r="EB21" s="62"/>
      <c r="EC21" s="95"/>
      <c r="ED21" s="95"/>
      <c r="EE21" s="96">
        <v>18872</v>
      </c>
      <c r="EF21" s="96">
        <v>18902</v>
      </c>
      <c r="EG21" s="95" t="s">
        <v>3</v>
      </c>
      <c r="EH21" s="96" t="s">
        <v>123</v>
      </c>
      <c r="EI21" s="96" t="s">
        <v>122</v>
      </c>
      <c r="EJ21" s="95" t="s">
        <v>3</v>
      </c>
      <c r="EK21" s="62"/>
      <c r="EL21" s="54"/>
      <c r="EM21" s="54"/>
      <c r="EN21" s="55">
        <v>18507</v>
      </c>
      <c r="EO21" s="55">
        <v>18537</v>
      </c>
      <c r="EP21" s="54" t="s">
        <v>3</v>
      </c>
      <c r="EQ21" s="55">
        <v>18172</v>
      </c>
      <c r="ER21" s="55">
        <v>18537</v>
      </c>
      <c r="ES21" s="54" t="s">
        <v>3</v>
      </c>
      <c r="ET21" s="62"/>
    </row>
    <row r="22" spans="1:150" x14ac:dyDescent="0.5">
      <c r="A22" s="224" t="s">
        <v>0</v>
      </c>
      <c r="B22" s="224"/>
      <c r="C22" s="238">
        <v>128104</v>
      </c>
      <c r="D22" s="238">
        <v>135685</v>
      </c>
      <c r="E22" s="225">
        <f>((D22-C22)/C22)*100</f>
        <v>5.9178479985012178</v>
      </c>
      <c r="F22" s="238">
        <v>118346</v>
      </c>
      <c r="G22" s="378">
        <v>135685</v>
      </c>
      <c r="H22" s="225">
        <f>((G22-F22)/F22)*100</f>
        <v>14.651107768745881</v>
      </c>
      <c r="I22" s="224" t="s">
        <v>0</v>
      </c>
      <c r="J22" s="224"/>
      <c r="K22" s="238">
        <v>122277</v>
      </c>
      <c r="L22" s="238">
        <v>118346</v>
      </c>
      <c r="M22" s="225">
        <f>((L22-K22)/K22)*100</f>
        <v>-3.2148318980675024</v>
      </c>
      <c r="N22" s="238">
        <v>158734</v>
      </c>
      <c r="O22" s="238">
        <v>118346</v>
      </c>
      <c r="P22" s="225">
        <f>((O22-N22)/N22)*100</f>
        <v>-25.443824259452917</v>
      </c>
      <c r="Q22" s="224" t="s">
        <v>0</v>
      </c>
      <c r="R22" s="224"/>
      <c r="S22" s="238">
        <v>164093</v>
      </c>
      <c r="T22" s="238">
        <v>158734</v>
      </c>
      <c r="U22" s="225">
        <f t="shared" ref="U22:U31" si="38">((T22-S22)/S22)*100</f>
        <v>-3.2658309617107371</v>
      </c>
      <c r="V22" s="238">
        <v>170717</v>
      </c>
      <c r="W22" s="238">
        <v>158734</v>
      </c>
      <c r="X22" s="225">
        <f>((W22-V22)/V22)*100</f>
        <v>-7.0192189412887993</v>
      </c>
      <c r="Y22" s="224" t="s">
        <v>0</v>
      </c>
      <c r="Z22" s="224"/>
      <c r="AA22" s="238">
        <v>179237</v>
      </c>
      <c r="AB22" s="238">
        <v>170717</v>
      </c>
      <c r="AC22" s="225">
        <f t="shared" ref="AC22:AC31" si="39">((AB22-AA22)/AA22)*100</f>
        <v>-4.7534828188376279</v>
      </c>
      <c r="AD22" s="238">
        <v>154038</v>
      </c>
      <c r="AE22" s="238">
        <v>170717</v>
      </c>
      <c r="AF22" s="225">
        <f t="shared" ref="AF22:AF32" si="40">((AE22-AD22)/AD22)*100</f>
        <v>10.827847673950583</v>
      </c>
      <c r="AG22" s="224" t="s">
        <v>0</v>
      </c>
      <c r="AH22" s="224"/>
      <c r="AI22" s="238">
        <v>140038</v>
      </c>
      <c r="AJ22" s="238">
        <v>154038</v>
      </c>
      <c r="AK22" s="225">
        <f t="shared" ref="AK22:AK31" si="41">((AJ22-AI22)/AI22)*100</f>
        <v>9.9972864508204911</v>
      </c>
      <c r="AL22" s="238">
        <v>149159</v>
      </c>
      <c r="AM22" s="238">
        <v>154038</v>
      </c>
      <c r="AN22" s="225">
        <f t="shared" ref="AN22:AN32" si="42">((AM22-AL22)/AL22)*100</f>
        <v>3.2710061075764787</v>
      </c>
      <c r="AO22" s="224" t="s">
        <v>0</v>
      </c>
      <c r="AP22" s="224"/>
      <c r="AQ22" s="238">
        <v>150345</v>
      </c>
      <c r="AR22" s="238">
        <v>149360</v>
      </c>
      <c r="AS22" s="225">
        <f t="shared" ref="AS22:AS31" si="43">((AR22-AQ22)/AQ22)*100</f>
        <v>-0.65515979912867073</v>
      </c>
      <c r="AT22" s="238">
        <v>152787</v>
      </c>
      <c r="AU22" s="238">
        <v>149360</v>
      </c>
      <c r="AV22" s="225">
        <f t="shared" ref="AV22:AV32" si="44">((AU22-AT22)/AT22)*100</f>
        <v>-2.2429918775812077</v>
      </c>
      <c r="AW22" s="224" t="s">
        <v>0</v>
      </c>
      <c r="AX22" s="224"/>
      <c r="AY22" s="238">
        <v>169474</v>
      </c>
      <c r="AZ22" s="238">
        <v>152787</v>
      </c>
      <c r="BA22" s="225">
        <f t="shared" ref="BA22:BA31" si="45">((AZ22-AY22)/AY22)*100</f>
        <v>-9.8463481123948213</v>
      </c>
      <c r="BB22" s="238">
        <v>197203</v>
      </c>
      <c r="BC22" s="238">
        <v>152787</v>
      </c>
      <c r="BD22" s="225">
        <f t="shared" ref="BD22:BD32" si="46">((BC22-BB22)/BB22)*100</f>
        <v>-22.522983930264754</v>
      </c>
      <c r="BE22" s="224" t="s">
        <v>0</v>
      </c>
      <c r="BF22" s="224"/>
      <c r="BG22" s="238">
        <v>183191</v>
      </c>
      <c r="BH22" s="238">
        <v>197203</v>
      </c>
      <c r="BI22" s="225">
        <f t="shared" ref="BI22:BI32" si="47">((BH22-BG22)/BG22)*100</f>
        <v>7.6488473778733672</v>
      </c>
      <c r="BJ22" s="238">
        <v>163487</v>
      </c>
      <c r="BK22" s="238">
        <v>197203</v>
      </c>
      <c r="BL22" s="225">
        <f>((BK22-BJ22)/BJ22)*100</f>
        <v>20.623046480759939</v>
      </c>
      <c r="BM22" s="224" t="s">
        <v>0</v>
      </c>
      <c r="BN22" s="224"/>
      <c r="BO22" s="238">
        <v>190272</v>
      </c>
      <c r="BP22" s="238">
        <v>163487</v>
      </c>
      <c r="BQ22" s="225">
        <f t="shared" ref="BQ22:BQ32" si="48">((BP22-BO22)/BO22)*100</f>
        <v>-14.077215775311133</v>
      </c>
      <c r="BR22" s="238">
        <v>161105</v>
      </c>
      <c r="BS22" s="238">
        <v>163487</v>
      </c>
      <c r="BT22" s="225">
        <f>((BS22-BR22)/BR22)*100</f>
        <v>1.4785388411284566</v>
      </c>
      <c r="BU22" s="224" t="s">
        <v>0</v>
      </c>
      <c r="BV22" s="224"/>
      <c r="BW22" s="238">
        <v>173069</v>
      </c>
      <c r="BX22" s="238">
        <v>161105</v>
      </c>
      <c r="BY22" s="225">
        <f>((BX22-BW22)/BW22)*100</f>
        <v>-6.9128497882347499</v>
      </c>
      <c r="BZ22" s="238">
        <v>165381</v>
      </c>
      <c r="CA22" s="238">
        <v>161105</v>
      </c>
      <c r="CB22" s="225">
        <f>((CA22-BZ22)/BZ22)*100</f>
        <v>-2.5855448933069702</v>
      </c>
      <c r="CC22" s="73"/>
      <c r="CD22" s="224"/>
      <c r="CE22" s="238">
        <v>171496</v>
      </c>
      <c r="CF22" s="238">
        <v>165381</v>
      </c>
      <c r="CG22" s="225">
        <f>((CF22-CE22)/CE22)*100</f>
        <v>-3.5656808322059987</v>
      </c>
      <c r="CH22" s="238">
        <v>159760</v>
      </c>
      <c r="CI22" s="238">
        <v>165381</v>
      </c>
      <c r="CJ22" s="225">
        <f>((CI22-CH22)/CH22)*100</f>
        <v>3.5184026039058591</v>
      </c>
      <c r="CK22" s="73"/>
      <c r="CL22" s="238">
        <f>SUM(CL23:CL25)</f>
        <v>194744</v>
      </c>
      <c r="CM22" s="238">
        <f>SUM(CM23:CM25)</f>
        <v>185117</v>
      </c>
      <c r="CN22" s="225">
        <f>((CM22-CL22)/CL22)*100</f>
        <v>-4.9434128907694204</v>
      </c>
      <c r="CO22" s="238">
        <v>252165</v>
      </c>
      <c r="CP22" s="238">
        <v>185117</v>
      </c>
      <c r="CQ22" s="225">
        <f>((CP22-CO22)/CO22)*100</f>
        <v>-26.588939781492275</v>
      </c>
      <c r="CR22" s="73"/>
      <c r="CS22" s="150" t="s">
        <v>0</v>
      </c>
      <c r="CT22" s="150"/>
      <c r="CU22" s="147">
        <f>SUM(CU23:CU25)</f>
        <v>228500</v>
      </c>
      <c r="CV22" s="147">
        <f>SUM(CV23:CV25)</f>
        <v>252165</v>
      </c>
      <c r="CW22" s="151">
        <f>((CV22-CU22)/CU22)*100</f>
        <v>10.356673960612692</v>
      </c>
      <c r="CX22" s="147">
        <f>SUM(CX23:CX25)</f>
        <v>49439</v>
      </c>
      <c r="CY22" s="147">
        <f>SUM(CY23:CY25)</f>
        <v>252165</v>
      </c>
      <c r="CZ22" s="151">
        <f>((CY22-CX22)/CX22)*100</f>
        <v>410.05279232994195</v>
      </c>
      <c r="DA22" s="73"/>
      <c r="DB22" s="150" t="s">
        <v>0</v>
      </c>
      <c r="DC22" s="150"/>
      <c r="DD22" s="147">
        <f>SUM(DD23:DD25)</f>
        <v>174212</v>
      </c>
      <c r="DE22" s="147">
        <f>SUM(DE23:DE25)</f>
        <v>49439</v>
      </c>
      <c r="DF22" s="151">
        <f>((DE22-DD22)/DD22)*100</f>
        <v>-71.621357885794325</v>
      </c>
      <c r="DG22" s="147">
        <v>152689</v>
      </c>
      <c r="DH22" s="147">
        <v>49439</v>
      </c>
      <c r="DI22" s="151">
        <f>((DH22-DG22)/DG22)*100</f>
        <v>-67.621112195377535</v>
      </c>
      <c r="DJ22" s="73"/>
      <c r="DK22" s="86" t="s">
        <v>0</v>
      </c>
      <c r="DL22" s="86"/>
      <c r="DM22" s="87">
        <f>SUM(DM23:DM25)</f>
        <v>141416</v>
      </c>
      <c r="DN22" s="87">
        <f>SUM(DN23:DN25)</f>
        <v>152689</v>
      </c>
      <c r="DO22" s="126">
        <f>((DN22-DM22)/DM22)*100</f>
        <v>7.9715166600667535</v>
      </c>
      <c r="DP22" s="87">
        <v>115043</v>
      </c>
      <c r="DQ22" s="87">
        <v>152689</v>
      </c>
      <c r="DR22" s="126">
        <f>((DQ22-DP22)/DP22)*100</f>
        <v>32.723416461670851</v>
      </c>
      <c r="DS22" s="127"/>
      <c r="DT22" s="63" t="s">
        <v>0</v>
      </c>
      <c r="DU22" s="63"/>
      <c r="DV22" s="68">
        <f>SUM(DV23:DV25)</f>
        <v>103390</v>
      </c>
      <c r="DW22" s="68">
        <f>SUM(DW23:DW25)</f>
        <v>115043</v>
      </c>
      <c r="DX22" s="65">
        <f t="shared" ref="DX22:DX32" si="49">(DW22-DV22)/DV22*100</f>
        <v>11.270915949318114</v>
      </c>
      <c r="DY22" s="68">
        <v>124656</v>
      </c>
      <c r="DZ22" s="68">
        <f>SUM(DZ23:DZ25)</f>
        <v>115043</v>
      </c>
      <c r="EA22" s="65">
        <f t="shared" ref="EA22:EA32" si="50">(DZ22-DY22)/DY22*100</f>
        <v>-7.7116223848029781</v>
      </c>
      <c r="EB22" s="73"/>
      <c r="EC22" s="86" t="s">
        <v>0</v>
      </c>
      <c r="ED22" s="86"/>
      <c r="EE22" s="87">
        <v>123834</v>
      </c>
      <c r="EF22" s="87">
        <f>SUM(EF23:EF25)</f>
        <v>124656</v>
      </c>
      <c r="EG22" s="88">
        <f>((EF22-EE22)/EE22)*100</f>
        <v>0.66379185038034783</v>
      </c>
      <c r="EH22" s="87">
        <v>123845</v>
      </c>
      <c r="EI22" s="87">
        <f>SUM(EI23:EI25)</f>
        <v>124656</v>
      </c>
      <c r="EJ22" s="88">
        <f>((EI22-EH22)/EH22)*100</f>
        <v>0.65485082159150543</v>
      </c>
      <c r="EK22" s="73"/>
      <c r="EL22" s="63" t="s">
        <v>0</v>
      </c>
      <c r="EM22" s="63"/>
      <c r="EN22" s="68">
        <f>SUM(EN23:EN25)</f>
        <v>117171</v>
      </c>
      <c r="EO22" s="68">
        <f>SUM(EO23:EO25)</f>
        <v>123845</v>
      </c>
      <c r="EP22" s="65">
        <f t="shared" ref="EP22:EP32" si="51">(EO22-EN22)/EN22*100</f>
        <v>5.6959486562374648</v>
      </c>
      <c r="EQ22" s="68">
        <f>SUM(EQ23:EQ25)</f>
        <v>95405</v>
      </c>
      <c r="ER22" s="68">
        <f>SUM(ER23:ER25)</f>
        <v>123845</v>
      </c>
      <c r="ES22" s="65">
        <f t="shared" ref="ES22:ES32" si="52">(ER22-EQ22)/EQ22*100</f>
        <v>29.809758398406792</v>
      </c>
      <c r="ET22" s="73"/>
    </row>
    <row r="23" spans="1:150" x14ac:dyDescent="0.5">
      <c r="A23" s="226"/>
      <c r="B23" s="226" t="s">
        <v>51</v>
      </c>
      <c r="C23" s="227">
        <v>48401</v>
      </c>
      <c r="D23" s="227">
        <f>D22-D24-D25</f>
        <v>55048</v>
      </c>
      <c r="E23" s="225">
        <f t="shared" ref="E23:E31" si="53">((D23-C23)/C23)*100</f>
        <v>13.733187330840272</v>
      </c>
      <c r="F23" s="227">
        <v>46196</v>
      </c>
      <c r="G23" s="373">
        <v>55048</v>
      </c>
      <c r="H23" s="225">
        <f t="shared" ref="H23:H32" si="54">((G23-F23)/F23)*100</f>
        <v>19.161832193263486</v>
      </c>
      <c r="I23" s="226"/>
      <c r="J23" s="226" t="s">
        <v>51</v>
      </c>
      <c r="K23" s="227">
        <v>50025</v>
      </c>
      <c r="L23" s="227">
        <v>46196</v>
      </c>
      <c r="M23" s="225">
        <f t="shared" ref="M23:M31" si="55">((L23-K23)/K23)*100</f>
        <v>-7.6541729135432277</v>
      </c>
      <c r="N23" s="227">
        <v>56474</v>
      </c>
      <c r="O23" s="227">
        <v>46196</v>
      </c>
      <c r="P23" s="225">
        <f t="shared" ref="P23:P32" si="56">((O23-N23)/N23)*100</f>
        <v>-18.199525445337677</v>
      </c>
      <c r="Q23" s="226"/>
      <c r="R23" s="226" t="s">
        <v>51</v>
      </c>
      <c r="S23" s="227">
        <v>57463</v>
      </c>
      <c r="T23" s="227">
        <v>56474</v>
      </c>
      <c r="U23" s="225">
        <f t="shared" si="38"/>
        <v>-1.721107495257818</v>
      </c>
      <c r="V23" s="227">
        <v>58674</v>
      </c>
      <c r="W23" s="227">
        <v>56474</v>
      </c>
      <c r="X23" s="225">
        <f t="shared" ref="X23:X32" si="57">((W23-V23)/V23)*100</f>
        <v>-3.7495313085864268</v>
      </c>
      <c r="Y23" s="226"/>
      <c r="Z23" s="226" t="s">
        <v>51</v>
      </c>
      <c r="AA23" s="227">
        <v>60700</v>
      </c>
      <c r="AB23" s="227">
        <v>58674</v>
      </c>
      <c r="AC23" s="225">
        <f t="shared" si="39"/>
        <v>-3.3377265238879739</v>
      </c>
      <c r="AD23" s="227">
        <v>55270</v>
      </c>
      <c r="AE23" s="227">
        <v>58674</v>
      </c>
      <c r="AF23" s="225">
        <f t="shared" si="40"/>
        <v>6.1588565225257828</v>
      </c>
      <c r="AG23" s="226"/>
      <c r="AH23" s="226" t="s">
        <v>51</v>
      </c>
      <c r="AI23" s="227">
        <v>53621</v>
      </c>
      <c r="AJ23" s="227">
        <v>55270</v>
      </c>
      <c r="AK23" s="225">
        <f t="shared" si="41"/>
        <v>3.0752876671453349</v>
      </c>
      <c r="AL23" s="227">
        <v>57990</v>
      </c>
      <c r="AM23" s="227">
        <v>55270</v>
      </c>
      <c r="AN23" s="225">
        <f t="shared" si="42"/>
        <v>-4.6904638730815655</v>
      </c>
      <c r="AO23" s="226"/>
      <c r="AP23" s="226" t="s">
        <v>51</v>
      </c>
      <c r="AQ23" s="227">
        <v>55057</v>
      </c>
      <c r="AR23" s="227">
        <v>58191</v>
      </c>
      <c r="AS23" s="225">
        <f t="shared" si="43"/>
        <v>5.6922825435457796</v>
      </c>
      <c r="AT23" s="227">
        <v>60807</v>
      </c>
      <c r="AU23" s="227">
        <v>58191</v>
      </c>
      <c r="AV23" s="225">
        <f t="shared" si="44"/>
        <v>-4.3021362672060786</v>
      </c>
      <c r="AW23" s="226"/>
      <c r="AX23" s="226" t="s">
        <v>51</v>
      </c>
      <c r="AY23" s="227">
        <v>68780</v>
      </c>
      <c r="AZ23" s="227">
        <v>60807</v>
      </c>
      <c r="BA23" s="225">
        <f t="shared" si="45"/>
        <v>-11.592032567606863</v>
      </c>
      <c r="BB23" s="227">
        <v>76157</v>
      </c>
      <c r="BC23" s="227">
        <v>60807</v>
      </c>
      <c r="BD23" s="225">
        <f t="shared" si="46"/>
        <v>-20.155730924274852</v>
      </c>
      <c r="BE23" s="226"/>
      <c r="BF23" s="226" t="s">
        <v>51</v>
      </c>
      <c r="BG23" s="227">
        <v>74797</v>
      </c>
      <c r="BH23" s="227">
        <v>76157</v>
      </c>
      <c r="BI23" s="225">
        <f t="shared" si="47"/>
        <v>1.8182547428372795</v>
      </c>
      <c r="BJ23" s="227">
        <v>69769</v>
      </c>
      <c r="BK23" s="227">
        <v>76157</v>
      </c>
      <c r="BL23" s="225">
        <f t="shared" ref="BL23:BL32" si="58">((BK23-BJ23)/BJ23)*100</f>
        <v>9.1559288509223293</v>
      </c>
      <c r="BM23" s="226"/>
      <c r="BN23" s="226" t="s">
        <v>51</v>
      </c>
      <c r="BO23" s="227">
        <v>77101</v>
      </c>
      <c r="BP23" s="227">
        <v>69769</v>
      </c>
      <c r="BQ23" s="225">
        <f t="shared" si="48"/>
        <v>-9.5096042852881286</v>
      </c>
      <c r="BR23" s="227">
        <v>66528</v>
      </c>
      <c r="BS23" s="227">
        <v>69769</v>
      </c>
      <c r="BT23" s="225">
        <f t="shared" ref="BT23:BT32" si="59">((BS23-BR23)/BR23)*100</f>
        <v>4.8716329966329965</v>
      </c>
      <c r="BU23" s="226"/>
      <c r="BV23" s="226" t="s">
        <v>51</v>
      </c>
      <c r="BW23" s="227">
        <v>78352</v>
      </c>
      <c r="BX23" s="227">
        <v>66528</v>
      </c>
      <c r="BY23" s="225">
        <f t="shared" ref="BY23:BY32" si="60">((BX23-BW23)/BW23)*100</f>
        <v>-15.090871962425975</v>
      </c>
      <c r="BZ23" s="227">
        <v>59546</v>
      </c>
      <c r="CA23" s="227">
        <v>66528</v>
      </c>
      <c r="CB23" s="225">
        <f t="shared" ref="CB23:CB32" si="61">((CA23-BZ23)/BZ23)*100</f>
        <v>11.725388775064657</v>
      </c>
      <c r="CC23" s="73"/>
      <c r="CD23" s="226" t="s">
        <v>51</v>
      </c>
      <c r="CE23" s="227">
        <v>63643</v>
      </c>
      <c r="CF23" s="227">
        <v>59546</v>
      </c>
      <c r="CG23" s="225">
        <f t="shared" ref="CG23:CG32" si="62">((CF23-CE23)/CE23)*100</f>
        <v>-6.4374715208271134</v>
      </c>
      <c r="CH23" s="227">
        <v>65518</v>
      </c>
      <c r="CI23" s="227">
        <v>59546</v>
      </c>
      <c r="CJ23" s="225">
        <f t="shared" ref="CJ23:CJ32" si="63">((CI23-CH23)/CH23)*100</f>
        <v>-9.1150523520253977</v>
      </c>
      <c r="CK23" s="73"/>
      <c r="CL23" s="227">
        <v>88693</v>
      </c>
      <c r="CM23" s="227">
        <v>79847</v>
      </c>
      <c r="CN23" s="225">
        <f t="shared" ref="CN23:CN32" si="64">((CM23-CL23)/CL23)*100</f>
        <v>-9.9737296066205907</v>
      </c>
      <c r="CO23" s="227">
        <v>110050</v>
      </c>
      <c r="CP23" s="227">
        <v>79847</v>
      </c>
      <c r="CQ23" s="225">
        <f t="shared" ref="CQ23:CQ32" si="65">((CP23-CO23)/CO23)*100</f>
        <v>-27.444797819173104</v>
      </c>
      <c r="CR23" s="73"/>
      <c r="CS23" s="152"/>
      <c r="CT23" s="152" t="s">
        <v>51</v>
      </c>
      <c r="CU23" s="148">
        <v>95822</v>
      </c>
      <c r="CV23" s="148">
        <v>110050</v>
      </c>
      <c r="CW23" s="151">
        <f t="shared" ref="CW23:CW32" si="66">((CV23-CU23)/CU23)*100</f>
        <v>14.8483646761704</v>
      </c>
      <c r="CX23" s="148">
        <v>16965</v>
      </c>
      <c r="CY23" s="148">
        <v>110050</v>
      </c>
      <c r="CZ23" s="151">
        <f t="shared" ref="CZ23:CZ32" si="67">((CY23-CX23)/CX23)*100</f>
        <v>548.68847627468313</v>
      </c>
      <c r="DA23" s="73"/>
      <c r="DB23" s="152"/>
      <c r="DC23" s="152" t="s">
        <v>51</v>
      </c>
      <c r="DD23" s="148">
        <v>68878</v>
      </c>
      <c r="DE23" s="148">
        <v>16965</v>
      </c>
      <c r="DF23" s="151">
        <f t="shared" ref="DF23:DF32" si="68">((DE23-DD23)/DD23)*100</f>
        <v>-75.369493887743545</v>
      </c>
      <c r="DG23" s="148">
        <v>54410</v>
      </c>
      <c r="DH23" s="148">
        <v>16965</v>
      </c>
      <c r="DI23" s="151">
        <f t="shared" ref="DI23:DI32" si="69">((DH23-DG23)/DG23)*100</f>
        <v>-68.820069840102931</v>
      </c>
      <c r="DJ23" s="73"/>
      <c r="DK23" s="89"/>
      <c r="DL23" s="89" t="s">
        <v>51</v>
      </c>
      <c r="DM23" s="90">
        <v>47235</v>
      </c>
      <c r="DN23" s="90">
        <v>54410</v>
      </c>
      <c r="DO23" s="129">
        <f t="shared" ref="DO23:DO32" si="70">((DN23-DM23)/DM23)*100</f>
        <v>15.190007409759712</v>
      </c>
      <c r="DP23" s="90">
        <v>34002</v>
      </c>
      <c r="DQ23" s="90">
        <v>54410</v>
      </c>
      <c r="DR23" s="129">
        <f t="shared" ref="DR23:DR32" si="71">((DQ23-DP23)/DP23)*100</f>
        <v>60.019998823598605</v>
      </c>
      <c r="DS23" s="130"/>
      <c r="DT23" s="42"/>
      <c r="DU23" s="42" t="s">
        <v>51</v>
      </c>
      <c r="DV23" s="43">
        <v>33167</v>
      </c>
      <c r="DW23" s="43">
        <v>34002</v>
      </c>
      <c r="DX23" s="44">
        <f>((DW23-DV23)/DV23)*100</f>
        <v>2.5175626375614315</v>
      </c>
      <c r="DY23" s="43">
        <v>34551</v>
      </c>
      <c r="DZ23" s="43">
        <v>34002</v>
      </c>
      <c r="EA23" s="44">
        <f t="shared" si="50"/>
        <v>-1.5889554571502995</v>
      </c>
      <c r="EB23" s="61"/>
      <c r="EC23" s="89"/>
      <c r="ED23" s="89" t="s">
        <v>51</v>
      </c>
      <c r="EE23" s="90">
        <v>35499</v>
      </c>
      <c r="EF23" s="90">
        <v>34551</v>
      </c>
      <c r="EG23" s="91">
        <f t="shared" ref="EG23:EG32" si="72">((EF23-EE23)/EE23)*100</f>
        <v>-2.6704977605002957</v>
      </c>
      <c r="EH23" s="92">
        <v>29178</v>
      </c>
      <c r="EI23" s="90">
        <v>34551</v>
      </c>
      <c r="EJ23" s="91">
        <f t="shared" ref="EJ23:EJ31" si="73">((EI23-EH23)/EH23)*100</f>
        <v>18.414558914250463</v>
      </c>
      <c r="EK23" s="61"/>
      <c r="EL23" s="42"/>
      <c r="EM23" s="42" t="s">
        <v>51</v>
      </c>
      <c r="EN23" s="43">
        <v>29146</v>
      </c>
      <c r="EO23" s="43">
        <f>13404+7214+4247+4097+59+157</f>
        <v>29178</v>
      </c>
      <c r="EP23" s="44">
        <f t="shared" si="51"/>
        <v>0.10979208124614012</v>
      </c>
      <c r="EQ23" s="45">
        <f>13783+6096+2351+2900+177+121</f>
        <v>25428</v>
      </c>
      <c r="ER23" s="43">
        <f>13404+7214+4247+4097+59+157</f>
        <v>29178</v>
      </c>
      <c r="ES23" s="44">
        <f t="shared" si="52"/>
        <v>14.747522416234075</v>
      </c>
      <c r="ET23" s="61"/>
    </row>
    <row r="24" spans="1:150" x14ac:dyDescent="0.5">
      <c r="A24" s="226"/>
      <c r="B24" s="226" t="s">
        <v>52</v>
      </c>
      <c r="C24" s="227">
        <v>77473</v>
      </c>
      <c r="D24" s="227">
        <v>78386</v>
      </c>
      <c r="E24" s="225">
        <f t="shared" si="53"/>
        <v>1.1784750816413458</v>
      </c>
      <c r="F24" s="227">
        <v>70514</v>
      </c>
      <c r="G24" s="373">
        <v>78386</v>
      </c>
      <c r="H24" s="225">
        <f t="shared" si="54"/>
        <v>11.163740533794707</v>
      </c>
      <c r="I24" s="226"/>
      <c r="J24" s="226" t="s">
        <v>52</v>
      </c>
      <c r="K24" s="227">
        <v>70646</v>
      </c>
      <c r="L24" s="227">
        <v>70514</v>
      </c>
      <c r="M24" s="225">
        <f t="shared" si="55"/>
        <v>-0.18684709679245817</v>
      </c>
      <c r="N24" s="227">
        <v>97702</v>
      </c>
      <c r="O24" s="227">
        <v>70514</v>
      </c>
      <c r="P24" s="225">
        <f t="shared" si="56"/>
        <v>-27.827475384331947</v>
      </c>
      <c r="Q24" s="226"/>
      <c r="R24" s="226" t="s">
        <v>52</v>
      </c>
      <c r="S24" s="227">
        <v>102180</v>
      </c>
      <c r="T24" s="227">
        <v>97702</v>
      </c>
      <c r="U24" s="225">
        <f t="shared" si="38"/>
        <v>-4.3824623213936187</v>
      </c>
      <c r="V24" s="227">
        <v>108003</v>
      </c>
      <c r="W24" s="227">
        <v>97702</v>
      </c>
      <c r="X24" s="225">
        <f t="shared" si="57"/>
        <v>-9.5376980269066607</v>
      </c>
      <c r="Y24" s="226"/>
      <c r="Z24" s="226" t="s">
        <v>52</v>
      </c>
      <c r="AA24" s="227">
        <v>113652</v>
      </c>
      <c r="AB24" s="227">
        <v>108003</v>
      </c>
      <c r="AC24" s="225">
        <f t="shared" si="39"/>
        <v>-4.9704360679970438</v>
      </c>
      <c r="AD24" s="227">
        <v>94840</v>
      </c>
      <c r="AE24" s="227">
        <v>108003</v>
      </c>
      <c r="AF24" s="225">
        <f t="shared" si="40"/>
        <v>13.879164909320963</v>
      </c>
      <c r="AG24" s="226"/>
      <c r="AH24" s="226" t="s">
        <v>52</v>
      </c>
      <c r="AI24" s="227">
        <v>82826</v>
      </c>
      <c r="AJ24" s="227">
        <v>94840</v>
      </c>
      <c r="AK24" s="225">
        <f t="shared" si="41"/>
        <v>14.505107091975949</v>
      </c>
      <c r="AL24" s="227">
        <v>87760</v>
      </c>
      <c r="AM24" s="227">
        <v>94840</v>
      </c>
      <c r="AN24" s="225">
        <f t="shared" si="42"/>
        <v>8.0674567000911583</v>
      </c>
      <c r="AO24" s="226"/>
      <c r="AP24" s="226" t="s">
        <v>52</v>
      </c>
      <c r="AQ24" s="227">
        <v>92221</v>
      </c>
      <c r="AR24" s="227">
        <v>87760</v>
      </c>
      <c r="AS24" s="225">
        <f t="shared" si="43"/>
        <v>-4.8372930243653833</v>
      </c>
      <c r="AT24" s="227">
        <v>88532</v>
      </c>
      <c r="AU24" s="227">
        <v>87760</v>
      </c>
      <c r="AV24" s="225">
        <f t="shared" si="44"/>
        <v>-0.87200108435367996</v>
      </c>
      <c r="AW24" s="226"/>
      <c r="AX24" s="226" t="s">
        <v>52</v>
      </c>
      <c r="AY24" s="227">
        <v>97016</v>
      </c>
      <c r="AZ24" s="227">
        <v>88532</v>
      </c>
      <c r="BA24" s="225">
        <f t="shared" si="45"/>
        <v>-8.7449492867155936</v>
      </c>
      <c r="BB24" s="227">
        <v>117539</v>
      </c>
      <c r="BC24" s="227">
        <v>88532</v>
      </c>
      <c r="BD24" s="225">
        <f t="shared" si="46"/>
        <v>-24.678617309999236</v>
      </c>
      <c r="BE24" s="226"/>
      <c r="BF24" s="226" t="s">
        <v>52</v>
      </c>
      <c r="BG24" s="227">
        <v>104968</v>
      </c>
      <c r="BH24" s="227">
        <v>117539</v>
      </c>
      <c r="BI24" s="225">
        <f t="shared" si="47"/>
        <v>11.976030790336102</v>
      </c>
      <c r="BJ24" s="227">
        <v>90310</v>
      </c>
      <c r="BK24" s="227">
        <v>117539</v>
      </c>
      <c r="BL24" s="225">
        <f t="shared" si="58"/>
        <v>30.150592403941978</v>
      </c>
      <c r="BM24" s="226"/>
      <c r="BN24" s="226" t="s">
        <v>52</v>
      </c>
      <c r="BO24" s="227">
        <v>109224</v>
      </c>
      <c r="BP24" s="227">
        <v>90310</v>
      </c>
      <c r="BQ24" s="225">
        <f t="shared" si="48"/>
        <v>-17.316706950853291</v>
      </c>
      <c r="BR24" s="227">
        <v>90982</v>
      </c>
      <c r="BS24" s="227">
        <v>90310</v>
      </c>
      <c r="BT24" s="225">
        <f t="shared" si="59"/>
        <v>-0.73860763667538631</v>
      </c>
      <c r="BU24" s="226"/>
      <c r="BV24" s="226" t="s">
        <v>52</v>
      </c>
      <c r="BW24" s="227">
        <v>91170</v>
      </c>
      <c r="BX24" s="227">
        <v>90982</v>
      </c>
      <c r="BY24" s="225">
        <f t="shared" si="60"/>
        <v>-0.20620818251617856</v>
      </c>
      <c r="BZ24" s="227">
        <v>102958</v>
      </c>
      <c r="CA24" s="227">
        <v>90982</v>
      </c>
      <c r="CB24" s="225">
        <f t="shared" si="61"/>
        <v>-11.631927582120865</v>
      </c>
      <c r="CC24" s="73"/>
      <c r="CD24" s="226" t="s">
        <v>52</v>
      </c>
      <c r="CE24" s="227">
        <v>104514</v>
      </c>
      <c r="CF24" s="227">
        <v>102958</v>
      </c>
      <c r="CG24" s="225">
        <f t="shared" si="62"/>
        <v>-1.4887957594197907</v>
      </c>
      <c r="CH24" s="227">
        <v>91911</v>
      </c>
      <c r="CI24" s="227">
        <v>102958</v>
      </c>
      <c r="CJ24" s="225">
        <f t="shared" si="63"/>
        <v>12.01923600004352</v>
      </c>
      <c r="CK24" s="73"/>
      <c r="CL24" s="227">
        <v>101656</v>
      </c>
      <c r="CM24" s="227">
        <v>101946</v>
      </c>
      <c r="CN24" s="225">
        <f t="shared" si="64"/>
        <v>0.28527583221846226</v>
      </c>
      <c r="CO24" s="227">
        <v>137788</v>
      </c>
      <c r="CP24" s="227">
        <v>101946</v>
      </c>
      <c r="CQ24" s="225">
        <f t="shared" si="65"/>
        <v>-26.012424884605334</v>
      </c>
      <c r="CR24" s="73"/>
      <c r="CS24" s="152"/>
      <c r="CT24" s="152" t="s">
        <v>52</v>
      </c>
      <c r="CU24" s="148">
        <v>128735</v>
      </c>
      <c r="CV24" s="148">
        <v>137788</v>
      </c>
      <c r="CW24" s="151">
        <f t="shared" si="66"/>
        <v>7.0322756049248456</v>
      </c>
      <c r="CX24" s="148">
        <v>31297</v>
      </c>
      <c r="CY24" s="148">
        <v>137788</v>
      </c>
      <c r="CZ24" s="151">
        <f t="shared" si="67"/>
        <v>340.2594497875196</v>
      </c>
      <c r="DA24" s="73"/>
      <c r="DB24" s="152"/>
      <c r="DC24" s="152" t="s">
        <v>52</v>
      </c>
      <c r="DD24" s="148">
        <v>103792</v>
      </c>
      <c r="DE24" s="148">
        <v>31297</v>
      </c>
      <c r="DF24" s="151">
        <f t="shared" si="68"/>
        <v>-69.846423616463696</v>
      </c>
      <c r="DG24" s="148">
        <v>95697</v>
      </c>
      <c r="DH24" s="148">
        <v>31297</v>
      </c>
      <c r="DI24" s="151">
        <f t="shared" si="69"/>
        <v>-67.295735498500477</v>
      </c>
      <c r="DJ24" s="73"/>
      <c r="DK24" s="89"/>
      <c r="DL24" s="89" t="s">
        <v>52</v>
      </c>
      <c r="DM24" s="90">
        <v>92056</v>
      </c>
      <c r="DN24" s="90">
        <v>95697</v>
      </c>
      <c r="DO24" s="129">
        <f t="shared" si="70"/>
        <v>3.9552011818892847</v>
      </c>
      <c r="DP24" s="90">
        <v>79322</v>
      </c>
      <c r="DQ24" s="90">
        <v>95697</v>
      </c>
      <c r="DR24" s="129">
        <f t="shared" si="71"/>
        <v>20.643705403292909</v>
      </c>
      <c r="DS24" s="130"/>
      <c r="DT24" s="42"/>
      <c r="DU24" s="42" t="s">
        <v>52</v>
      </c>
      <c r="DV24" s="43">
        <v>68785</v>
      </c>
      <c r="DW24" s="43">
        <v>79322</v>
      </c>
      <c r="DX24" s="44">
        <f t="shared" si="49"/>
        <v>15.318746819800829</v>
      </c>
      <c r="DY24" s="43">
        <v>88809</v>
      </c>
      <c r="DZ24" s="43">
        <v>79322</v>
      </c>
      <c r="EA24" s="44">
        <f t="shared" si="50"/>
        <v>-10.682475875192829</v>
      </c>
      <c r="EB24" s="61"/>
      <c r="EC24" s="89"/>
      <c r="ED24" s="89" t="s">
        <v>52</v>
      </c>
      <c r="EE24" s="90">
        <v>87299</v>
      </c>
      <c r="EF24" s="90">
        <v>88809</v>
      </c>
      <c r="EG24" s="91">
        <f t="shared" si="72"/>
        <v>1.729687625287804</v>
      </c>
      <c r="EH24" s="92">
        <v>92522</v>
      </c>
      <c r="EI24" s="90">
        <v>88809</v>
      </c>
      <c r="EJ24" s="91">
        <f t="shared" si="73"/>
        <v>-4.0130995871252235</v>
      </c>
      <c r="EK24" s="61"/>
      <c r="EL24" s="42"/>
      <c r="EM24" s="42" t="s">
        <v>52</v>
      </c>
      <c r="EN24" s="43">
        <v>86098</v>
      </c>
      <c r="EO24" s="43">
        <f>3801+40800+47921</f>
        <v>92522</v>
      </c>
      <c r="EP24" s="44">
        <f t="shared" si="51"/>
        <v>7.46126507003647</v>
      </c>
      <c r="EQ24" s="45">
        <f>3576+31426+33347</f>
        <v>68349</v>
      </c>
      <c r="ER24" s="43">
        <f>3801+40800+47921</f>
        <v>92522</v>
      </c>
      <c r="ES24" s="44">
        <f t="shared" si="52"/>
        <v>35.36701341643623</v>
      </c>
      <c r="ET24" s="61"/>
    </row>
    <row r="25" spans="1:150" x14ac:dyDescent="0.5">
      <c r="A25" s="226"/>
      <c r="B25" s="226" t="s">
        <v>53</v>
      </c>
      <c r="C25" s="227">
        <v>2230</v>
      </c>
      <c r="D25" s="227">
        <v>2251</v>
      </c>
      <c r="E25" s="225">
        <f t="shared" si="53"/>
        <v>0.94170403587443952</v>
      </c>
      <c r="F25" s="227">
        <v>1636</v>
      </c>
      <c r="G25" s="373">
        <v>2251</v>
      </c>
      <c r="H25" s="225">
        <f t="shared" si="54"/>
        <v>37.591687041564789</v>
      </c>
      <c r="I25" s="226"/>
      <c r="J25" s="226" t="s">
        <v>53</v>
      </c>
      <c r="K25" s="227">
        <v>1606</v>
      </c>
      <c r="L25" s="227">
        <v>1636</v>
      </c>
      <c r="M25" s="225">
        <f t="shared" si="55"/>
        <v>1.8679950186799501</v>
      </c>
      <c r="N25" s="227">
        <v>4558</v>
      </c>
      <c r="O25" s="227">
        <v>1636</v>
      </c>
      <c r="P25" s="225">
        <f t="shared" si="56"/>
        <v>-64.107064501974548</v>
      </c>
      <c r="Q25" s="226"/>
      <c r="R25" s="226" t="s">
        <v>53</v>
      </c>
      <c r="S25" s="227">
        <v>4450</v>
      </c>
      <c r="T25" s="227">
        <v>4558</v>
      </c>
      <c r="U25" s="225">
        <f t="shared" si="38"/>
        <v>2.4269662921348316</v>
      </c>
      <c r="V25" s="227">
        <v>4040</v>
      </c>
      <c r="W25" s="227">
        <v>4558</v>
      </c>
      <c r="X25" s="225">
        <f t="shared" si="57"/>
        <v>12.821782178217822</v>
      </c>
      <c r="Y25" s="226"/>
      <c r="Z25" s="226" t="s">
        <v>53</v>
      </c>
      <c r="AA25" s="227">
        <v>4885</v>
      </c>
      <c r="AB25" s="227">
        <v>4040</v>
      </c>
      <c r="AC25" s="225">
        <f t="shared" si="39"/>
        <v>-17.297850562947801</v>
      </c>
      <c r="AD25" s="227">
        <v>3928</v>
      </c>
      <c r="AE25" s="227">
        <v>4040</v>
      </c>
      <c r="AF25" s="225">
        <f t="shared" si="40"/>
        <v>2.8513238289205702</v>
      </c>
      <c r="AG25" s="226"/>
      <c r="AH25" s="226" t="s">
        <v>53</v>
      </c>
      <c r="AI25" s="227">
        <v>3591</v>
      </c>
      <c r="AJ25" s="227">
        <v>3928</v>
      </c>
      <c r="AK25" s="225">
        <f t="shared" si="41"/>
        <v>9.3845725424672786</v>
      </c>
      <c r="AL25" s="227">
        <v>3409</v>
      </c>
      <c r="AM25" s="227">
        <v>3928</v>
      </c>
      <c r="AN25" s="225">
        <f t="shared" si="42"/>
        <v>15.224405984159578</v>
      </c>
      <c r="AO25" s="226"/>
      <c r="AP25" s="226" t="s">
        <v>53</v>
      </c>
      <c r="AQ25" s="227">
        <v>3067</v>
      </c>
      <c r="AR25" s="227">
        <v>3409</v>
      </c>
      <c r="AS25" s="225">
        <f t="shared" si="43"/>
        <v>11.150961851972612</v>
      </c>
      <c r="AT25" s="227">
        <v>3448</v>
      </c>
      <c r="AU25" s="227">
        <v>3409</v>
      </c>
      <c r="AV25" s="225">
        <f t="shared" si="44"/>
        <v>-1.1310904872389791</v>
      </c>
      <c r="AW25" s="226"/>
      <c r="AX25" s="226" t="s">
        <v>53</v>
      </c>
      <c r="AY25" s="227">
        <v>3678</v>
      </c>
      <c r="AZ25" s="227">
        <v>3448</v>
      </c>
      <c r="BA25" s="225">
        <f t="shared" si="45"/>
        <v>-6.2533985861881458</v>
      </c>
      <c r="BB25" s="227">
        <v>3507</v>
      </c>
      <c r="BC25" s="227">
        <v>3448</v>
      </c>
      <c r="BD25" s="225">
        <f t="shared" si="46"/>
        <v>-1.6823495865412035</v>
      </c>
      <c r="BE25" s="226"/>
      <c r="BF25" s="226" t="s">
        <v>53</v>
      </c>
      <c r="BG25" s="227">
        <v>3426</v>
      </c>
      <c r="BH25" s="227">
        <v>3507</v>
      </c>
      <c r="BI25" s="225">
        <f t="shared" si="47"/>
        <v>2.3642732049036779</v>
      </c>
      <c r="BJ25" s="227">
        <v>3408</v>
      </c>
      <c r="BK25" s="227">
        <v>3507</v>
      </c>
      <c r="BL25" s="225">
        <f t="shared" si="58"/>
        <v>2.9049295774647885</v>
      </c>
      <c r="BM25" s="226"/>
      <c r="BN25" s="226" t="s">
        <v>53</v>
      </c>
      <c r="BO25" s="227">
        <v>3947</v>
      </c>
      <c r="BP25" s="227">
        <v>3408</v>
      </c>
      <c r="BQ25" s="225">
        <f t="shared" si="48"/>
        <v>-13.655941221180642</v>
      </c>
      <c r="BR25" s="227">
        <v>3595</v>
      </c>
      <c r="BS25" s="227">
        <v>3408</v>
      </c>
      <c r="BT25" s="225">
        <f t="shared" si="59"/>
        <v>-5.2016689847009738</v>
      </c>
      <c r="BU25" s="226"/>
      <c r="BV25" s="226" t="s">
        <v>53</v>
      </c>
      <c r="BW25" s="227">
        <v>3547</v>
      </c>
      <c r="BX25" s="227">
        <v>3595</v>
      </c>
      <c r="BY25" s="225">
        <f t="shared" si="60"/>
        <v>1.3532562729066817</v>
      </c>
      <c r="BZ25" s="227">
        <v>2877</v>
      </c>
      <c r="CA25" s="227">
        <v>3595</v>
      </c>
      <c r="CB25" s="225">
        <f t="shared" si="61"/>
        <v>24.956551963851233</v>
      </c>
      <c r="CC25" s="73"/>
      <c r="CD25" s="226" t="s">
        <v>53</v>
      </c>
      <c r="CE25" s="227">
        <v>3339</v>
      </c>
      <c r="CF25" s="227">
        <v>2877</v>
      </c>
      <c r="CG25" s="225">
        <f t="shared" si="62"/>
        <v>-13.836477987421384</v>
      </c>
      <c r="CH25" s="227">
        <v>2331</v>
      </c>
      <c r="CI25" s="227">
        <v>2877</v>
      </c>
      <c r="CJ25" s="225">
        <f t="shared" si="63"/>
        <v>23.423423423423422</v>
      </c>
      <c r="CK25" s="73"/>
      <c r="CL25" s="227">
        <v>4395</v>
      </c>
      <c r="CM25" s="227">
        <v>3324</v>
      </c>
      <c r="CN25" s="225">
        <f t="shared" si="64"/>
        <v>-24.368600682593858</v>
      </c>
      <c r="CO25" s="227">
        <v>4327</v>
      </c>
      <c r="CP25" s="227">
        <v>3324</v>
      </c>
      <c r="CQ25" s="225">
        <f t="shared" si="65"/>
        <v>-23.180032354980355</v>
      </c>
      <c r="CR25" s="73"/>
      <c r="CS25" s="152"/>
      <c r="CT25" s="152" t="s">
        <v>53</v>
      </c>
      <c r="CU25" s="148">
        <v>3943</v>
      </c>
      <c r="CV25" s="148">
        <v>4327</v>
      </c>
      <c r="CW25" s="151">
        <f t="shared" si="66"/>
        <v>9.738777580522445</v>
      </c>
      <c r="CX25" s="148">
        <v>1177</v>
      </c>
      <c r="CY25" s="148">
        <v>4327</v>
      </c>
      <c r="CZ25" s="151">
        <f t="shared" si="67"/>
        <v>267.62956669498726</v>
      </c>
      <c r="DA25" s="73"/>
      <c r="DB25" s="152"/>
      <c r="DC25" s="152" t="s">
        <v>53</v>
      </c>
      <c r="DD25" s="148">
        <v>1542</v>
      </c>
      <c r="DE25" s="148">
        <v>1177</v>
      </c>
      <c r="DF25" s="151">
        <f t="shared" si="68"/>
        <v>-23.670557717250322</v>
      </c>
      <c r="DG25" s="148">
        <v>2582</v>
      </c>
      <c r="DH25" s="148">
        <v>1177</v>
      </c>
      <c r="DI25" s="151">
        <f t="shared" si="69"/>
        <v>-54.415182029434547</v>
      </c>
      <c r="DJ25" s="73"/>
      <c r="DK25" s="89"/>
      <c r="DL25" s="89" t="s">
        <v>53</v>
      </c>
      <c r="DM25" s="90">
        <v>2125</v>
      </c>
      <c r="DN25" s="90">
        <v>2582</v>
      </c>
      <c r="DO25" s="129">
        <f t="shared" si="70"/>
        <v>21.505882352941178</v>
      </c>
      <c r="DP25" s="90">
        <v>1719</v>
      </c>
      <c r="DQ25" s="90">
        <v>2582</v>
      </c>
      <c r="DR25" s="129">
        <f t="shared" si="71"/>
        <v>50.203606748109365</v>
      </c>
      <c r="DS25" s="130"/>
      <c r="DT25" s="42"/>
      <c r="DU25" s="42" t="s">
        <v>53</v>
      </c>
      <c r="DV25" s="43">
        <v>1438</v>
      </c>
      <c r="DW25" s="43">
        <v>1719</v>
      </c>
      <c r="DX25" s="44">
        <f t="shared" si="49"/>
        <v>19.541029207232267</v>
      </c>
      <c r="DY25" s="43">
        <v>1296</v>
      </c>
      <c r="DZ25" s="43">
        <v>1719</v>
      </c>
      <c r="EA25" s="44">
        <f t="shared" si="50"/>
        <v>32.638888888888893</v>
      </c>
      <c r="EB25" s="61"/>
      <c r="EC25" s="89"/>
      <c r="ED25" s="89" t="s">
        <v>53</v>
      </c>
      <c r="EE25" s="90">
        <v>1036</v>
      </c>
      <c r="EF25" s="90">
        <v>1296</v>
      </c>
      <c r="EG25" s="91">
        <f t="shared" si="72"/>
        <v>25.096525096525095</v>
      </c>
      <c r="EH25" s="92">
        <v>2145</v>
      </c>
      <c r="EI25" s="90">
        <v>1296</v>
      </c>
      <c r="EJ25" s="91">
        <f t="shared" si="73"/>
        <v>-39.58041958041958</v>
      </c>
      <c r="EK25" s="61"/>
      <c r="EL25" s="42"/>
      <c r="EM25" s="42" t="s">
        <v>53</v>
      </c>
      <c r="EN25" s="43">
        <v>1927</v>
      </c>
      <c r="EO25" s="43">
        <f>62+663+704+716</f>
        <v>2145</v>
      </c>
      <c r="EP25" s="44">
        <f t="shared" si="51"/>
        <v>11.312921639854697</v>
      </c>
      <c r="EQ25" s="45">
        <f>17+52+475+288+796</f>
        <v>1628</v>
      </c>
      <c r="ER25" s="43">
        <f>62+663+704+716</f>
        <v>2145</v>
      </c>
      <c r="ES25" s="44">
        <f t="shared" si="52"/>
        <v>31.756756756756754</v>
      </c>
      <c r="ET25" s="61"/>
    </row>
    <row r="26" spans="1:150" x14ac:dyDescent="0.5">
      <c r="A26" s="224" t="s">
        <v>1</v>
      </c>
      <c r="B26" s="224"/>
      <c r="C26" s="238">
        <v>48350</v>
      </c>
      <c r="D26" s="238">
        <v>47032</v>
      </c>
      <c r="E26" s="225">
        <f t="shared" si="53"/>
        <v>-2.7259565667011376</v>
      </c>
      <c r="F26" s="238">
        <v>37691</v>
      </c>
      <c r="G26" s="378">
        <v>47032</v>
      </c>
      <c r="H26" s="225">
        <f t="shared" si="54"/>
        <v>24.783104719959674</v>
      </c>
      <c r="I26" s="224" t="s">
        <v>1</v>
      </c>
      <c r="J26" s="224"/>
      <c r="K26" s="238">
        <v>39048</v>
      </c>
      <c r="L26" s="238">
        <v>37691</v>
      </c>
      <c r="M26" s="225">
        <f t="shared" si="55"/>
        <v>-3.4752099979512394</v>
      </c>
      <c r="N26" s="238">
        <v>58963</v>
      </c>
      <c r="O26" s="238">
        <v>37691</v>
      </c>
      <c r="P26" s="225">
        <f t="shared" si="56"/>
        <v>-36.076861760765226</v>
      </c>
      <c r="Q26" s="224" t="s">
        <v>1</v>
      </c>
      <c r="R26" s="224"/>
      <c r="S26" s="238">
        <v>62086</v>
      </c>
      <c r="T26" s="238">
        <v>58963</v>
      </c>
      <c r="U26" s="225">
        <f t="shared" si="38"/>
        <v>-5.0301195116451378</v>
      </c>
      <c r="V26" s="238">
        <v>64618</v>
      </c>
      <c r="W26" s="238">
        <v>58963</v>
      </c>
      <c r="X26" s="225">
        <f t="shared" si="57"/>
        <v>-8.7514314896777989</v>
      </c>
      <c r="Y26" s="224" t="s">
        <v>1</v>
      </c>
      <c r="Z26" s="224"/>
      <c r="AA26" s="238">
        <v>74150</v>
      </c>
      <c r="AB26" s="238">
        <v>64618</v>
      </c>
      <c r="AC26" s="225">
        <f t="shared" si="39"/>
        <v>-12.855023600809171</v>
      </c>
      <c r="AD26" s="238">
        <v>64462</v>
      </c>
      <c r="AE26" s="238">
        <v>64618</v>
      </c>
      <c r="AF26" s="225">
        <f t="shared" si="40"/>
        <v>0.24200304055102231</v>
      </c>
      <c r="AG26" s="224" t="s">
        <v>1</v>
      </c>
      <c r="AH26" s="224"/>
      <c r="AI26" s="238">
        <v>56871</v>
      </c>
      <c r="AJ26" s="238">
        <v>64462</v>
      </c>
      <c r="AK26" s="225">
        <f t="shared" si="41"/>
        <v>13.347751929806051</v>
      </c>
      <c r="AL26" s="238">
        <v>74115</v>
      </c>
      <c r="AM26" s="238">
        <v>64462</v>
      </c>
      <c r="AN26" s="225">
        <f t="shared" si="42"/>
        <v>-13.024354044390474</v>
      </c>
      <c r="AO26" s="224" t="s">
        <v>1</v>
      </c>
      <c r="AP26" s="224"/>
      <c r="AQ26" s="238">
        <v>77907</v>
      </c>
      <c r="AR26" s="238">
        <v>74115</v>
      </c>
      <c r="AS26" s="225">
        <f t="shared" si="43"/>
        <v>-4.8673418306442295</v>
      </c>
      <c r="AT26" s="238">
        <v>75130</v>
      </c>
      <c r="AU26" s="238">
        <v>74115</v>
      </c>
      <c r="AV26" s="225">
        <f t="shared" si="44"/>
        <v>-1.3509916145348064</v>
      </c>
      <c r="AW26" s="224" t="s">
        <v>1</v>
      </c>
      <c r="AX26" s="224"/>
      <c r="AY26" s="238">
        <v>76195</v>
      </c>
      <c r="AZ26" s="238">
        <v>77121</v>
      </c>
      <c r="BA26" s="225">
        <f t="shared" si="45"/>
        <v>1.2153028413937923</v>
      </c>
      <c r="BB26" s="238">
        <v>86931</v>
      </c>
      <c r="BC26" s="238">
        <v>77121</v>
      </c>
      <c r="BD26" s="225">
        <f t="shared" si="46"/>
        <v>-11.284812092349105</v>
      </c>
      <c r="BE26" s="224" t="s">
        <v>1</v>
      </c>
      <c r="BF26" s="224"/>
      <c r="BG26" s="238">
        <v>88706</v>
      </c>
      <c r="BH26" s="238">
        <v>86931</v>
      </c>
      <c r="BI26" s="225">
        <f t="shared" si="47"/>
        <v>-2.000992041124614</v>
      </c>
      <c r="BJ26" s="238">
        <v>68551</v>
      </c>
      <c r="BK26" s="238">
        <v>86931</v>
      </c>
      <c r="BL26" s="225">
        <f t="shared" si="58"/>
        <v>26.812154454347858</v>
      </c>
      <c r="BM26" s="224" t="s">
        <v>1</v>
      </c>
      <c r="BN26" s="224"/>
      <c r="BO26" s="238">
        <v>77592</v>
      </c>
      <c r="BP26" s="238">
        <v>68551</v>
      </c>
      <c r="BQ26" s="225">
        <f t="shared" si="48"/>
        <v>-11.651974430353643</v>
      </c>
      <c r="BR26" s="238">
        <v>60634</v>
      </c>
      <c r="BS26" s="238">
        <v>68551</v>
      </c>
      <c r="BT26" s="225">
        <f t="shared" si="59"/>
        <v>13.057030708843223</v>
      </c>
      <c r="BU26" s="224" t="s">
        <v>1</v>
      </c>
      <c r="BV26" s="224"/>
      <c r="BW26" s="238">
        <v>63641</v>
      </c>
      <c r="BX26" s="238">
        <v>60634</v>
      </c>
      <c r="BY26" s="225">
        <f t="shared" si="60"/>
        <v>-4.7249414685501483</v>
      </c>
      <c r="BZ26" s="238">
        <v>67910</v>
      </c>
      <c r="CA26" s="238">
        <v>60634</v>
      </c>
      <c r="CB26" s="225">
        <f t="shared" si="61"/>
        <v>-10.71418053305846</v>
      </c>
      <c r="CC26" s="73"/>
      <c r="CD26" s="224"/>
      <c r="CE26" s="238">
        <v>61869</v>
      </c>
      <c r="CF26" s="238">
        <v>67910</v>
      </c>
      <c r="CG26" s="225">
        <f t="shared" si="62"/>
        <v>9.7641791527259212</v>
      </c>
      <c r="CH26" s="238">
        <v>70850</v>
      </c>
      <c r="CI26" s="238">
        <v>67910</v>
      </c>
      <c r="CJ26" s="225">
        <f t="shared" si="63"/>
        <v>-4.1496118560338751</v>
      </c>
      <c r="CK26" s="73"/>
      <c r="CL26" s="238">
        <v>94945</v>
      </c>
      <c r="CM26" s="238">
        <f>SUM(CM27:CM30)</f>
        <v>88633</v>
      </c>
      <c r="CN26" s="225">
        <f t="shared" si="64"/>
        <v>-6.6480594028121551</v>
      </c>
      <c r="CO26" s="238">
        <v>134159</v>
      </c>
      <c r="CP26" s="238">
        <v>88633</v>
      </c>
      <c r="CQ26" s="225">
        <f t="shared" si="65"/>
        <v>-33.934361466617972</v>
      </c>
      <c r="CR26" s="73"/>
      <c r="CS26" s="150" t="s">
        <v>1</v>
      </c>
      <c r="CT26" s="150"/>
      <c r="CU26" s="147">
        <f>SUM(CU27:CU30)</f>
        <v>132874</v>
      </c>
      <c r="CV26" s="147">
        <f>SUM(CV27:CV30)</f>
        <v>134159</v>
      </c>
      <c r="CW26" s="151">
        <f t="shared" si="66"/>
        <v>0.96708159609855959</v>
      </c>
      <c r="CX26" s="147">
        <f>SUM(CX27:CX30)</f>
        <v>42873</v>
      </c>
      <c r="CY26" s="147">
        <f>SUM(CY27:CY30)</f>
        <v>134159</v>
      </c>
      <c r="CZ26" s="151">
        <f t="shared" si="67"/>
        <v>212.92188556900612</v>
      </c>
      <c r="DA26" s="73"/>
      <c r="DB26" s="150" t="s">
        <v>1</v>
      </c>
      <c r="DC26" s="150"/>
      <c r="DD26" s="147">
        <f>SUM(DD27:DD30)</f>
        <v>87012</v>
      </c>
      <c r="DE26" s="147">
        <f>SUM(DE27:DE30)</f>
        <v>42873</v>
      </c>
      <c r="DF26" s="151">
        <f t="shared" si="68"/>
        <v>-50.727485864018753</v>
      </c>
      <c r="DG26" s="147">
        <v>72012</v>
      </c>
      <c r="DH26" s="147">
        <v>42873</v>
      </c>
      <c r="DI26" s="151">
        <f t="shared" si="69"/>
        <v>-40.464089318446931</v>
      </c>
      <c r="DJ26" s="73"/>
      <c r="DK26" s="86" t="s">
        <v>1</v>
      </c>
      <c r="DL26" s="86"/>
      <c r="DM26" s="87">
        <f>SUM(DM27:DM30)</f>
        <v>68261</v>
      </c>
      <c r="DN26" s="87">
        <f>SUM(DN27:DN30)</f>
        <v>72012</v>
      </c>
      <c r="DO26" s="126">
        <f t="shared" si="70"/>
        <v>5.4950850412387746</v>
      </c>
      <c r="DP26" s="87">
        <v>53271</v>
      </c>
      <c r="DQ26" s="87">
        <v>72012</v>
      </c>
      <c r="DR26" s="126">
        <f t="shared" si="71"/>
        <v>35.180492200259053</v>
      </c>
      <c r="DS26" s="127"/>
      <c r="DT26" s="63" t="s">
        <v>1</v>
      </c>
      <c r="DU26" s="63"/>
      <c r="DV26" s="68">
        <f>SUM(DV27:DV30)</f>
        <v>48649</v>
      </c>
      <c r="DW26" s="68">
        <f>SUM(DW27:DW30)</f>
        <v>53271</v>
      </c>
      <c r="DX26" s="65">
        <f t="shared" si="49"/>
        <v>9.500709161544945</v>
      </c>
      <c r="DY26" s="68">
        <v>48942</v>
      </c>
      <c r="DZ26" s="68">
        <f>SUM(DZ27:DZ30)</f>
        <v>53271</v>
      </c>
      <c r="EA26" s="65">
        <f t="shared" si="50"/>
        <v>8.845163663111439</v>
      </c>
      <c r="EB26" s="73"/>
      <c r="EC26" s="86" t="s">
        <v>1</v>
      </c>
      <c r="ED26" s="86"/>
      <c r="EE26" s="87">
        <v>47881</v>
      </c>
      <c r="EF26" s="87">
        <f>SUM(EF27:EF30)</f>
        <v>48942</v>
      </c>
      <c r="EG26" s="88">
        <f t="shared" si="72"/>
        <v>2.2159102775631254</v>
      </c>
      <c r="EH26" s="87">
        <v>57860</v>
      </c>
      <c r="EI26" s="87">
        <f>SUM(EI27:EI30)</f>
        <v>48942</v>
      </c>
      <c r="EJ26" s="88">
        <f t="shared" si="73"/>
        <v>-15.413066021431041</v>
      </c>
      <c r="EK26" s="73"/>
      <c r="EL26" s="63" t="s">
        <v>1</v>
      </c>
      <c r="EM26" s="63"/>
      <c r="EN26" s="68">
        <f>SUM(EN27:EN30)</f>
        <v>53491</v>
      </c>
      <c r="EO26" s="68">
        <f>SUM(EO27:EO30)</f>
        <v>57860</v>
      </c>
      <c r="EP26" s="65">
        <f t="shared" si="51"/>
        <v>8.1677291506982481</v>
      </c>
      <c r="EQ26" s="68">
        <v>51390</v>
      </c>
      <c r="ER26" s="68">
        <f>SUM(ER27:ER30)</f>
        <v>57860</v>
      </c>
      <c r="ES26" s="65">
        <f t="shared" si="52"/>
        <v>12.589998054096126</v>
      </c>
      <c r="ET26" s="73"/>
    </row>
    <row r="27" spans="1:150" x14ac:dyDescent="0.5">
      <c r="A27" s="226"/>
      <c r="B27" s="226" t="s">
        <v>51</v>
      </c>
      <c r="C27" s="227">
        <v>19722</v>
      </c>
      <c r="D27" s="227">
        <f>D26-D28-D29-D30</f>
        <v>20464</v>
      </c>
      <c r="E27" s="225">
        <f t="shared" si="53"/>
        <v>3.762295913193388</v>
      </c>
      <c r="F27" s="227">
        <v>15447</v>
      </c>
      <c r="G27" s="373">
        <v>20464</v>
      </c>
      <c r="H27" s="225">
        <f t="shared" si="54"/>
        <v>32.478798472195244</v>
      </c>
      <c r="I27" s="226"/>
      <c r="J27" s="226" t="s">
        <v>51</v>
      </c>
      <c r="K27" s="227">
        <v>15668</v>
      </c>
      <c r="L27" s="227">
        <v>15447</v>
      </c>
      <c r="M27" s="225">
        <f t="shared" si="55"/>
        <v>-1.4105182537656369</v>
      </c>
      <c r="N27" s="227">
        <v>22130</v>
      </c>
      <c r="O27" s="227">
        <v>15447</v>
      </c>
      <c r="P27" s="225">
        <f t="shared" si="56"/>
        <v>-30.198825124265703</v>
      </c>
      <c r="Q27" s="226"/>
      <c r="R27" s="226" t="s">
        <v>51</v>
      </c>
      <c r="S27" s="227">
        <v>25425</v>
      </c>
      <c r="T27" s="227">
        <v>22130</v>
      </c>
      <c r="U27" s="225">
        <f t="shared" si="38"/>
        <v>-12.959685349065881</v>
      </c>
      <c r="V27" s="227">
        <v>19468</v>
      </c>
      <c r="W27" s="227">
        <v>22130</v>
      </c>
      <c r="X27" s="225">
        <f t="shared" si="57"/>
        <v>13.673720978015206</v>
      </c>
      <c r="Y27" s="226"/>
      <c r="Z27" s="226" t="s">
        <v>51</v>
      </c>
      <c r="AA27" s="227">
        <v>23074</v>
      </c>
      <c r="AB27" s="227">
        <v>19468</v>
      </c>
      <c r="AC27" s="225">
        <f t="shared" si="39"/>
        <v>-15.627979544075583</v>
      </c>
      <c r="AD27" s="227">
        <v>19950</v>
      </c>
      <c r="AE27" s="227">
        <v>19468</v>
      </c>
      <c r="AF27" s="225">
        <f t="shared" si="40"/>
        <v>-2.4160401002506262</v>
      </c>
      <c r="AG27" s="226"/>
      <c r="AH27" s="226" t="s">
        <v>51</v>
      </c>
      <c r="AI27" s="227">
        <v>18004</v>
      </c>
      <c r="AJ27" s="227">
        <v>19950</v>
      </c>
      <c r="AK27" s="225">
        <f t="shared" si="41"/>
        <v>10.808709175738725</v>
      </c>
      <c r="AL27" s="227">
        <v>22461</v>
      </c>
      <c r="AM27" s="227">
        <v>19950</v>
      </c>
      <c r="AN27" s="225">
        <f t="shared" si="42"/>
        <v>-11.179377587818887</v>
      </c>
      <c r="AO27" s="226"/>
      <c r="AP27" s="226" t="s">
        <v>51</v>
      </c>
      <c r="AQ27" s="227">
        <v>29209</v>
      </c>
      <c r="AR27" s="227">
        <v>22461</v>
      </c>
      <c r="AS27" s="225">
        <f t="shared" si="43"/>
        <v>-23.10246841726865</v>
      </c>
      <c r="AT27" s="227">
        <f>30327-875-1020-96</f>
        <v>28336</v>
      </c>
      <c r="AU27" s="227">
        <v>22461</v>
      </c>
      <c r="AV27" s="225">
        <f t="shared" si="44"/>
        <v>-20.733342744212312</v>
      </c>
      <c r="AW27" s="226"/>
      <c r="AX27" s="226" t="s">
        <v>51</v>
      </c>
      <c r="AY27" s="227">
        <v>33277</v>
      </c>
      <c r="AZ27" s="227">
        <v>30327</v>
      </c>
      <c r="BA27" s="225">
        <f t="shared" si="45"/>
        <v>-8.8649818192745737</v>
      </c>
      <c r="BB27" s="227">
        <v>32805</v>
      </c>
      <c r="BC27" s="227">
        <v>30327</v>
      </c>
      <c r="BD27" s="225">
        <f t="shared" si="46"/>
        <v>-7.5537265660722452</v>
      </c>
      <c r="BE27" s="226"/>
      <c r="BF27" s="226" t="s">
        <v>51</v>
      </c>
      <c r="BG27" s="227">
        <v>34086</v>
      </c>
      <c r="BH27" s="227">
        <v>32805</v>
      </c>
      <c r="BI27" s="225">
        <f t="shared" si="47"/>
        <v>-3.7581411723288154</v>
      </c>
      <c r="BJ27" s="227">
        <v>28739</v>
      </c>
      <c r="BK27" s="227">
        <v>32805</v>
      </c>
      <c r="BL27" s="225">
        <f t="shared" si="58"/>
        <v>14.148021851838966</v>
      </c>
      <c r="BM27" s="226"/>
      <c r="BN27" s="226" t="s">
        <v>51</v>
      </c>
      <c r="BO27" s="227">
        <v>29474</v>
      </c>
      <c r="BP27" s="227">
        <v>28739</v>
      </c>
      <c r="BQ27" s="225">
        <f t="shared" si="48"/>
        <v>-2.4937232815362695</v>
      </c>
      <c r="BR27" s="227">
        <v>23117</v>
      </c>
      <c r="BS27" s="227">
        <v>28739</v>
      </c>
      <c r="BT27" s="225">
        <f t="shared" si="59"/>
        <v>24.319764675347148</v>
      </c>
      <c r="BU27" s="226"/>
      <c r="BV27" s="226" t="s">
        <v>51</v>
      </c>
      <c r="BW27" s="227">
        <v>25641</v>
      </c>
      <c r="BX27" s="227">
        <v>23117</v>
      </c>
      <c r="BY27" s="225">
        <f t="shared" si="60"/>
        <v>-9.843609843609844</v>
      </c>
      <c r="BZ27" s="227">
        <v>24273</v>
      </c>
      <c r="CA27" s="227">
        <v>23117</v>
      </c>
      <c r="CB27" s="225">
        <f t="shared" si="61"/>
        <v>-4.7624933053186673</v>
      </c>
      <c r="CC27" s="73"/>
      <c r="CD27" s="226" t="s">
        <v>51</v>
      </c>
      <c r="CE27" s="227">
        <v>22581</v>
      </c>
      <c r="CF27" s="227">
        <v>24273</v>
      </c>
      <c r="CG27" s="225">
        <f t="shared" si="62"/>
        <v>7.493025109605421</v>
      </c>
      <c r="CH27" s="227">
        <v>30159</v>
      </c>
      <c r="CI27" s="227">
        <v>24273</v>
      </c>
      <c r="CJ27" s="225">
        <f t="shared" si="63"/>
        <v>-19.516562220232768</v>
      </c>
      <c r="CK27" s="73"/>
      <c r="CL27" s="227">
        <v>47304</v>
      </c>
      <c r="CM27" s="227">
        <v>41859</v>
      </c>
      <c r="CN27" s="225">
        <f t="shared" si="64"/>
        <v>-11.510654490106544</v>
      </c>
      <c r="CO27" s="227">
        <v>67013</v>
      </c>
      <c r="CP27" s="227">
        <v>41859</v>
      </c>
      <c r="CQ27" s="225">
        <f t="shared" si="65"/>
        <v>-37.536000477519288</v>
      </c>
      <c r="CR27" s="73"/>
      <c r="CS27" s="152"/>
      <c r="CT27" s="152" t="s">
        <v>51</v>
      </c>
      <c r="CU27" s="148">
        <v>68282</v>
      </c>
      <c r="CV27" s="148">
        <v>67013</v>
      </c>
      <c r="CW27" s="151">
        <f t="shared" si="66"/>
        <v>-1.8584692891245129</v>
      </c>
      <c r="CX27" s="148">
        <v>19852</v>
      </c>
      <c r="CY27" s="148">
        <v>67013</v>
      </c>
      <c r="CZ27" s="151">
        <f t="shared" si="67"/>
        <v>237.56296594801532</v>
      </c>
      <c r="DA27" s="73"/>
      <c r="DB27" s="152"/>
      <c r="DC27" s="152" t="s">
        <v>51</v>
      </c>
      <c r="DD27" s="148">
        <v>40685</v>
      </c>
      <c r="DE27" s="148">
        <v>19852</v>
      </c>
      <c r="DF27" s="151">
        <f t="shared" si="68"/>
        <v>-51.205604030969646</v>
      </c>
      <c r="DG27" s="148">
        <v>32461</v>
      </c>
      <c r="DH27" s="148">
        <v>19852</v>
      </c>
      <c r="DI27" s="151">
        <f t="shared" si="69"/>
        <v>-38.843535319306241</v>
      </c>
      <c r="DJ27" s="73"/>
      <c r="DK27" s="89"/>
      <c r="DL27" s="89" t="s">
        <v>51</v>
      </c>
      <c r="DM27" s="90">
        <v>31401</v>
      </c>
      <c r="DN27" s="90">
        <v>32461</v>
      </c>
      <c r="DO27" s="129">
        <f t="shared" si="70"/>
        <v>3.3756886723352761</v>
      </c>
      <c r="DP27" s="90">
        <v>22747</v>
      </c>
      <c r="DQ27" s="90">
        <v>32461</v>
      </c>
      <c r="DR27" s="129">
        <f t="shared" si="71"/>
        <v>42.704532465819668</v>
      </c>
      <c r="DS27" s="130"/>
      <c r="DT27" s="42"/>
      <c r="DU27" s="42" t="s">
        <v>51</v>
      </c>
      <c r="DV27" s="43">
        <v>21426</v>
      </c>
      <c r="DW27" s="43">
        <v>22747</v>
      </c>
      <c r="DX27" s="44">
        <f t="shared" si="49"/>
        <v>6.1654065154485203</v>
      </c>
      <c r="DY27" s="43">
        <v>18427</v>
      </c>
      <c r="DZ27" s="43">
        <v>22747</v>
      </c>
      <c r="EA27" s="44">
        <f t="shared" si="50"/>
        <v>23.443859553915448</v>
      </c>
      <c r="EB27" s="61"/>
      <c r="EC27" s="89"/>
      <c r="ED27" s="89" t="s">
        <v>51</v>
      </c>
      <c r="EE27" s="90">
        <v>18687</v>
      </c>
      <c r="EF27" s="90">
        <v>18427</v>
      </c>
      <c r="EG27" s="91">
        <f t="shared" si="72"/>
        <v>-1.3913415743565045</v>
      </c>
      <c r="EH27" s="92">
        <v>15299</v>
      </c>
      <c r="EI27" s="90">
        <v>18427</v>
      </c>
      <c r="EJ27" s="91">
        <f t="shared" si="73"/>
        <v>20.445780769984967</v>
      </c>
      <c r="EK27" s="61"/>
      <c r="EL27" s="42"/>
      <c r="EM27" s="42" t="s">
        <v>51</v>
      </c>
      <c r="EN27" s="43">
        <v>15686</v>
      </c>
      <c r="EO27" s="43">
        <v>15299</v>
      </c>
      <c r="EP27" s="44">
        <f t="shared" si="51"/>
        <v>-2.4671681754430703</v>
      </c>
      <c r="EQ27" s="45">
        <v>14860</v>
      </c>
      <c r="ER27" s="43">
        <v>15299</v>
      </c>
      <c r="ES27" s="44">
        <f t="shared" si="52"/>
        <v>2.9542395693135939</v>
      </c>
      <c r="ET27" s="61"/>
    </row>
    <row r="28" spans="1:150" x14ac:dyDescent="0.5">
      <c r="A28" s="226"/>
      <c r="B28" s="226" t="s">
        <v>52</v>
      </c>
      <c r="C28" s="227">
        <v>11104</v>
      </c>
      <c r="D28" s="227">
        <v>10120</v>
      </c>
      <c r="E28" s="225">
        <f t="shared" si="53"/>
        <v>-8.8616714697406334</v>
      </c>
      <c r="F28" s="227">
        <v>10896</v>
      </c>
      <c r="G28" s="373">
        <v>10120</v>
      </c>
      <c r="H28" s="225">
        <f t="shared" si="54"/>
        <v>-7.1218795888399411</v>
      </c>
      <c r="I28" s="226"/>
      <c r="J28" s="226" t="s">
        <v>52</v>
      </c>
      <c r="K28" s="227">
        <v>11509</v>
      </c>
      <c r="L28" s="227">
        <v>10896</v>
      </c>
      <c r="M28" s="225">
        <f t="shared" si="55"/>
        <v>-5.3262664002085325</v>
      </c>
      <c r="N28" s="227">
        <v>18673</v>
      </c>
      <c r="O28" s="227">
        <v>10896</v>
      </c>
      <c r="P28" s="225">
        <f t="shared" si="56"/>
        <v>-41.648369303272105</v>
      </c>
      <c r="Q28" s="226"/>
      <c r="R28" s="226" t="s">
        <v>52</v>
      </c>
      <c r="S28" s="227">
        <v>19114</v>
      </c>
      <c r="T28" s="227">
        <v>18673</v>
      </c>
      <c r="U28" s="225">
        <f t="shared" si="38"/>
        <v>-2.3072093753269853</v>
      </c>
      <c r="V28" s="227">
        <v>30086</v>
      </c>
      <c r="W28" s="227">
        <v>18673</v>
      </c>
      <c r="X28" s="225">
        <f t="shared" si="57"/>
        <v>-37.934587515788074</v>
      </c>
      <c r="Y28" s="226"/>
      <c r="Z28" s="226" t="s">
        <v>52</v>
      </c>
      <c r="AA28" s="227">
        <v>34749</v>
      </c>
      <c r="AB28" s="227">
        <v>30086</v>
      </c>
      <c r="AC28" s="225">
        <f t="shared" si="39"/>
        <v>-13.419091196868974</v>
      </c>
      <c r="AD28" s="227">
        <v>31178</v>
      </c>
      <c r="AE28" s="227">
        <v>30086</v>
      </c>
      <c r="AF28" s="225">
        <f t="shared" si="40"/>
        <v>-3.5024696901661425</v>
      </c>
      <c r="AG28" s="226"/>
      <c r="AH28" s="226" t="s">
        <v>52</v>
      </c>
      <c r="AI28" s="227">
        <v>27127</v>
      </c>
      <c r="AJ28" s="227">
        <v>31178</v>
      </c>
      <c r="AK28" s="225">
        <f t="shared" si="41"/>
        <v>14.933461127290155</v>
      </c>
      <c r="AL28" s="227">
        <v>36710</v>
      </c>
      <c r="AM28" s="227">
        <v>31178</v>
      </c>
      <c r="AN28" s="225">
        <f t="shared" si="42"/>
        <v>-15.069463361481885</v>
      </c>
      <c r="AO28" s="226"/>
      <c r="AP28" s="226" t="s">
        <v>52</v>
      </c>
      <c r="AQ28" s="227">
        <v>34293</v>
      </c>
      <c r="AR28" s="227">
        <v>36710</v>
      </c>
      <c r="AS28" s="225">
        <f t="shared" si="43"/>
        <v>7.0480856151401161</v>
      </c>
      <c r="AT28" s="227">
        <v>33061</v>
      </c>
      <c r="AU28" s="227">
        <v>36710</v>
      </c>
      <c r="AV28" s="225">
        <f t="shared" si="44"/>
        <v>11.037173709204199</v>
      </c>
      <c r="AW28" s="226"/>
      <c r="AX28" s="226" t="s">
        <v>52</v>
      </c>
      <c r="AY28" s="227">
        <v>29635</v>
      </c>
      <c r="AZ28" s="227">
        <v>33061</v>
      </c>
      <c r="BA28" s="225">
        <f t="shared" si="45"/>
        <v>11.560654631348068</v>
      </c>
      <c r="BB28" s="227">
        <v>38063</v>
      </c>
      <c r="BC28" s="227">
        <v>33061</v>
      </c>
      <c r="BD28" s="225">
        <f t="shared" si="46"/>
        <v>-13.141370885111526</v>
      </c>
      <c r="BE28" s="226"/>
      <c r="BF28" s="226" t="s">
        <v>52</v>
      </c>
      <c r="BG28" s="227">
        <v>37741</v>
      </c>
      <c r="BH28" s="227">
        <v>38063</v>
      </c>
      <c r="BI28" s="225">
        <f t="shared" si="47"/>
        <v>0.85318354044672906</v>
      </c>
      <c r="BJ28" s="227">
        <v>27277</v>
      </c>
      <c r="BK28" s="227">
        <v>38063</v>
      </c>
      <c r="BL28" s="225">
        <f t="shared" si="58"/>
        <v>39.542471679436886</v>
      </c>
      <c r="BM28" s="226"/>
      <c r="BN28" s="226" t="s">
        <v>52</v>
      </c>
      <c r="BO28" s="227">
        <v>33258</v>
      </c>
      <c r="BP28" s="227">
        <v>27277</v>
      </c>
      <c r="BQ28" s="225">
        <f t="shared" si="48"/>
        <v>-17.983643033255156</v>
      </c>
      <c r="BR28" s="227">
        <v>26547</v>
      </c>
      <c r="BS28" s="227">
        <v>27277</v>
      </c>
      <c r="BT28" s="225">
        <f t="shared" si="59"/>
        <v>2.7498399065807813</v>
      </c>
      <c r="BU28" s="226"/>
      <c r="BV28" s="226" t="s">
        <v>52</v>
      </c>
      <c r="BW28" s="227">
        <v>26454</v>
      </c>
      <c r="BX28" s="227">
        <v>26547</v>
      </c>
      <c r="BY28" s="225">
        <f t="shared" si="60"/>
        <v>0.35155364028124292</v>
      </c>
      <c r="BZ28" s="227">
        <v>25963</v>
      </c>
      <c r="CA28" s="227">
        <v>26547</v>
      </c>
      <c r="CB28" s="225">
        <f t="shared" si="61"/>
        <v>2.2493548511343064</v>
      </c>
      <c r="CC28" s="73"/>
      <c r="CD28" s="226" t="s">
        <v>52</v>
      </c>
      <c r="CE28" s="227">
        <v>25300</v>
      </c>
      <c r="CF28" s="227">
        <v>25963</v>
      </c>
      <c r="CG28" s="225">
        <f t="shared" si="62"/>
        <v>2.6205533596837944</v>
      </c>
      <c r="CH28" s="227">
        <v>30701</v>
      </c>
      <c r="CI28" s="227">
        <v>25963</v>
      </c>
      <c r="CJ28" s="225">
        <f t="shared" si="63"/>
        <v>-15.432722061170645</v>
      </c>
      <c r="CK28" s="73"/>
      <c r="CL28" s="227">
        <v>36068</v>
      </c>
      <c r="CM28" s="227">
        <v>35815</v>
      </c>
      <c r="CN28" s="225">
        <f t="shared" si="64"/>
        <v>-0.70145281135632698</v>
      </c>
      <c r="CO28" s="227">
        <v>51362</v>
      </c>
      <c r="CP28" s="227">
        <v>35815</v>
      </c>
      <c r="CQ28" s="225">
        <f t="shared" si="65"/>
        <v>-30.269459911997199</v>
      </c>
      <c r="CR28" s="73"/>
      <c r="CS28" s="152"/>
      <c r="CT28" s="152" t="s">
        <v>52</v>
      </c>
      <c r="CU28" s="148">
        <v>49569</v>
      </c>
      <c r="CV28" s="148">
        <v>51362</v>
      </c>
      <c r="CW28" s="151">
        <f t="shared" si="66"/>
        <v>3.6171800923964574</v>
      </c>
      <c r="CX28" s="148">
        <v>16513</v>
      </c>
      <c r="CY28" s="148">
        <v>51362</v>
      </c>
      <c r="CZ28" s="151">
        <f t="shared" si="67"/>
        <v>211.03978683461517</v>
      </c>
      <c r="DA28" s="73"/>
      <c r="DB28" s="152"/>
      <c r="DC28" s="152" t="s">
        <v>52</v>
      </c>
      <c r="DD28" s="148">
        <v>35714</v>
      </c>
      <c r="DE28" s="148">
        <v>16513</v>
      </c>
      <c r="DF28" s="151">
        <f t="shared" si="68"/>
        <v>-53.76323010584084</v>
      </c>
      <c r="DG28" s="148">
        <v>30119</v>
      </c>
      <c r="DH28" s="148">
        <v>16513</v>
      </c>
      <c r="DI28" s="151">
        <f t="shared" si="69"/>
        <v>-45.174142567814336</v>
      </c>
      <c r="DJ28" s="73"/>
      <c r="DK28" s="89"/>
      <c r="DL28" s="89" t="s">
        <v>52</v>
      </c>
      <c r="DM28" s="90">
        <v>28113</v>
      </c>
      <c r="DN28" s="90">
        <v>30119</v>
      </c>
      <c r="DO28" s="129">
        <f t="shared" si="70"/>
        <v>7.1354889197168561</v>
      </c>
      <c r="DP28" s="90">
        <v>23616</v>
      </c>
      <c r="DQ28" s="90">
        <v>30119</v>
      </c>
      <c r="DR28" s="129">
        <f t="shared" si="71"/>
        <v>27.536415989159892</v>
      </c>
      <c r="DS28" s="130"/>
      <c r="DT28" s="42"/>
      <c r="DU28" s="42" t="s">
        <v>52</v>
      </c>
      <c r="DV28" s="43">
        <v>20813</v>
      </c>
      <c r="DW28" s="43">
        <v>23616</v>
      </c>
      <c r="DX28" s="44">
        <f t="shared" si="49"/>
        <v>13.467544323259501</v>
      </c>
      <c r="DY28" s="43">
        <v>23652</v>
      </c>
      <c r="DZ28" s="43">
        <v>23616</v>
      </c>
      <c r="EA28" s="44">
        <f t="shared" si="50"/>
        <v>-0.15220700152207001</v>
      </c>
      <c r="EB28" s="61"/>
      <c r="EC28" s="89"/>
      <c r="ED28" s="89" t="s">
        <v>52</v>
      </c>
      <c r="EE28" s="90">
        <v>22741</v>
      </c>
      <c r="EF28" s="90">
        <v>23652</v>
      </c>
      <c r="EG28" s="91">
        <f t="shared" si="72"/>
        <v>4.0059803878457405</v>
      </c>
      <c r="EH28" s="92">
        <v>35266</v>
      </c>
      <c r="EI28" s="90">
        <v>23652</v>
      </c>
      <c r="EJ28" s="91">
        <f t="shared" si="73"/>
        <v>-32.932569613792325</v>
      </c>
      <c r="EK28" s="61"/>
      <c r="EL28" s="42"/>
      <c r="EM28" s="42" t="s">
        <v>52</v>
      </c>
      <c r="EN28" s="43">
        <v>30862</v>
      </c>
      <c r="EO28" s="43">
        <v>35266</v>
      </c>
      <c r="EP28" s="44">
        <f t="shared" si="51"/>
        <v>14.269976022292788</v>
      </c>
      <c r="EQ28" s="45">
        <v>31712</v>
      </c>
      <c r="ER28" s="43">
        <v>35266</v>
      </c>
      <c r="ES28" s="44">
        <f t="shared" si="52"/>
        <v>11.207114026236125</v>
      </c>
      <c r="ET28" s="61"/>
    </row>
    <row r="29" spans="1:150" x14ac:dyDescent="0.5">
      <c r="A29" s="226"/>
      <c r="B29" s="226" t="s">
        <v>53</v>
      </c>
      <c r="C29" s="227">
        <v>2223</v>
      </c>
      <c r="D29" s="227">
        <v>2220</v>
      </c>
      <c r="E29" s="225">
        <f t="shared" si="53"/>
        <v>-0.1349527665317139</v>
      </c>
      <c r="F29" s="227">
        <v>2589</v>
      </c>
      <c r="G29" s="373">
        <v>2220</v>
      </c>
      <c r="H29" s="225">
        <f t="shared" si="54"/>
        <v>-14.25260718424102</v>
      </c>
      <c r="I29" s="226"/>
      <c r="J29" s="226" t="s">
        <v>53</v>
      </c>
      <c r="K29" s="227">
        <v>2557</v>
      </c>
      <c r="L29" s="227">
        <v>2589</v>
      </c>
      <c r="M29" s="225">
        <f t="shared" si="55"/>
        <v>1.2514665623777863</v>
      </c>
      <c r="N29" s="227">
        <v>3305</v>
      </c>
      <c r="O29" s="227">
        <v>2589</v>
      </c>
      <c r="P29" s="225">
        <f t="shared" si="56"/>
        <v>-21.664145234493194</v>
      </c>
      <c r="Q29" s="226"/>
      <c r="R29" s="226" t="s">
        <v>53</v>
      </c>
      <c r="S29" s="227">
        <v>3738</v>
      </c>
      <c r="T29" s="227">
        <v>3305</v>
      </c>
      <c r="U29" s="225">
        <f t="shared" si="38"/>
        <v>-11.583734617442483</v>
      </c>
      <c r="V29" s="227">
        <v>5008</v>
      </c>
      <c r="W29" s="227">
        <v>3305</v>
      </c>
      <c r="X29" s="225">
        <f t="shared" si="57"/>
        <v>-34.005591054313101</v>
      </c>
      <c r="Y29" s="226"/>
      <c r="Z29" s="226" t="s">
        <v>53</v>
      </c>
      <c r="AA29" s="227">
        <v>3522</v>
      </c>
      <c r="AB29" s="227">
        <v>5008</v>
      </c>
      <c r="AC29" s="225">
        <f t="shared" si="39"/>
        <v>42.191936399772857</v>
      </c>
      <c r="AD29" s="227">
        <v>3561</v>
      </c>
      <c r="AE29" s="227">
        <v>5008</v>
      </c>
      <c r="AF29" s="225">
        <f t="shared" si="40"/>
        <v>40.634653187306938</v>
      </c>
      <c r="AG29" s="226"/>
      <c r="AH29" s="226" t="s">
        <v>53</v>
      </c>
      <c r="AI29" s="227">
        <v>3508</v>
      </c>
      <c r="AJ29" s="227">
        <v>3561</v>
      </c>
      <c r="AK29" s="225">
        <f t="shared" si="41"/>
        <v>1.5108323831242874</v>
      </c>
      <c r="AL29" s="227">
        <v>3482</v>
      </c>
      <c r="AM29" s="227">
        <v>3561</v>
      </c>
      <c r="AN29" s="225">
        <f t="shared" si="42"/>
        <v>2.2688110281447442</v>
      </c>
      <c r="AO29" s="226"/>
      <c r="AP29" s="226" t="s">
        <v>53</v>
      </c>
      <c r="AQ29" s="227">
        <v>3551</v>
      </c>
      <c r="AR29" s="227">
        <v>3482</v>
      </c>
      <c r="AS29" s="225">
        <f t="shared" si="43"/>
        <v>-1.9431146156012391</v>
      </c>
      <c r="AT29" s="227">
        <v>3998</v>
      </c>
      <c r="AU29" s="227">
        <v>3482</v>
      </c>
      <c r="AV29" s="225">
        <f t="shared" si="44"/>
        <v>-12.906453226613307</v>
      </c>
      <c r="AW29" s="226"/>
      <c r="AX29" s="226" t="s">
        <v>53</v>
      </c>
      <c r="AY29" s="227">
        <v>3824</v>
      </c>
      <c r="AZ29" s="227">
        <v>3998</v>
      </c>
      <c r="BA29" s="225">
        <f t="shared" si="45"/>
        <v>4.5502092050209209</v>
      </c>
      <c r="BB29" s="227">
        <v>4220</v>
      </c>
      <c r="BC29" s="227">
        <v>3998</v>
      </c>
      <c r="BD29" s="225">
        <f t="shared" si="46"/>
        <v>-5.2606635071090047</v>
      </c>
      <c r="BE29" s="226"/>
      <c r="BF29" s="226" t="s">
        <v>53</v>
      </c>
      <c r="BG29" s="227">
        <v>4424</v>
      </c>
      <c r="BH29" s="227">
        <v>4220</v>
      </c>
      <c r="BI29" s="225">
        <f t="shared" si="47"/>
        <v>-4.6112115732368899</v>
      </c>
      <c r="BJ29" s="227">
        <v>3662</v>
      </c>
      <c r="BK29" s="227">
        <v>4220</v>
      </c>
      <c r="BL29" s="225">
        <f t="shared" si="58"/>
        <v>15.237575095576188</v>
      </c>
      <c r="BM29" s="226"/>
      <c r="BN29" s="226" t="s">
        <v>53</v>
      </c>
      <c r="BO29" s="227">
        <v>5572</v>
      </c>
      <c r="BP29" s="227">
        <v>3662</v>
      </c>
      <c r="BQ29" s="225">
        <f t="shared" si="48"/>
        <v>-34.278535534816939</v>
      </c>
      <c r="BR29" s="227">
        <v>3985</v>
      </c>
      <c r="BS29" s="227">
        <v>3662</v>
      </c>
      <c r="BT29" s="225">
        <f t="shared" si="59"/>
        <v>-8.1053952321204523</v>
      </c>
      <c r="BU29" s="226"/>
      <c r="BV29" s="226" t="s">
        <v>53</v>
      </c>
      <c r="BW29" s="227">
        <v>3818</v>
      </c>
      <c r="BX29" s="227">
        <v>3985</v>
      </c>
      <c r="BY29" s="225">
        <f t="shared" si="60"/>
        <v>4.3740178103719227</v>
      </c>
      <c r="BZ29" s="227">
        <v>3621</v>
      </c>
      <c r="CA29" s="227">
        <v>3985</v>
      </c>
      <c r="CB29" s="225">
        <f t="shared" si="61"/>
        <v>10.052471692902513</v>
      </c>
      <c r="CC29" s="73"/>
      <c r="CD29" s="226" t="s">
        <v>53</v>
      </c>
      <c r="CE29" s="227">
        <v>3586</v>
      </c>
      <c r="CF29" s="227">
        <v>3621</v>
      </c>
      <c r="CG29" s="225">
        <f t="shared" si="62"/>
        <v>0.97601784718349127</v>
      </c>
      <c r="CH29" s="227">
        <v>4367</v>
      </c>
      <c r="CI29" s="227">
        <v>3621</v>
      </c>
      <c r="CJ29" s="225">
        <f t="shared" si="63"/>
        <v>-17.082665445385846</v>
      </c>
      <c r="CK29" s="73"/>
      <c r="CL29" s="227">
        <v>6007</v>
      </c>
      <c r="CM29" s="227">
        <v>5599</v>
      </c>
      <c r="CN29" s="225">
        <f t="shared" si="64"/>
        <v>-6.7920759114366565</v>
      </c>
      <c r="CO29" s="227">
        <v>6225</v>
      </c>
      <c r="CP29" s="227">
        <v>5599</v>
      </c>
      <c r="CQ29" s="225">
        <f t="shared" si="65"/>
        <v>-10.056224899598394</v>
      </c>
      <c r="CR29" s="73"/>
      <c r="CS29" s="152"/>
      <c r="CT29" s="152" t="s">
        <v>53</v>
      </c>
      <c r="CU29" s="148">
        <v>6241</v>
      </c>
      <c r="CV29" s="148">
        <v>6225</v>
      </c>
      <c r="CW29" s="151">
        <f t="shared" si="66"/>
        <v>-0.25636917160711425</v>
      </c>
      <c r="CX29" s="148">
        <v>3063</v>
      </c>
      <c r="CY29" s="148">
        <v>6225</v>
      </c>
      <c r="CZ29" s="151">
        <f t="shared" si="67"/>
        <v>103.23212536728697</v>
      </c>
      <c r="DA29" s="73"/>
      <c r="DB29" s="152"/>
      <c r="DC29" s="152" t="s">
        <v>53</v>
      </c>
      <c r="DD29" s="148">
        <v>4704</v>
      </c>
      <c r="DE29" s="148">
        <v>3063</v>
      </c>
      <c r="DF29" s="151">
        <f t="shared" si="68"/>
        <v>-34.885204081632651</v>
      </c>
      <c r="DG29" s="148">
        <v>4552</v>
      </c>
      <c r="DH29" s="148">
        <v>3063</v>
      </c>
      <c r="DI29" s="151">
        <f t="shared" si="69"/>
        <v>-32.710896309314585</v>
      </c>
      <c r="DJ29" s="73"/>
      <c r="DK29" s="89"/>
      <c r="DL29" s="89" t="s">
        <v>53</v>
      </c>
      <c r="DM29" s="90">
        <v>4304</v>
      </c>
      <c r="DN29" s="90">
        <v>4552</v>
      </c>
      <c r="DO29" s="129">
        <f t="shared" si="70"/>
        <v>5.7620817843866172</v>
      </c>
      <c r="DP29" s="90">
        <v>3356</v>
      </c>
      <c r="DQ29" s="90">
        <v>4552</v>
      </c>
      <c r="DR29" s="129">
        <f t="shared" si="71"/>
        <v>35.637663885578071</v>
      </c>
      <c r="DS29" s="130"/>
      <c r="DT29" s="42"/>
      <c r="DU29" s="42" t="s">
        <v>53</v>
      </c>
      <c r="DV29" s="43">
        <v>3038</v>
      </c>
      <c r="DW29" s="43">
        <v>3356</v>
      </c>
      <c r="DX29" s="44">
        <f t="shared" si="49"/>
        <v>10.467412771560237</v>
      </c>
      <c r="DY29" s="43">
        <v>3599</v>
      </c>
      <c r="DZ29" s="43">
        <v>3356</v>
      </c>
      <c r="EA29" s="44">
        <f t="shared" si="50"/>
        <v>-6.7518755209780501</v>
      </c>
      <c r="EB29" s="61"/>
      <c r="EC29" s="89"/>
      <c r="ED29" s="89" t="s">
        <v>53</v>
      </c>
      <c r="EE29" s="90">
        <v>3547</v>
      </c>
      <c r="EF29" s="90">
        <v>3599</v>
      </c>
      <c r="EG29" s="91">
        <f t="shared" si="72"/>
        <v>1.4660276289822385</v>
      </c>
      <c r="EH29" s="92">
        <v>4196</v>
      </c>
      <c r="EI29" s="90">
        <v>3599</v>
      </c>
      <c r="EJ29" s="91">
        <f t="shared" si="73"/>
        <v>-14.227836034318397</v>
      </c>
      <c r="EK29" s="61"/>
      <c r="EL29" s="42"/>
      <c r="EM29" s="42" t="s">
        <v>53</v>
      </c>
      <c r="EN29" s="43">
        <v>3361</v>
      </c>
      <c r="EO29" s="43">
        <v>4196</v>
      </c>
      <c r="EP29" s="44">
        <f t="shared" si="51"/>
        <v>24.843796489140139</v>
      </c>
      <c r="EQ29" s="45">
        <v>2847</v>
      </c>
      <c r="ER29" s="43">
        <v>4196</v>
      </c>
      <c r="ES29" s="44">
        <f t="shared" si="52"/>
        <v>47.383210396909028</v>
      </c>
      <c r="ET29" s="61"/>
    </row>
    <row r="30" spans="1:150" x14ac:dyDescent="0.5">
      <c r="A30" s="226"/>
      <c r="B30" s="226" t="s">
        <v>54</v>
      </c>
      <c r="C30" s="227">
        <v>15301</v>
      </c>
      <c r="D30" s="227">
        <v>14228</v>
      </c>
      <c r="E30" s="225">
        <f t="shared" si="53"/>
        <v>-7.0126135546696293</v>
      </c>
      <c r="F30" s="227">
        <v>8759</v>
      </c>
      <c r="G30" s="373">
        <v>14228</v>
      </c>
      <c r="H30" s="225">
        <f t="shared" si="54"/>
        <v>62.438634547322756</v>
      </c>
      <c r="I30" s="226"/>
      <c r="J30" s="226" t="s">
        <v>54</v>
      </c>
      <c r="K30" s="227">
        <v>9314</v>
      </c>
      <c r="L30" s="227">
        <v>8759</v>
      </c>
      <c r="M30" s="225">
        <f t="shared" si="55"/>
        <v>-5.9587717414644619</v>
      </c>
      <c r="N30" s="227">
        <v>14855</v>
      </c>
      <c r="O30" s="227">
        <v>8759</v>
      </c>
      <c r="P30" s="225">
        <f t="shared" si="56"/>
        <v>-41.036687983843819</v>
      </c>
      <c r="Q30" s="226"/>
      <c r="R30" s="226" t="s">
        <v>54</v>
      </c>
      <c r="S30" s="227">
        <v>13809</v>
      </c>
      <c r="T30" s="227">
        <v>14855</v>
      </c>
      <c r="U30" s="225">
        <f t="shared" si="38"/>
        <v>7.574770077485697</v>
      </c>
      <c r="V30" s="227">
        <v>10056</v>
      </c>
      <c r="W30" s="227">
        <v>14855</v>
      </c>
      <c r="X30" s="225">
        <f t="shared" si="57"/>
        <v>47.722752585521086</v>
      </c>
      <c r="Y30" s="226"/>
      <c r="Z30" s="226" t="s">
        <v>54</v>
      </c>
      <c r="AA30" s="227">
        <v>12805</v>
      </c>
      <c r="AB30" s="227">
        <v>10056</v>
      </c>
      <c r="AC30" s="225">
        <f t="shared" si="39"/>
        <v>-21.468176493557202</v>
      </c>
      <c r="AD30" s="227">
        <v>9773</v>
      </c>
      <c r="AE30" s="227">
        <v>10056</v>
      </c>
      <c r="AF30" s="225">
        <f t="shared" si="40"/>
        <v>2.8957331423309118</v>
      </c>
      <c r="AG30" s="226"/>
      <c r="AH30" s="226" t="s">
        <v>54</v>
      </c>
      <c r="AI30" s="227">
        <v>8232</v>
      </c>
      <c r="AJ30" s="227">
        <v>9773</v>
      </c>
      <c r="AK30" s="225">
        <f t="shared" si="41"/>
        <v>18.719630709426628</v>
      </c>
      <c r="AL30" s="227">
        <v>11462</v>
      </c>
      <c r="AM30" s="227">
        <v>9773</v>
      </c>
      <c r="AN30" s="225">
        <f t="shared" si="42"/>
        <v>-14.735648228930378</v>
      </c>
      <c r="AO30" s="226"/>
      <c r="AP30" s="226" t="s">
        <v>54</v>
      </c>
      <c r="AQ30" s="227">
        <v>10854</v>
      </c>
      <c r="AR30" s="227">
        <v>11462</v>
      </c>
      <c r="AS30" s="225">
        <f t="shared" si="43"/>
        <v>5.6016215220195322</v>
      </c>
      <c r="AT30" s="227">
        <v>9735</v>
      </c>
      <c r="AU30" s="227">
        <v>11462</v>
      </c>
      <c r="AV30" s="225">
        <f t="shared" si="44"/>
        <v>17.740112994350284</v>
      </c>
      <c r="AW30" s="226"/>
      <c r="AX30" s="226" t="s">
        <v>54</v>
      </c>
      <c r="AY30" s="227">
        <v>9459</v>
      </c>
      <c r="AZ30" s="227">
        <v>9735</v>
      </c>
      <c r="BA30" s="225">
        <f t="shared" si="45"/>
        <v>2.9178560101490647</v>
      </c>
      <c r="BB30" s="227">
        <v>11843</v>
      </c>
      <c r="BC30" s="227">
        <v>9735</v>
      </c>
      <c r="BD30" s="225">
        <f t="shared" si="46"/>
        <v>-17.799544034450733</v>
      </c>
      <c r="BE30" s="226"/>
      <c r="BF30" s="226" t="s">
        <v>54</v>
      </c>
      <c r="BG30" s="227">
        <v>12455</v>
      </c>
      <c r="BH30" s="227">
        <v>11843</v>
      </c>
      <c r="BI30" s="225">
        <f t="shared" si="47"/>
        <v>-4.9136892814130873</v>
      </c>
      <c r="BJ30" s="227">
        <v>8873</v>
      </c>
      <c r="BK30" s="227">
        <v>11843</v>
      </c>
      <c r="BL30" s="225">
        <f t="shared" si="58"/>
        <v>33.47233179308013</v>
      </c>
      <c r="BM30" s="226"/>
      <c r="BN30" s="226" t="s">
        <v>54</v>
      </c>
      <c r="BO30" s="227">
        <v>9288</v>
      </c>
      <c r="BP30" s="227">
        <v>8873</v>
      </c>
      <c r="BQ30" s="225">
        <f t="shared" si="48"/>
        <v>-4.4681309216192933</v>
      </c>
      <c r="BR30" s="227">
        <v>6985</v>
      </c>
      <c r="BS30" s="227">
        <v>8873</v>
      </c>
      <c r="BT30" s="225">
        <f t="shared" si="59"/>
        <v>27.029348604151753</v>
      </c>
      <c r="BU30" s="226"/>
      <c r="BV30" s="226" t="s">
        <v>54</v>
      </c>
      <c r="BW30" s="227">
        <v>7728</v>
      </c>
      <c r="BX30" s="227">
        <v>6985</v>
      </c>
      <c r="BY30" s="225">
        <f t="shared" si="60"/>
        <v>-9.6143892339544514</v>
      </c>
      <c r="BZ30" s="227">
        <v>14053</v>
      </c>
      <c r="CA30" s="227">
        <v>6985</v>
      </c>
      <c r="CB30" s="225">
        <f t="shared" si="61"/>
        <v>-50.295310609834196</v>
      </c>
      <c r="CC30" s="73"/>
      <c r="CD30" s="226" t="s">
        <v>54</v>
      </c>
      <c r="CE30" s="227">
        <v>10402</v>
      </c>
      <c r="CF30" s="227">
        <v>14053</v>
      </c>
      <c r="CG30" s="225">
        <f t="shared" si="62"/>
        <v>35.09901941934244</v>
      </c>
      <c r="CH30" s="227">
        <v>5623</v>
      </c>
      <c r="CI30" s="227">
        <v>14053</v>
      </c>
      <c r="CJ30" s="225">
        <f t="shared" si="63"/>
        <v>149.91997154543836</v>
      </c>
      <c r="CK30" s="73"/>
      <c r="CL30" s="227">
        <v>5566</v>
      </c>
      <c r="CM30" s="227">
        <v>5360</v>
      </c>
      <c r="CN30" s="225">
        <f t="shared" si="64"/>
        <v>-3.7010420409629896</v>
      </c>
      <c r="CO30" s="227">
        <v>9559</v>
      </c>
      <c r="CP30" s="227">
        <v>5360</v>
      </c>
      <c r="CQ30" s="225">
        <f t="shared" si="65"/>
        <v>-43.927189036510093</v>
      </c>
      <c r="CR30" s="73"/>
      <c r="CS30" s="152"/>
      <c r="CT30" s="152" t="s">
        <v>54</v>
      </c>
      <c r="CU30" s="148">
        <v>8782</v>
      </c>
      <c r="CV30" s="148">
        <v>9559</v>
      </c>
      <c r="CW30" s="151">
        <f t="shared" si="66"/>
        <v>8.8476429059439763</v>
      </c>
      <c r="CX30" s="148">
        <v>3445</v>
      </c>
      <c r="CY30" s="148">
        <v>9559</v>
      </c>
      <c r="CZ30" s="151">
        <f t="shared" si="67"/>
        <v>177.47460087082729</v>
      </c>
      <c r="DA30" s="73"/>
      <c r="DB30" s="152"/>
      <c r="DC30" s="152" t="s">
        <v>54</v>
      </c>
      <c r="DD30" s="148">
        <v>5909</v>
      </c>
      <c r="DE30" s="148">
        <v>3445</v>
      </c>
      <c r="DF30" s="151">
        <f t="shared" si="68"/>
        <v>-41.699103063124049</v>
      </c>
      <c r="DG30" s="148">
        <v>4880</v>
      </c>
      <c r="DH30" s="148">
        <v>3445</v>
      </c>
      <c r="DI30" s="151">
        <f t="shared" si="69"/>
        <v>-29.405737704918032</v>
      </c>
      <c r="DJ30" s="73"/>
      <c r="DK30" s="89"/>
      <c r="DL30" s="89" t="s">
        <v>54</v>
      </c>
      <c r="DM30" s="90">
        <v>4443</v>
      </c>
      <c r="DN30" s="90">
        <v>4880</v>
      </c>
      <c r="DO30" s="129">
        <f t="shared" si="70"/>
        <v>9.835696601395453</v>
      </c>
      <c r="DP30" s="90">
        <v>3552</v>
      </c>
      <c r="DQ30" s="90">
        <v>4880</v>
      </c>
      <c r="DR30" s="129">
        <f t="shared" si="71"/>
        <v>37.387387387387392</v>
      </c>
      <c r="DS30" s="130"/>
      <c r="DT30" s="42"/>
      <c r="DU30" s="42" t="s">
        <v>54</v>
      </c>
      <c r="DV30" s="43">
        <v>3372</v>
      </c>
      <c r="DW30" s="43">
        <v>3552</v>
      </c>
      <c r="DX30" s="44">
        <f t="shared" si="49"/>
        <v>5.3380782918149468</v>
      </c>
      <c r="DY30" s="43">
        <v>3264</v>
      </c>
      <c r="DZ30" s="43">
        <v>3552</v>
      </c>
      <c r="EA30" s="44">
        <f t="shared" si="50"/>
        <v>8.8235294117647065</v>
      </c>
      <c r="EB30" s="61"/>
      <c r="EC30" s="89"/>
      <c r="ED30" s="89" t="s">
        <v>54</v>
      </c>
      <c r="EE30" s="90">
        <v>2906</v>
      </c>
      <c r="EF30" s="90">
        <v>3264</v>
      </c>
      <c r="EG30" s="91">
        <f t="shared" si="72"/>
        <v>12.319339298004129</v>
      </c>
      <c r="EH30" s="92">
        <v>3099</v>
      </c>
      <c r="EI30" s="90">
        <v>3264</v>
      </c>
      <c r="EJ30" s="91">
        <f t="shared" si="73"/>
        <v>5.3242981606969986</v>
      </c>
      <c r="EK30" s="61"/>
      <c r="EL30" s="42"/>
      <c r="EM30" s="42" t="s">
        <v>54</v>
      </c>
      <c r="EN30" s="43">
        <v>3582</v>
      </c>
      <c r="EO30" s="43">
        <v>3099</v>
      </c>
      <c r="EP30" s="44">
        <f t="shared" si="51"/>
        <v>-13.484087102177556</v>
      </c>
      <c r="EQ30" s="45">
        <v>1971</v>
      </c>
      <c r="ER30" s="43">
        <v>3099</v>
      </c>
      <c r="ES30" s="44">
        <f t="shared" si="52"/>
        <v>57.229832572298321</v>
      </c>
      <c r="ET30" s="61"/>
    </row>
    <row r="31" spans="1:150" x14ac:dyDescent="0.5">
      <c r="A31" s="224" t="s">
        <v>2</v>
      </c>
      <c r="B31" s="224" t="s">
        <v>55</v>
      </c>
      <c r="C31" s="238">
        <v>86056</v>
      </c>
      <c r="D31" s="238">
        <v>83064</v>
      </c>
      <c r="E31" s="225">
        <f t="shared" si="53"/>
        <v>-3.4768058008738492</v>
      </c>
      <c r="F31" s="238">
        <v>84334</v>
      </c>
      <c r="G31" s="378">
        <v>83064</v>
      </c>
      <c r="H31" s="225">
        <f t="shared" si="54"/>
        <v>-1.5059169492731284</v>
      </c>
      <c r="I31" s="224" t="s">
        <v>2</v>
      </c>
      <c r="J31" s="224" t="s">
        <v>55</v>
      </c>
      <c r="K31" s="238">
        <v>80254</v>
      </c>
      <c r="L31" s="238">
        <v>84334</v>
      </c>
      <c r="M31" s="225">
        <f t="shared" si="55"/>
        <v>5.0838587484735962</v>
      </c>
      <c r="N31" s="238">
        <v>105726</v>
      </c>
      <c r="O31" s="238">
        <v>84334</v>
      </c>
      <c r="P31" s="225">
        <f t="shared" si="56"/>
        <v>-20.233433592493803</v>
      </c>
      <c r="Q31" s="224" t="s">
        <v>2</v>
      </c>
      <c r="R31" s="224" t="s">
        <v>55</v>
      </c>
      <c r="S31" s="238">
        <v>97476</v>
      </c>
      <c r="T31" s="238">
        <v>105726</v>
      </c>
      <c r="U31" s="225">
        <f t="shared" si="38"/>
        <v>8.4636218146005167</v>
      </c>
      <c r="V31" s="238">
        <v>94228</v>
      </c>
      <c r="W31" s="238">
        <v>105726</v>
      </c>
      <c r="X31" s="225">
        <f t="shared" si="57"/>
        <v>12.202317782400137</v>
      </c>
      <c r="Y31" s="224" t="s">
        <v>2</v>
      </c>
      <c r="Z31" s="224" t="s">
        <v>55</v>
      </c>
      <c r="AA31" s="238">
        <v>100389</v>
      </c>
      <c r="AB31" s="238">
        <v>94228</v>
      </c>
      <c r="AC31" s="225">
        <f t="shared" si="39"/>
        <v>-6.1371265776130848</v>
      </c>
      <c r="AD31" s="238">
        <v>81577</v>
      </c>
      <c r="AE31" s="238">
        <v>94228</v>
      </c>
      <c r="AF31" s="225">
        <f t="shared" si="40"/>
        <v>15.50804761145911</v>
      </c>
      <c r="AG31" s="224" t="s">
        <v>2</v>
      </c>
      <c r="AH31" s="224" t="s">
        <v>55</v>
      </c>
      <c r="AI31" s="238">
        <v>73831</v>
      </c>
      <c r="AJ31" s="238">
        <v>81577</v>
      </c>
      <c r="AK31" s="225">
        <f t="shared" si="41"/>
        <v>10.491527948964526</v>
      </c>
      <c r="AL31" s="238">
        <v>71372</v>
      </c>
      <c r="AM31" s="238">
        <v>81577</v>
      </c>
      <c r="AN31" s="225">
        <f t="shared" si="42"/>
        <v>14.298324272824075</v>
      </c>
      <c r="AO31" s="224" t="s">
        <v>2</v>
      </c>
      <c r="AP31" s="224" t="s">
        <v>55</v>
      </c>
      <c r="AQ31" s="238">
        <v>63941</v>
      </c>
      <c r="AR31" s="238">
        <v>71372</v>
      </c>
      <c r="AS31" s="225">
        <f t="shared" si="43"/>
        <v>11.621651209708951</v>
      </c>
      <c r="AT31" s="238">
        <v>85552</v>
      </c>
      <c r="AU31" s="238">
        <v>71372</v>
      </c>
      <c r="AV31" s="225">
        <f t="shared" si="44"/>
        <v>-16.574714793342061</v>
      </c>
      <c r="AW31" s="224" t="s">
        <v>2</v>
      </c>
      <c r="AX31" s="224" t="s">
        <v>55</v>
      </c>
      <c r="AY31" s="238">
        <v>97540</v>
      </c>
      <c r="AZ31" s="238">
        <v>85552</v>
      </c>
      <c r="BA31" s="225">
        <f t="shared" si="45"/>
        <v>-12.290342423621079</v>
      </c>
      <c r="BB31" s="238">
        <v>93338</v>
      </c>
      <c r="BC31" s="238">
        <v>85552</v>
      </c>
      <c r="BD31" s="225">
        <f t="shared" si="46"/>
        <v>-8.3417257708543158</v>
      </c>
      <c r="BE31" s="224" t="s">
        <v>2</v>
      </c>
      <c r="BF31" s="224" t="s">
        <v>55</v>
      </c>
      <c r="BG31" s="238">
        <v>104163</v>
      </c>
      <c r="BH31" s="238">
        <v>93338</v>
      </c>
      <c r="BI31" s="225">
        <f t="shared" si="47"/>
        <v>-10.392365811276557</v>
      </c>
      <c r="BJ31" s="238">
        <v>90838</v>
      </c>
      <c r="BK31" s="238">
        <v>93338</v>
      </c>
      <c r="BL31" s="225">
        <f t="shared" si="58"/>
        <v>2.7521521830071114</v>
      </c>
      <c r="BM31" s="224" t="s">
        <v>2</v>
      </c>
      <c r="BN31" s="224" t="s">
        <v>55</v>
      </c>
      <c r="BO31" s="238">
        <v>120654</v>
      </c>
      <c r="BP31" s="238">
        <v>90838</v>
      </c>
      <c r="BQ31" s="225">
        <f t="shared" si="48"/>
        <v>-24.711986341107632</v>
      </c>
      <c r="BR31" s="238">
        <v>103192</v>
      </c>
      <c r="BS31" s="238">
        <v>90838</v>
      </c>
      <c r="BT31" s="225">
        <f t="shared" si="59"/>
        <v>-11.971858283587874</v>
      </c>
      <c r="BU31" s="224" t="s">
        <v>2</v>
      </c>
      <c r="BV31" s="224" t="s">
        <v>55</v>
      </c>
      <c r="BW31" s="238">
        <v>112565</v>
      </c>
      <c r="BX31" s="238">
        <v>103192</v>
      </c>
      <c r="BY31" s="225">
        <f t="shared" si="60"/>
        <v>-8.326744547594723</v>
      </c>
      <c r="BZ31" s="238">
        <v>111229</v>
      </c>
      <c r="CA31" s="238">
        <v>103192</v>
      </c>
      <c r="CB31" s="225">
        <f t="shared" si="61"/>
        <v>-7.225633602747485</v>
      </c>
      <c r="CC31" s="73"/>
      <c r="CD31" s="224" t="s">
        <v>55</v>
      </c>
      <c r="CE31" s="238">
        <v>124952</v>
      </c>
      <c r="CF31" s="238">
        <v>111229</v>
      </c>
      <c r="CG31" s="225">
        <f t="shared" si="62"/>
        <v>-10.982617325052821</v>
      </c>
      <c r="CH31" s="238">
        <v>93413</v>
      </c>
      <c r="CI31" s="238">
        <v>111229</v>
      </c>
      <c r="CJ31" s="225">
        <f t="shared" si="63"/>
        <v>19.072291865157954</v>
      </c>
      <c r="CK31" s="73"/>
      <c r="CL31" s="238">
        <v>118253</v>
      </c>
      <c r="CM31" s="238">
        <v>96844</v>
      </c>
      <c r="CN31" s="225">
        <f t="shared" si="64"/>
        <v>-18.104403270952957</v>
      </c>
      <c r="CO31" s="238">
        <v>98284</v>
      </c>
      <c r="CP31" s="238">
        <v>96844</v>
      </c>
      <c r="CQ31" s="225">
        <f t="shared" si="65"/>
        <v>-1.4651418338691955</v>
      </c>
      <c r="CR31" s="73"/>
      <c r="CS31" s="150" t="s">
        <v>2</v>
      </c>
      <c r="CT31" s="150" t="s">
        <v>55</v>
      </c>
      <c r="CU31" s="147">
        <v>101279</v>
      </c>
      <c r="CV31" s="147">
        <v>98284</v>
      </c>
      <c r="CW31" s="151">
        <f t="shared" si="66"/>
        <v>-2.9571776972521451</v>
      </c>
      <c r="CX31" s="147">
        <v>54691</v>
      </c>
      <c r="CY31" s="147">
        <v>98284</v>
      </c>
      <c r="CZ31" s="151">
        <f t="shared" si="67"/>
        <v>79.707812985683205</v>
      </c>
      <c r="DA31" s="73"/>
      <c r="DB31" s="150" t="s">
        <v>2</v>
      </c>
      <c r="DC31" s="150" t="s">
        <v>55</v>
      </c>
      <c r="DD31" s="147">
        <v>90654</v>
      </c>
      <c r="DE31" s="147">
        <v>54691</v>
      </c>
      <c r="DF31" s="151">
        <f t="shared" si="68"/>
        <v>-39.670615747788297</v>
      </c>
      <c r="DG31" s="147">
        <v>80359</v>
      </c>
      <c r="DH31" s="147">
        <v>54691</v>
      </c>
      <c r="DI31" s="151">
        <f t="shared" si="69"/>
        <v>-31.941661792705233</v>
      </c>
      <c r="DJ31" s="73"/>
      <c r="DK31" s="86" t="s">
        <v>2</v>
      </c>
      <c r="DL31" s="86" t="s">
        <v>55</v>
      </c>
      <c r="DM31" s="87">
        <v>81320</v>
      </c>
      <c r="DN31" s="87">
        <v>80569</v>
      </c>
      <c r="DO31" s="126">
        <f t="shared" si="70"/>
        <v>-0.92351205115592716</v>
      </c>
      <c r="DP31" s="87">
        <v>59502</v>
      </c>
      <c r="DQ31" s="87">
        <v>80569</v>
      </c>
      <c r="DR31" s="126">
        <f t="shared" si="71"/>
        <v>35.405532587139923</v>
      </c>
      <c r="DS31" s="127"/>
      <c r="DT31" s="63" t="s">
        <v>2</v>
      </c>
      <c r="DU31" s="63" t="s">
        <v>55</v>
      </c>
      <c r="DV31" s="68">
        <v>49351</v>
      </c>
      <c r="DW31" s="68">
        <v>59502</v>
      </c>
      <c r="DX31" s="65">
        <f t="shared" si="49"/>
        <v>20.56898543089299</v>
      </c>
      <c r="DY31" s="68">
        <v>67531</v>
      </c>
      <c r="DZ31" s="68">
        <v>59502</v>
      </c>
      <c r="EA31" s="65">
        <f>((DZ31-DY31)/DY31)*100</f>
        <v>-11.889354518665501</v>
      </c>
      <c r="EB31" s="73"/>
      <c r="EC31" s="86" t="s">
        <v>2</v>
      </c>
      <c r="ED31" s="86" t="s">
        <v>55</v>
      </c>
      <c r="EE31" s="87">
        <v>74738</v>
      </c>
      <c r="EF31" s="87">
        <v>67531</v>
      </c>
      <c r="EG31" s="88">
        <f t="shared" si="72"/>
        <v>-9.6430196151890613</v>
      </c>
      <c r="EH31" s="87">
        <v>58490</v>
      </c>
      <c r="EI31" s="87">
        <v>67531</v>
      </c>
      <c r="EJ31" s="88">
        <f t="shared" si="73"/>
        <v>15.457343135578732</v>
      </c>
      <c r="EK31" s="73"/>
      <c r="EL31" s="63" t="s">
        <v>2</v>
      </c>
      <c r="EM31" s="63" t="s">
        <v>55</v>
      </c>
      <c r="EN31" s="68">
        <v>64563</v>
      </c>
      <c r="EO31" s="68">
        <v>58490</v>
      </c>
      <c r="EP31" s="65">
        <f t="shared" si="51"/>
        <v>-9.4063163111999142</v>
      </c>
      <c r="EQ31" s="68">
        <v>41776</v>
      </c>
      <c r="ER31" s="68">
        <v>58490</v>
      </c>
      <c r="ES31" s="65">
        <f t="shared" si="52"/>
        <v>40.008617387973956</v>
      </c>
      <c r="ET31" s="73"/>
    </row>
    <row r="32" spans="1:150" x14ac:dyDescent="0.5">
      <c r="A32" s="226"/>
      <c r="B32" s="226" t="s">
        <v>56</v>
      </c>
      <c r="C32" s="228">
        <v>55776.04127989</v>
      </c>
      <c r="D32" s="228">
        <v>53209.847017790002</v>
      </c>
      <c r="E32" s="225">
        <f>((D32-C32)/C32)*100</f>
        <v>-4.6008899219336259</v>
      </c>
      <c r="F32" s="228">
        <v>55728.193792420003</v>
      </c>
      <c r="G32" s="379">
        <v>53209.847017790002</v>
      </c>
      <c r="H32" s="225">
        <f t="shared" si="54"/>
        <v>-4.5189815123212194</v>
      </c>
      <c r="I32" s="226"/>
      <c r="J32" s="226" t="s">
        <v>56</v>
      </c>
      <c r="K32" s="228">
        <v>52855.989161615202</v>
      </c>
      <c r="L32" s="228">
        <v>55728.193792420003</v>
      </c>
      <c r="M32" s="225">
        <f>((L32-K32)/K32)*100</f>
        <v>5.4340192594307526</v>
      </c>
      <c r="N32" s="228">
        <v>72481.156025880002</v>
      </c>
      <c r="O32" s="228">
        <v>55728.193792420003</v>
      </c>
      <c r="P32" s="225">
        <f t="shared" si="56"/>
        <v>-23.113541714867537</v>
      </c>
      <c r="Q32" s="226"/>
      <c r="R32" s="226" t="s">
        <v>56</v>
      </c>
      <c r="S32" s="228">
        <v>62451.335218710039</v>
      </c>
      <c r="T32" s="228">
        <v>72481.156025879987</v>
      </c>
      <c r="U32" s="225">
        <f>((T32-S32)/S32)*100</f>
        <v>16.06021836369813</v>
      </c>
      <c r="V32" s="228">
        <v>61773.546803700068</v>
      </c>
      <c r="W32" s="228">
        <v>72481.156025880002</v>
      </c>
      <c r="X32" s="225">
        <f t="shared" si="57"/>
        <v>17.333648100546782</v>
      </c>
      <c r="Y32" s="226"/>
      <c r="Z32" s="226" t="s">
        <v>56</v>
      </c>
      <c r="AA32" s="228">
        <v>67505.674636270007</v>
      </c>
      <c r="AB32" s="228">
        <v>61773.546803700068</v>
      </c>
      <c r="AC32" s="225">
        <f>((AB32-AA32)/AA32)*100</f>
        <v>-8.4913273787062238</v>
      </c>
      <c r="AD32" s="228">
        <v>47767.737001339985</v>
      </c>
      <c r="AE32" s="228">
        <v>61773.546803700068</v>
      </c>
      <c r="AF32" s="225">
        <f t="shared" si="40"/>
        <v>29.320647536573048</v>
      </c>
      <c r="AG32" s="226"/>
      <c r="AH32" s="226" t="s">
        <v>56</v>
      </c>
      <c r="AI32" s="228">
        <v>44777.9</v>
      </c>
      <c r="AJ32" s="228">
        <v>47767.737001339985</v>
      </c>
      <c r="AK32" s="225">
        <f>((AJ32-AI32)/AI32)*100</f>
        <v>6.6770371128167767</v>
      </c>
      <c r="AL32" s="228">
        <v>40801.145999692199</v>
      </c>
      <c r="AM32" s="228">
        <v>47767.737001339985</v>
      </c>
      <c r="AN32" s="225">
        <f t="shared" si="42"/>
        <v>17.074498352816715</v>
      </c>
      <c r="AO32" s="226"/>
      <c r="AP32" s="226" t="s">
        <v>56</v>
      </c>
      <c r="AQ32" s="228">
        <v>36762.176140270407</v>
      </c>
      <c r="AR32" s="228">
        <v>40801.145999692199</v>
      </c>
      <c r="AS32" s="225">
        <f>((AR32-AQ32)/AQ32)*100</f>
        <v>10.986754005014902</v>
      </c>
      <c r="AT32" s="228">
        <v>46065.54</v>
      </c>
      <c r="AU32" s="228">
        <v>40801.145999692199</v>
      </c>
      <c r="AV32" s="225">
        <f t="shared" si="44"/>
        <v>-11.428052293119331</v>
      </c>
      <c r="AW32" s="226"/>
      <c r="AX32" s="226" t="s">
        <v>56</v>
      </c>
      <c r="AY32" s="228">
        <v>51707.21</v>
      </c>
      <c r="AZ32" s="228">
        <v>46065.54</v>
      </c>
      <c r="BA32" s="225">
        <f>((AZ32-AY32)/AY32)*100</f>
        <v>-10.910799480381939</v>
      </c>
      <c r="BB32" s="228">
        <v>48482.73</v>
      </c>
      <c r="BC32" s="228">
        <v>46065.54</v>
      </c>
      <c r="BD32" s="225">
        <f t="shared" si="46"/>
        <v>-4.9856722177154671</v>
      </c>
      <c r="BE32" s="226"/>
      <c r="BF32" s="226" t="s">
        <v>56</v>
      </c>
      <c r="BG32" s="228">
        <v>54403.22</v>
      </c>
      <c r="BH32" s="228">
        <v>48482.73</v>
      </c>
      <c r="BI32" s="225">
        <f t="shared" si="47"/>
        <v>-10.882609522009906</v>
      </c>
      <c r="BJ32" s="228">
        <v>49802.87</v>
      </c>
      <c r="BK32" s="228">
        <v>48482.73</v>
      </c>
      <c r="BL32" s="225">
        <f t="shared" si="58"/>
        <v>-2.6507307711382886</v>
      </c>
      <c r="BM32" s="226"/>
      <c r="BN32" s="226" t="s">
        <v>56</v>
      </c>
      <c r="BO32" s="228">
        <v>63669.120000000003</v>
      </c>
      <c r="BP32" s="228">
        <v>49802.87</v>
      </c>
      <c r="BQ32" s="225">
        <f t="shared" si="48"/>
        <v>-21.778611044097985</v>
      </c>
      <c r="BR32" s="228">
        <v>53934.64</v>
      </c>
      <c r="BS32" s="228">
        <v>49802.87</v>
      </c>
      <c r="BT32" s="225">
        <f t="shared" si="59"/>
        <v>-7.6606982080532973</v>
      </c>
      <c r="BU32" s="226"/>
      <c r="BV32" s="226" t="s">
        <v>56</v>
      </c>
      <c r="BW32" s="228">
        <v>58763.9</v>
      </c>
      <c r="BX32" s="228">
        <v>53934.64</v>
      </c>
      <c r="BY32" s="225">
        <f t="shared" si="60"/>
        <v>-8.2180726602557037</v>
      </c>
      <c r="BZ32" s="228">
        <v>59999.48</v>
      </c>
      <c r="CA32" s="228">
        <v>53934.64</v>
      </c>
      <c r="CB32" s="225">
        <f t="shared" si="61"/>
        <v>-10.108154270670351</v>
      </c>
      <c r="CC32" s="73"/>
      <c r="CD32" s="226" t="s">
        <v>56</v>
      </c>
      <c r="CE32" s="228">
        <v>64538.61</v>
      </c>
      <c r="CF32" s="228">
        <v>59999.48</v>
      </c>
      <c r="CG32" s="225">
        <f t="shared" si="62"/>
        <v>-7.0332007460340362</v>
      </c>
      <c r="CH32" s="228">
        <v>43973.43</v>
      </c>
      <c r="CI32" s="228">
        <v>59999.48</v>
      </c>
      <c r="CJ32" s="225">
        <f t="shared" si="63"/>
        <v>36.44484862791009</v>
      </c>
      <c r="CK32" s="73"/>
      <c r="CL32" s="228">
        <v>52346.879999999997</v>
      </c>
      <c r="CM32" s="228">
        <v>43333.77</v>
      </c>
      <c r="CN32" s="225">
        <f t="shared" si="64"/>
        <v>-17.218046233127936</v>
      </c>
      <c r="CO32" s="228">
        <v>47125.84</v>
      </c>
      <c r="CP32" s="228">
        <v>43333.77</v>
      </c>
      <c r="CQ32" s="225">
        <f t="shared" si="65"/>
        <v>-8.0466894595406675</v>
      </c>
      <c r="CR32" s="73"/>
      <c r="CS32" s="152"/>
      <c r="CT32" s="152" t="s">
        <v>56</v>
      </c>
      <c r="CU32" s="149">
        <v>48884.08</v>
      </c>
      <c r="CV32" s="149">
        <v>47125.84</v>
      </c>
      <c r="CW32" s="151">
        <f t="shared" si="66"/>
        <v>-3.5967537897818787</v>
      </c>
      <c r="CX32" s="149">
        <v>24359.03</v>
      </c>
      <c r="CY32" s="149">
        <v>47125.84</v>
      </c>
      <c r="CZ32" s="151">
        <f t="shared" si="67"/>
        <v>93.463532825403959</v>
      </c>
      <c r="DA32" s="73"/>
      <c r="DB32" s="152"/>
      <c r="DC32" s="152" t="s">
        <v>56</v>
      </c>
      <c r="DD32" s="149">
        <v>57138.73</v>
      </c>
      <c r="DE32" s="149">
        <v>24359.03</v>
      </c>
      <c r="DF32" s="151">
        <f t="shared" si="68"/>
        <v>-57.368618448467444</v>
      </c>
      <c r="DG32" s="149">
        <v>34717.160000000003</v>
      </c>
      <c r="DH32" s="149">
        <v>24359.03</v>
      </c>
      <c r="DI32" s="151">
        <f t="shared" si="69"/>
        <v>-29.83576421573655</v>
      </c>
      <c r="DJ32" s="73"/>
      <c r="DK32" s="89"/>
      <c r="DL32" s="89" t="s">
        <v>56</v>
      </c>
      <c r="DM32" s="93">
        <v>37015.199999999997</v>
      </c>
      <c r="DN32" s="93">
        <v>34717.160000000003</v>
      </c>
      <c r="DO32" s="129">
        <f t="shared" si="70"/>
        <v>-6.2083684540404853</v>
      </c>
      <c r="DP32" s="93">
        <v>28932.37</v>
      </c>
      <c r="DQ32" s="93">
        <v>34717.160000000003</v>
      </c>
      <c r="DR32" s="129">
        <f t="shared" si="71"/>
        <v>19.994179529710166</v>
      </c>
      <c r="DS32" s="130"/>
      <c r="DT32" s="42"/>
      <c r="DU32" s="42" t="s">
        <v>56</v>
      </c>
      <c r="DV32" s="66">
        <v>23923.51</v>
      </c>
      <c r="DW32" s="66">
        <v>28932.37</v>
      </c>
      <c r="DX32" s="44">
        <f t="shared" si="49"/>
        <v>20.936977893294088</v>
      </c>
      <c r="DY32" s="66">
        <v>29634.68</v>
      </c>
      <c r="DZ32" s="66">
        <v>28932.37</v>
      </c>
      <c r="EA32" s="44">
        <f t="shared" si="50"/>
        <v>-2.3698923018571532</v>
      </c>
      <c r="EB32" s="61"/>
      <c r="EC32" s="89"/>
      <c r="ED32" s="89" t="s">
        <v>56</v>
      </c>
      <c r="EE32" s="93">
        <v>34156.85</v>
      </c>
      <c r="EF32" s="93">
        <v>29634.68</v>
      </c>
      <c r="EG32" s="91">
        <f t="shared" si="72"/>
        <v>-13.239423424583938</v>
      </c>
      <c r="EH32" s="94">
        <v>27261.49</v>
      </c>
      <c r="EI32" s="93">
        <v>29634.68</v>
      </c>
      <c r="EJ32" s="91">
        <f>((EI32-EH32)/EH32)*100</f>
        <v>8.7052835336586458</v>
      </c>
      <c r="EK32" s="61"/>
      <c r="EL32" s="42"/>
      <c r="EM32" s="42" t="s">
        <v>56</v>
      </c>
      <c r="EN32" s="66">
        <v>28910.880000000001</v>
      </c>
      <c r="EO32" s="66">
        <v>27261.49</v>
      </c>
      <c r="EP32" s="44">
        <f t="shared" si="51"/>
        <v>-5.7050840375664782</v>
      </c>
      <c r="EQ32" s="67">
        <v>18867.7</v>
      </c>
      <c r="ER32" s="66">
        <v>27261.49</v>
      </c>
      <c r="ES32" s="44">
        <f t="shared" si="52"/>
        <v>44.487616402635197</v>
      </c>
      <c r="ET32" s="61"/>
    </row>
    <row r="33" spans="30:138" x14ac:dyDescent="0.5">
      <c r="AD33" s="97"/>
      <c r="AL33" s="97"/>
      <c r="AT33" s="97"/>
      <c r="DY33" s="97"/>
      <c r="EH33" s="97"/>
    </row>
  </sheetData>
  <phoneticPr fontId="10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scale="11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U33"/>
  <sheetViews>
    <sheetView view="pageBreakPreview" topLeftCell="A19" zoomScaleSheetLayoutView="100" workbookViewId="0">
      <selection activeCell="D15" sqref="D15"/>
    </sheetView>
  </sheetViews>
  <sheetFormatPr defaultRowHeight="21.75" x14ac:dyDescent="0.5"/>
  <cols>
    <col min="2" max="2" width="22.140625" customWidth="1"/>
    <col min="3" max="3" width="17.7109375" bestFit="1" customWidth="1"/>
    <col min="4" max="4" width="9.28515625" bestFit="1" customWidth="1"/>
    <col min="5" max="5" width="7.42578125" bestFit="1" customWidth="1"/>
    <col min="6" max="7" width="9.28515625" bestFit="1" customWidth="1"/>
    <col min="8" max="8" width="7.42578125" bestFit="1" customWidth="1"/>
    <col min="10" max="10" width="22.140625" customWidth="1"/>
    <col min="18" max="18" width="23.140625" customWidth="1"/>
    <col min="26" max="26" width="22.42578125" customWidth="1"/>
    <col min="34" max="34" width="21.42578125" customWidth="1"/>
    <col min="42" max="42" width="22.85546875" customWidth="1"/>
    <col min="50" max="50" width="25.5703125" customWidth="1"/>
    <col min="58" max="58" width="22" customWidth="1"/>
    <col min="66" max="66" width="23.85546875" customWidth="1"/>
    <col min="84" max="84" width="12.42578125" customWidth="1"/>
    <col min="86" max="86" width="10.28515625" bestFit="1" customWidth="1"/>
    <col min="88" max="88" width="11" bestFit="1" customWidth="1"/>
    <col min="89" max="89" width="11.28515625" customWidth="1"/>
    <col min="91" max="91" width="9.140625" customWidth="1"/>
    <col min="93" max="93" width="12.42578125" customWidth="1"/>
    <col min="100" max="100" width="9.140625" customWidth="1"/>
    <col min="102" max="102" width="12.42578125" customWidth="1"/>
    <col min="109" max="109" width="9.140625" customWidth="1"/>
    <col min="111" max="111" width="12.42578125" customWidth="1"/>
    <col min="118" max="118" width="9.140625" customWidth="1"/>
    <col min="120" max="120" width="12.42578125" customWidth="1"/>
    <col min="122" max="122" width="10.140625" bestFit="1" customWidth="1"/>
    <col min="127" max="127" width="9.140625" customWidth="1"/>
    <col min="129" max="129" width="12.42578125" customWidth="1"/>
    <col min="136" max="136" width="9.140625" customWidth="1"/>
    <col min="138" max="138" width="12.42578125" customWidth="1"/>
    <col min="147" max="147" width="12.42578125" customWidth="1"/>
    <col min="154" max="154" width="6.140625" customWidth="1"/>
  </cols>
  <sheetData>
    <row r="1" spans="1:177" x14ac:dyDescent="0.5">
      <c r="C1" s="62" t="s">
        <v>881</v>
      </c>
      <c r="K1" s="62" t="s">
        <v>842</v>
      </c>
      <c r="S1" s="62" t="s">
        <v>792</v>
      </c>
      <c r="AA1" s="62" t="s">
        <v>742</v>
      </c>
      <c r="AI1" s="62" t="s">
        <v>701</v>
      </c>
      <c r="AQ1" s="62" t="s">
        <v>652</v>
      </c>
      <c r="AY1" s="62" t="s">
        <v>610</v>
      </c>
      <c r="BG1" s="62" t="s">
        <v>560</v>
      </c>
      <c r="BO1" s="62" t="s">
        <v>514</v>
      </c>
      <c r="BW1" s="62" t="s">
        <v>458</v>
      </c>
      <c r="CF1" s="62" t="s">
        <v>406</v>
      </c>
      <c r="CO1" s="171" t="s">
        <v>365</v>
      </c>
      <c r="CX1" t="s">
        <v>311</v>
      </c>
      <c r="DG1" t="s">
        <v>272</v>
      </c>
      <c r="DP1" t="s">
        <v>229</v>
      </c>
      <c r="DY1" t="s">
        <v>194</v>
      </c>
      <c r="EH1" t="s">
        <v>157</v>
      </c>
      <c r="EQ1" t="s">
        <v>116</v>
      </c>
      <c r="EZ1" t="s">
        <v>72</v>
      </c>
      <c r="FH1" s="33" t="s">
        <v>28</v>
      </c>
      <c r="FO1" s="33" t="s">
        <v>30</v>
      </c>
    </row>
    <row r="2" spans="1:177" x14ac:dyDescent="0.5">
      <c r="A2" s="257"/>
      <c r="B2" s="257"/>
      <c r="C2" s="323" t="s">
        <v>879</v>
      </c>
      <c r="D2" s="323" t="s">
        <v>883</v>
      </c>
      <c r="E2" s="262" t="s">
        <v>3</v>
      </c>
      <c r="F2" s="323" t="s">
        <v>843</v>
      </c>
      <c r="G2" s="323" t="s">
        <v>883</v>
      </c>
      <c r="H2" s="262" t="s">
        <v>3</v>
      </c>
      <c r="I2" s="257"/>
      <c r="J2" s="257"/>
      <c r="K2" s="323" t="s">
        <v>840</v>
      </c>
      <c r="L2" s="323" t="s">
        <v>843</v>
      </c>
      <c r="M2" s="262" t="s">
        <v>3</v>
      </c>
      <c r="N2" s="323" t="s">
        <v>794</v>
      </c>
      <c r="O2" s="323" t="s">
        <v>843</v>
      </c>
      <c r="P2" s="262" t="s">
        <v>3</v>
      </c>
      <c r="Q2" s="257"/>
      <c r="R2" s="257"/>
      <c r="S2" s="323" t="s">
        <v>790</v>
      </c>
      <c r="T2" s="323" t="s">
        <v>794</v>
      </c>
      <c r="U2" s="262" t="s">
        <v>3</v>
      </c>
      <c r="V2" s="323" t="s">
        <v>744</v>
      </c>
      <c r="W2" s="323" t="s">
        <v>794</v>
      </c>
      <c r="X2" s="262" t="s">
        <v>3</v>
      </c>
      <c r="Y2" s="257"/>
      <c r="Z2" s="257"/>
      <c r="AA2" s="323" t="s">
        <v>740</v>
      </c>
      <c r="AB2" s="323" t="s">
        <v>744</v>
      </c>
      <c r="AC2" s="262" t="s">
        <v>3</v>
      </c>
      <c r="AD2" s="323" t="s">
        <v>703</v>
      </c>
      <c r="AE2" s="323" t="s">
        <v>744</v>
      </c>
      <c r="AF2" s="262" t="s">
        <v>3</v>
      </c>
      <c r="AG2" s="257"/>
      <c r="AH2" s="257"/>
      <c r="AI2" s="323" t="s">
        <v>698</v>
      </c>
      <c r="AJ2" s="323" t="s">
        <v>703</v>
      </c>
      <c r="AK2" s="262" t="s">
        <v>3</v>
      </c>
      <c r="AL2" s="323" t="s">
        <v>653</v>
      </c>
      <c r="AM2" s="323" t="s">
        <v>703</v>
      </c>
      <c r="AN2" s="262" t="s">
        <v>3</v>
      </c>
      <c r="AO2" s="257"/>
      <c r="AP2" s="257"/>
      <c r="AQ2" s="323" t="s">
        <v>650</v>
      </c>
      <c r="AR2" s="323" t="s">
        <v>653</v>
      </c>
      <c r="AS2" s="262" t="s">
        <v>3</v>
      </c>
      <c r="AT2" s="323" t="s">
        <v>608</v>
      </c>
      <c r="AU2" s="323" t="s">
        <v>653</v>
      </c>
      <c r="AV2" s="262" t="s">
        <v>3</v>
      </c>
      <c r="AW2" s="257"/>
      <c r="AX2" s="257"/>
      <c r="AY2" s="323" t="s">
        <v>603</v>
      </c>
      <c r="AZ2" s="323" t="s">
        <v>608</v>
      </c>
      <c r="BA2" s="262" t="s">
        <v>3</v>
      </c>
      <c r="BB2" s="323" t="s">
        <v>562</v>
      </c>
      <c r="BC2" s="323" t="s">
        <v>608</v>
      </c>
      <c r="BD2" s="262" t="s">
        <v>3</v>
      </c>
      <c r="BE2" s="257"/>
      <c r="BF2" s="257"/>
      <c r="BG2" s="323" t="s">
        <v>558</v>
      </c>
      <c r="BH2" s="323" t="s">
        <v>562</v>
      </c>
      <c r="BI2" s="262" t="s">
        <v>3</v>
      </c>
      <c r="BJ2" s="323" t="s">
        <v>516</v>
      </c>
      <c r="BK2" s="323" t="s">
        <v>562</v>
      </c>
      <c r="BL2" s="262" t="s">
        <v>3</v>
      </c>
      <c r="BM2" s="257"/>
      <c r="BN2" s="257"/>
      <c r="BO2" s="322" t="s">
        <v>512</v>
      </c>
      <c r="BP2" s="323" t="s">
        <v>516</v>
      </c>
      <c r="BQ2" s="262" t="s">
        <v>3</v>
      </c>
      <c r="BR2" s="323" t="s">
        <v>459</v>
      </c>
      <c r="BS2" s="323" t="s">
        <v>516</v>
      </c>
      <c r="BT2" s="262" t="s">
        <v>3</v>
      </c>
      <c r="BU2" s="62"/>
      <c r="BV2" s="257"/>
      <c r="BW2" s="322" t="s">
        <v>456</v>
      </c>
      <c r="BX2" s="323" t="s">
        <v>459</v>
      </c>
      <c r="BY2" s="262" t="s">
        <v>3</v>
      </c>
      <c r="BZ2" s="323" t="s">
        <v>460</v>
      </c>
      <c r="CA2" s="323" t="s">
        <v>459</v>
      </c>
      <c r="CB2" s="262" t="s">
        <v>3</v>
      </c>
      <c r="CC2" s="62"/>
      <c r="CD2" s="257"/>
      <c r="CE2" s="257"/>
      <c r="CF2" s="259" t="s">
        <v>403</v>
      </c>
      <c r="CG2" s="297" t="s">
        <v>408</v>
      </c>
      <c r="CH2" s="257" t="s">
        <v>3</v>
      </c>
      <c r="CI2" s="297" t="s">
        <v>367</v>
      </c>
      <c r="CJ2" s="297" t="s">
        <v>408</v>
      </c>
      <c r="CK2" s="257" t="s">
        <v>3</v>
      </c>
      <c r="CL2" s="62"/>
      <c r="CM2" s="257"/>
      <c r="CN2" s="257"/>
      <c r="CO2" s="259" t="s">
        <v>363</v>
      </c>
      <c r="CP2" s="258" t="s">
        <v>367</v>
      </c>
      <c r="CQ2" s="257" t="s">
        <v>3</v>
      </c>
      <c r="CR2" s="258" t="s">
        <v>313</v>
      </c>
      <c r="CS2" s="258" t="s">
        <v>367</v>
      </c>
      <c r="CT2" s="257" t="s">
        <v>3</v>
      </c>
      <c r="CU2" s="62"/>
      <c r="CV2" s="236"/>
      <c r="CW2" s="236"/>
      <c r="CX2" s="237" t="s">
        <v>309</v>
      </c>
      <c r="CY2" s="237" t="s">
        <v>313</v>
      </c>
      <c r="CZ2" s="236" t="s">
        <v>3</v>
      </c>
      <c r="DA2" s="237" t="s">
        <v>274</v>
      </c>
      <c r="DB2" s="237" t="s">
        <v>314</v>
      </c>
      <c r="DC2" s="236" t="s">
        <v>3</v>
      </c>
      <c r="DD2" s="62"/>
      <c r="DE2" s="98"/>
      <c r="DF2" s="98"/>
      <c r="DG2" s="143" t="s">
        <v>271</v>
      </c>
      <c r="DH2" s="143" t="s">
        <v>274</v>
      </c>
      <c r="DI2" s="98" t="s">
        <v>3</v>
      </c>
      <c r="DJ2" s="145" t="s">
        <v>228</v>
      </c>
      <c r="DK2" s="143" t="s">
        <v>274</v>
      </c>
      <c r="DL2" s="98" t="s">
        <v>3</v>
      </c>
      <c r="DM2" s="62"/>
      <c r="DN2" s="98"/>
      <c r="DO2" s="98"/>
      <c r="DP2" s="143" t="s">
        <v>226</v>
      </c>
      <c r="DQ2" s="143" t="s">
        <v>228</v>
      </c>
      <c r="DR2" s="98" t="s">
        <v>3</v>
      </c>
      <c r="DS2" s="145" t="s">
        <v>196</v>
      </c>
      <c r="DT2" s="143" t="s">
        <v>228</v>
      </c>
      <c r="DU2" s="98" t="s">
        <v>3</v>
      </c>
      <c r="DV2" s="62"/>
      <c r="DW2" s="118"/>
      <c r="DX2" s="118"/>
      <c r="DY2" s="131" t="s">
        <v>192</v>
      </c>
      <c r="DZ2" s="131" t="s">
        <v>196</v>
      </c>
      <c r="EA2" s="118" t="s">
        <v>3</v>
      </c>
      <c r="EB2" s="119" t="s">
        <v>159</v>
      </c>
      <c r="EC2" s="119" t="s">
        <v>196</v>
      </c>
      <c r="ED2" s="118" t="s">
        <v>3</v>
      </c>
      <c r="EE2" s="62"/>
      <c r="EF2" s="98"/>
      <c r="EG2" s="98"/>
      <c r="EH2" s="99" t="s">
        <v>156</v>
      </c>
      <c r="EI2" s="99" t="s">
        <v>159</v>
      </c>
      <c r="EJ2" s="98" t="s">
        <v>3</v>
      </c>
      <c r="EK2" s="99" t="s">
        <v>118</v>
      </c>
      <c r="EL2" s="99" t="s">
        <v>159</v>
      </c>
      <c r="EM2" s="98" t="s">
        <v>3</v>
      </c>
      <c r="EN2" s="62"/>
      <c r="EO2" s="84"/>
      <c r="EP2" s="84"/>
      <c r="EQ2" s="85" t="s">
        <v>114</v>
      </c>
      <c r="ER2" s="85" t="s">
        <v>118</v>
      </c>
      <c r="ES2" s="84" t="s">
        <v>3</v>
      </c>
      <c r="ET2" s="85" t="s">
        <v>119</v>
      </c>
      <c r="EU2" s="85" t="s">
        <v>118</v>
      </c>
      <c r="EV2" s="84" t="s">
        <v>3</v>
      </c>
      <c r="EX2" s="54"/>
      <c r="EY2" s="54"/>
      <c r="EZ2" s="55">
        <v>18476</v>
      </c>
      <c r="FA2" s="55">
        <v>18507</v>
      </c>
      <c r="FB2" s="54" t="s">
        <v>3</v>
      </c>
      <c r="FC2" s="55">
        <v>18142</v>
      </c>
      <c r="FD2" s="55">
        <v>18507</v>
      </c>
      <c r="FE2" s="54" t="s">
        <v>3</v>
      </c>
      <c r="FF2" s="62"/>
      <c r="FG2" s="29"/>
      <c r="FH2" s="30">
        <v>18111</v>
      </c>
      <c r="FI2" s="30">
        <v>18142</v>
      </c>
      <c r="FJ2" s="29" t="s">
        <v>3</v>
      </c>
      <c r="FK2" s="30">
        <v>17777</v>
      </c>
      <c r="FL2" s="30">
        <v>18142</v>
      </c>
      <c r="FM2" s="29" t="s">
        <v>3</v>
      </c>
      <c r="FO2" s="38"/>
      <c r="FP2" s="39">
        <v>17746</v>
      </c>
      <c r="FQ2" s="39">
        <v>17777</v>
      </c>
      <c r="FR2" s="38" t="s">
        <v>3</v>
      </c>
      <c r="FS2" s="39">
        <v>17411</v>
      </c>
      <c r="FT2" s="39">
        <v>17777</v>
      </c>
      <c r="FU2" s="38" t="s">
        <v>3</v>
      </c>
    </row>
    <row r="3" spans="1:177" x14ac:dyDescent="0.5">
      <c r="A3" s="247" t="s">
        <v>0</v>
      </c>
      <c r="B3" s="247"/>
      <c r="C3" s="248">
        <v>150973</v>
      </c>
      <c r="D3" s="248">
        <v>156742</v>
      </c>
      <c r="E3" s="249">
        <f t="shared" ref="E3:E5" si="0">((D3-C3)/C3)*100</f>
        <v>3.8212130645877078</v>
      </c>
      <c r="F3" s="248">
        <v>146590</v>
      </c>
      <c r="G3" s="248">
        <v>156742</v>
      </c>
      <c r="H3" s="249">
        <f t="shared" ref="H3:H5" si="1">((G3-F3)/F3)*100</f>
        <v>6.925438297291767</v>
      </c>
      <c r="I3" s="247" t="s">
        <v>0</v>
      </c>
      <c r="J3" s="247"/>
      <c r="K3" s="248">
        <v>144244</v>
      </c>
      <c r="L3" s="248">
        <v>146590</v>
      </c>
      <c r="M3" s="249">
        <f t="shared" ref="M3:M8" si="2">((L3-K3)/K3)*100</f>
        <v>1.6264108039155876</v>
      </c>
      <c r="N3" s="248">
        <v>169054</v>
      </c>
      <c r="O3" s="248">
        <v>146590</v>
      </c>
      <c r="P3" s="249">
        <f t="shared" ref="P3:P8" si="3">((O3-N3)/N3)*100</f>
        <v>-13.288061802737586</v>
      </c>
      <c r="Q3" s="247" t="s">
        <v>0</v>
      </c>
      <c r="R3" s="247"/>
      <c r="S3" s="248">
        <v>171270</v>
      </c>
      <c r="T3" s="248">
        <v>169054</v>
      </c>
      <c r="U3" s="249">
        <f>((T3-S3)/S3)*100</f>
        <v>-1.2938634903952824</v>
      </c>
      <c r="V3" s="248">
        <v>197450</v>
      </c>
      <c r="W3" s="248">
        <v>169054</v>
      </c>
      <c r="X3" s="249">
        <f>((W3-V3)/V3)*100</f>
        <v>-14.381362370220311</v>
      </c>
      <c r="Y3" s="247" t="s">
        <v>0</v>
      </c>
      <c r="Z3" s="247"/>
      <c r="AA3" s="248">
        <v>189707</v>
      </c>
      <c r="AB3" s="248">
        <v>197450</v>
      </c>
      <c r="AC3" s="249">
        <f>((AB3-AA3)/AA3)*100</f>
        <v>4.0815573489644557</v>
      </c>
      <c r="AD3" s="248">
        <v>110017</v>
      </c>
      <c r="AE3" s="248">
        <v>197450</v>
      </c>
      <c r="AF3" s="249">
        <f>((AE3-AD3)/AD3)*100</f>
        <v>79.472263377478029</v>
      </c>
      <c r="AG3" s="247" t="s">
        <v>0</v>
      </c>
      <c r="AH3" s="247"/>
      <c r="AI3" s="248">
        <v>80474</v>
      </c>
      <c r="AJ3" s="248">
        <v>110017</v>
      </c>
      <c r="AK3" s="249">
        <f>((AJ3-AI3)/AI3)*100</f>
        <v>36.711235927131746</v>
      </c>
      <c r="AL3" s="248">
        <v>174645</v>
      </c>
      <c r="AM3" s="248">
        <v>110017</v>
      </c>
      <c r="AN3" s="249">
        <f>((AM3-AL3)/AL3)*100</f>
        <v>-37.005353717541297</v>
      </c>
      <c r="AO3" s="247" t="s">
        <v>0</v>
      </c>
      <c r="AP3" s="247"/>
      <c r="AQ3" s="248">
        <v>137847</v>
      </c>
      <c r="AR3" s="248">
        <v>174645</v>
      </c>
      <c r="AS3" s="249">
        <f>((AR3-AQ3)/AQ3)*100</f>
        <v>26.69481381531698</v>
      </c>
      <c r="AT3" s="248">
        <v>168567</v>
      </c>
      <c r="AU3" s="248">
        <v>174645</v>
      </c>
      <c r="AV3" s="249">
        <f>((AU3-AT3)/AT3)*100</f>
        <v>3.6056879460392608</v>
      </c>
      <c r="AW3" s="247" t="s">
        <v>0</v>
      </c>
      <c r="AX3" s="247"/>
      <c r="AY3" s="248">
        <v>156488</v>
      </c>
      <c r="AZ3" s="248">
        <v>168567</v>
      </c>
      <c r="BA3" s="249">
        <f>((AZ3-AY3)/AY3)*100</f>
        <v>7.718802719697357</v>
      </c>
      <c r="BB3" s="248">
        <v>165551</v>
      </c>
      <c r="BC3" s="248">
        <v>168567</v>
      </c>
      <c r="BD3" s="249">
        <f>((BC3-BB3)/BB3)*100</f>
        <v>1.8217950963751353</v>
      </c>
      <c r="BE3" s="247" t="s">
        <v>0</v>
      </c>
      <c r="BF3" s="247"/>
      <c r="BG3" s="248">
        <v>172576</v>
      </c>
      <c r="BH3" s="248">
        <v>165551</v>
      </c>
      <c r="BI3" s="249">
        <f>((BH3-BG3)/BG3)*100</f>
        <v>-4.0706703133691828</v>
      </c>
      <c r="BJ3" s="248">
        <v>172085</v>
      </c>
      <c r="BK3" s="248">
        <v>165551</v>
      </c>
      <c r="BL3" s="249">
        <f>((BK3-BJ3)/BJ3)*100</f>
        <v>-3.796960804253712</v>
      </c>
      <c r="BM3" s="247" t="s">
        <v>0</v>
      </c>
      <c r="BN3" s="247"/>
      <c r="BO3" s="248">
        <v>169547</v>
      </c>
      <c r="BP3" s="248">
        <f>BP4+BP5</f>
        <v>172085</v>
      </c>
      <c r="BQ3" s="249">
        <f>((BP3-BO3)/BO3)*100</f>
        <v>1.4969300547930662</v>
      </c>
      <c r="BR3" s="248">
        <v>151294</v>
      </c>
      <c r="BS3" s="248">
        <v>172085</v>
      </c>
      <c r="BT3" s="249">
        <f>((BS3-BR3)/BR3)*100</f>
        <v>13.742117995426122</v>
      </c>
      <c r="BU3" s="73"/>
      <c r="BV3" s="247"/>
      <c r="BW3" s="248">
        <v>169055</v>
      </c>
      <c r="BX3" s="248">
        <v>151294</v>
      </c>
      <c r="BY3" s="249">
        <f>((BX3-BW3)/BW3)*100</f>
        <v>-10.506048327467392</v>
      </c>
      <c r="BZ3" s="248">
        <v>149234</v>
      </c>
      <c r="CA3" s="248">
        <v>151294</v>
      </c>
      <c r="CB3" s="249">
        <f>((CA3-BZ3)/BZ3)*100</f>
        <v>1.3803824865647238</v>
      </c>
      <c r="CC3" s="73"/>
      <c r="CD3" s="247" t="s">
        <v>0</v>
      </c>
      <c r="CE3" s="247"/>
      <c r="CF3" s="248">
        <v>130219</v>
      </c>
      <c r="CG3" s="248">
        <v>149234</v>
      </c>
      <c r="CH3" s="249">
        <f>((CG3-CF3)/CF3)*100</f>
        <v>14.602323777636137</v>
      </c>
      <c r="CI3" s="248">
        <v>143990</v>
      </c>
      <c r="CJ3" s="248">
        <v>149234</v>
      </c>
      <c r="CK3" s="249">
        <f>((CJ3-CI3)/CI3)*100</f>
        <v>3.641919577748455</v>
      </c>
      <c r="CL3" s="73"/>
      <c r="CM3" s="247" t="s">
        <v>0</v>
      </c>
      <c r="CN3" s="247"/>
      <c r="CO3" s="248">
        <f>SUM(CO4:CO5)</f>
        <v>141308</v>
      </c>
      <c r="CP3" s="248">
        <v>143990</v>
      </c>
      <c r="CQ3" s="249">
        <f>((CP3-CO3)/CO3)*100</f>
        <v>1.8979817137033999</v>
      </c>
      <c r="CR3" s="248">
        <f>SUM(CR4:CR5)</f>
        <v>171654</v>
      </c>
      <c r="CS3" s="248">
        <v>143990</v>
      </c>
      <c r="CT3" s="249">
        <f>((CS3-CR3)/CR3)*100</f>
        <v>-16.116140608433245</v>
      </c>
      <c r="CU3" s="73"/>
      <c r="CV3" s="229" t="s">
        <v>0</v>
      </c>
      <c r="CW3" s="229"/>
      <c r="CX3" s="230">
        <f>SUM(CX4:CX5)</f>
        <v>184411</v>
      </c>
      <c r="CY3" s="230">
        <f>SUM(CY4:CY5)</f>
        <v>171654</v>
      </c>
      <c r="CZ3" s="231">
        <f>((CY3-CX3)/CX3)*100</f>
        <v>-6.9177001371935516</v>
      </c>
      <c r="DA3" s="230">
        <v>217281</v>
      </c>
      <c r="DB3" s="230">
        <f>SUM(DB4:DB5)</f>
        <v>171654</v>
      </c>
      <c r="DC3" s="231">
        <f>((DB3-DA3)/DA3)*100</f>
        <v>-20.999074930619795</v>
      </c>
      <c r="DD3" s="73"/>
      <c r="DE3" s="100" t="s">
        <v>0</v>
      </c>
      <c r="DF3" s="100"/>
      <c r="DG3" s="101">
        <f>SUM(DG4:DG5)</f>
        <v>222078</v>
      </c>
      <c r="DH3" s="101">
        <f>SUM(DH4:DH5)</f>
        <v>217281</v>
      </c>
      <c r="DI3" s="102">
        <f>((DH3-DG3)/DG3)*100</f>
        <v>-2.1600518736660095</v>
      </c>
      <c r="DJ3" s="101">
        <f>SUM(DJ4:DJ5)</f>
        <v>207564</v>
      </c>
      <c r="DK3" s="101">
        <f>SUM(DK4:DK5)</f>
        <v>217281</v>
      </c>
      <c r="DL3" s="102">
        <f>((DK3-DJ3)/DJ3)*100</f>
        <v>4.6814476498814823</v>
      </c>
      <c r="DM3" s="73"/>
      <c r="DN3" s="100" t="s">
        <v>0</v>
      </c>
      <c r="DO3" s="100"/>
      <c r="DP3" s="101">
        <f>SUM(DP4:DP5)</f>
        <v>208211</v>
      </c>
      <c r="DQ3" s="101">
        <f>SUM(DQ4:DQ5)</f>
        <v>207562</v>
      </c>
      <c r="DR3" s="102">
        <f>((DQ3-DP3)/DP3)*100</f>
        <v>-0.31170303202040239</v>
      </c>
      <c r="DS3" s="101">
        <v>177588</v>
      </c>
      <c r="DT3" s="101">
        <f>SUM(DT4:DT5)</f>
        <v>207562</v>
      </c>
      <c r="DU3" s="102">
        <f>((DT3-DS3)/DS3)*100</f>
        <v>16.878392684190374</v>
      </c>
      <c r="DV3" s="73"/>
      <c r="DW3" s="120" t="s">
        <v>0</v>
      </c>
      <c r="DX3" s="120"/>
      <c r="DY3" s="133">
        <f>SUM(DY4:DY5)</f>
        <v>166178</v>
      </c>
      <c r="DZ3" s="133">
        <f>SUM(DZ4:DZ5)</f>
        <v>177588</v>
      </c>
      <c r="EA3" s="125">
        <f>((DZ3-DY3)/DY3)*100</f>
        <v>6.8661314975508185</v>
      </c>
      <c r="EB3" s="121">
        <v>146162</v>
      </c>
      <c r="EC3" s="121">
        <v>177588</v>
      </c>
      <c r="ED3" s="125">
        <f>((EC3-EB3)/EB3)*100</f>
        <v>21.50080048165734</v>
      </c>
      <c r="EE3" s="127"/>
      <c r="EF3" s="100" t="s">
        <v>0</v>
      </c>
      <c r="EG3" s="100"/>
      <c r="EH3" s="101">
        <f>SUM(EH4:EH5)</f>
        <v>135161</v>
      </c>
      <c r="EI3" s="101">
        <f>SUM(EI4:EI5)</f>
        <v>146162</v>
      </c>
      <c r="EJ3" s="102">
        <f>((EI3-EH3)/EH3)*100</f>
        <v>8.1391821605344727</v>
      </c>
      <c r="EK3" s="101">
        <v>171860</v>
      </c>
      <c r="EL3" s="101">
        <v>146162</v>
      </c>
      <c r="EM3" s="102">
        <f>((EL3-EK3)/EK3)*100</f>
        <v>-14.95286861398813</v>
      </c>
      <c r="EN3" s="73"/>
      <c r="EO3" s="74" t="s">
        <v>0</v>
      </c>
      <c r="EP3" s="74"/>
      <c r="EQ3" s="75">
        <v>154093</v>
      </c>
      <c r="ER3" s="75">
        <f>ER4+ER5</f>
        <v>171860</v>
      </c>
      <c r="ES3" s="76">
        <f>((ER3-EQ3)/EQ3)*100</f>
        <v>11.530050034719293</v>
      </c>
      <c r="ET3" s="75">
        <v>124347</v>
      </c>
      <c r="EU3" s="75">
        <v>171860</v>
      </c>
      <c r="EV3" s="76">
        <f>((EU3-ET3)/ET3)*100</f>
        <v>38.210009087472955</v>
      </c>
      <c r="EX3" s="63" t="s">
        <v>0</v>
      </c>
      <c r="EY3" s="63"/>
      <c r="EZ3" s="64">
        <v>132027</v>
      </c>
      <c r="FA3" s="64">
        <f>SUM(FA4:FA5)</f>
        <v>124347</v>
      </c>
      <c r="FB3" s="65">
        <f t="shared" ref="FB3:FB18" si="4">(FA3-EZ3)/EZ3*100</f>
        <v>-5.8169919789134044</v>
      </c>
      <c r="FC3" s="64">
        <f>FC4+FC5</f>
        <v>159778</v>
      </c>
      <c r="FD3" s="64">
        <f>SUM(FD4:FD5)</f>
        <v>124347</v>
      </c>
      <c r="FE3" s="65">
        <f t="shared" ref="FE3:FE18" si="5">(FD3-FC3)/FC3*100</f>
        <v>-22.175143010927663</v>
      </c>
      <c r="FF3" s="73"/>
      <c r="FG3" s="24" t="s">
        <v>0</v>
      </c>
      <c r="FH3" s="25">
        <v>172742</v>
      </c>
      <c r="FI3" s="25">
        <v>159778</v>
      </c>
      <c r="FJ3" s="32">
        <f>(FI3-FH3)/FH3*100</f>
        <v>-7.5048337983814006</v>
      </c>
      <c r="FK3" s="27">
        <v>186671</v>
      </c>
      <c r="FL3" s="25">
        <v>159778</v>
      </c>
      <c r="FM3" s="32">
        <f>(FL3-FK3)/FK3*100</f>
        <v>-14.406629846092859</v>
      </c>
      <c r="FO3" s="4" t="s">
        <v>0</v>
      </c>
      <c r="FP3" s="5">
        <v>178983</v>
      </c>
      <c r="FQ3" s="5">
        <v>186671</v>
      </c>
      <c r="FR3" s="36">
        <f>(FQ3-FP3)/FP3*100</f>
        <v>4.2953800081571991</v>
      </c>
      <c r="FS3" s="46">
        <v>227905</v>
      </c>
      <c r="FT3" s="5">
        <v>186671</v>
      </c>
      <c r="FU3" s="47">
        <f>((FT3-FS3)/FS3)*100</f>
        <v>-18.092626313595577</v>
      </c>
    </row>
    <row r="4" spans="1:177" x14ac:dyDescent="0.5">
      <c r="A4" s="250"/>
      <c r="B4" s="250" t="s">
        <v>444</v>
      </c>
      <c r="C4" s="251">
        <v>128893</v>
      </c>
      <c r="D4" s="248">
        <v>133269</v>
      </c>
      <c r="E4" s="249">
        <f t="shared" si="0"/>
        <v>3.3950641229546989</v>
      </c>
      <c r="F4" s="251">
        <v>117616</v>
      </c>
      <c r="G4" s="248">
        <v>133269</v>
      </c>
      <c r="H4" s="249">
        <f t="shared" si="1"/>
        <v>13.308563460753639</v>
      </c>
      <c r="I4" s="250"/>
      <c r="J4" s="250" t="s">
        <v>444</v>
      </c>
      <c r="K4" s="251">
        <v>119757</v>
      </c>
      <c r="L4" s="251">
        <v>117616</v>
      </c>
      <c r="M4" s="249">
        <f t="shared" si="2"/>
        <v>-1.7877869352104681</v>
      </c>
      <c r="N4" s="251">
        <v>136036</v>
      </c>
      <c r="O4" s="251">
        <v>117616</v>
      </c>
      <c r="P4" s="249">
        <f t="shared" si="3"/>
        <v>-13.540533388220766</v>
      </c>
      <c r="Q4" s="250"/>
      <c r="R4" s="250" t="s">
        <v>444</v>
      </c>
      <c r="S4" s="251">
        <v>138804</v>
      </c>
      <c r="T4" s="251">
        <v>136036</v>
      </c>
      <c r="U4" s="249">
        <f>((T4-S4)/S4)*100</f>
        <v>-1.9941788421082967</v>
      </c>
      <c r="V4" s="251">
        <v>153394</v>
      </c>
      <c r="W4" s="251">
        <v>136036</v>
      </c>
      <c r="X4" s="249">
        <f>((W4-V4)/V4)*100</f>
        <v>-11.315957599384591</v>
      </c>
      <c r="Y4" s="250"/>
      <c r="Z4" s="250" t="s">
        <v>444</v>
      </c>
      <c r="AA4" s="251">
        <v>150777</v>
      </c>
      <c r="AB4" s="251">
        <v>153394</v>
      </c>
      <c r="AC4" s="249">
        <f>((AB4-AA4)/AA4)*100</f>
        <v>1.7356758656824316</v>
      </c>
      <c r="AD4" s="251">
        <v>84249</v>
      </c>
      <c r="AE4" s="251">
        <v>153394</v>
      </c>
      <c r="AF4" s="249">
        <f>((AE4-AD4)/AD4)*100</f>
        <v>82.07219076784294</v>
      </c>
      <c r="AG4" s="250"/>
      <c r="AH4" s="250" t="s">
        <v>444</v>
      </c>
      <c r="AI4" s="251">
        <v>48279</v>
      </c>
      <c r="AJ4" s="251">
        <v>84249</v>
      </c>
      <c r="AK4" s="249">
        <f>((AJ4-AI4)/AI4)*100</f>
        <v>74.504442925495567</v>
      </c>
      <c r="AL4" s="251">
        <v>148092</v>
      </c>
      <c r="AM4" s="251">
        <v>84249</v>
      </c>
      <c r="AN4" s="249">
        <f>((AM4-AL4)/AL4)*100</f>
        <v>-43.110363827890765</v>
      </c>
      <c r="AO4" s="250"/>
      <c r="AP4" s="250" t="s">
        <v>444</v>
      </c>
      <c r="AQ4" s="251">
        <v>115503</v>
      </c>
      <c r="AR4" s="251">
        <v>148092</v>
      </c>
      <c r="AS4" s="249">
        <f>((AR4-AQ4)/AQ4)*100</f>
        <v>28.214851562297085</v>
      </c>
      <c r="AT4" s="251">
        <v>137238</v>
      </c>
      <c r="AU4" s="251">
        <v>148092</v>
      </c>
      <c r="AV4" s="249">
        <f>((AU4-AT4)/AT4)*100</f>
        <v>7.9088882088051413</v>
      </c>
      <c r="AW4" s="250"/>
      <c r="AX4" s="250" t="s">
        <v>444</v>
      </c>
      <c r="AY4" s="251">
        <v>76229</v>
      </c>
      <c r="AZ4" s="251">
        <v>137238</v>
      </c>
      <c r="BA4" s="249">
        <f>((AZ4-AY4)/AY4)*100</f>
        <v>80.033845386926245</v>
      </c>
      <c r="BB4" s="251">
        <v>143150</v>
      </c>
      <c r="BC4" s="251">
        <v>137238</v>
      </c>
      <c r="BD4" s="249">
        <f>((BC4-BB4)/BB4)*100</f>
        <v>-4.1299336360461059</v>
      </c>
      <c r="BE4" s="250"/>
      <c r="BF4" s="250" t="s">
        <v>444</v>
      </c>
      <c r="BG4" s="251">
        <v>144743</v>
      </c>
      <c r="BH4" s="251">
        <v>143150</v>
      </c>
      <c r="BI4" s="249">
        <f>((BH4-BG4)/BG4)*100</f>
        <v>-1.1005713575095168</v>
      </c>
      <c r="BJ4" s="251">
        <v>131180</v>
      </c>
      <c r="BK4" s="251">
        <v>143150</v>
      </c>
      <c r="BL4" s="249">
        <f>((BK4-BJ4)/BJ4)*100</f>
        <v>9.1248665955176094</v>
      </c>
      <c r="BM4" s="250"/>
      <c r="BN4" s="250" t="s">
        <v>444</v>
      </c>
      <c r="BO4" s="251">
        <v>128476</v>
      </c>
      <c r="BP4" s="251">
        <f>68918+62262</f>
        <v>131180</v>
      </c>
      <c r="BQ4" s="249">
        <f>((BP4-BO4)/BO4)*100</f>
        <v>2.1046732463650795</v>
      </c>
      <c r="BR4" s="251">
        <v>115437</v>
      </c>
      <c r="BS4" s="251">
        <v>131180</v>
      </c>
      <c r="BT4" s="249">
        <f>((BS4-BR4)/BR4)*100</f>
        <v>13.637741798556787</v>
      </c>
      <c r="BU4" s="73"/>
      <c r="BV4" s="250" t="s">
        <v>444</v>
      </c>
      <c r="BW4" s="251">
        <v>134065</v>
      </c>
      <c r="BX4" s="251">
        <v>115437</v>
      </c>
      <c r="BY4" s="249">
        <f>((BX4-BW4)/BW4)*100</f>
        <v>-13.89475254540708</v>
      </c>
      <c r="BZ4" s="251">
        <v>121625</v>
      </c>
      <c r="CA4" s="251">
        <v>115437</v>
      </c>
      <c r="CB4" s="249">
        <f>((CA4-BZ4)/BZ4)*100</f>
        <v>-5.0877697841726617</v>
      </c>
      <c r="CC4" s="73"/>
      <c r="CD4" s="250"/>
      <c r="CE4" s="250" t="s">
        <v>57</v>
      </c>
      <c r="CF4" s="251">
        <v>107540</v>
      </c>
      <c r="CG4" s="251">
        <v>121625</v>
      </c>
      <c r="CH4" s="249">
        <f>((CG4-CF4)/CF4)*100</f>
        <v>13.097452110842479</v>
      </c>
      <c r="CI4" s="251">
        <v>115935</v>
      </c>
      <c r="CJ4" s="251">
        <v>121625</v>
      </c>
      <c r="CK4" s="249">
        <f>((CJ4-CI4)/CI4)*100</f>
        <v>4.9079225428041573</v>
      </c>
      <c r="CL4" s="73"/>
      <c r="CM4" s="250"/>
      <c r="CN4" s="250" t="s">
        <v>57</v>
      </c>
      <c r="CO4" s="251">
        <v>113200</v>
      </c>
      <c r="CP4" s="251">
        <v>115935</v>
      </c>
      <c r="CQ4" s="249">
        <f>((CP4-CO4)/CO4)*100</f>
        <v>2.4160777385159009</v>
      </c>
      <c r="CR4" s="251">
        <v>143941</v>
      </c>
      <c r="CS4" s="251">
        <v>115935</v>
      </c>
      <c r="CT4" s="249">
        <f>((CS4-CR4)/CR4)*100</f>
        <v>-19.456582905496003</v>
      </c>
      <c r="CU4" s="73"/>
      <c r="CV4" s="232"/>
      <c r="CW4" s="232" t="s">
        <v>57</v>
      </c>
      <c r="CX4" s="233">
        <v>153510</v>
      </c>
      <c r="CY4" s="233">
        <v>143941</v>
      </c>
      <c r="CZ4" s="231">
        <f t="shared" ref="CZ4:CZ18" si="6">((CY4-CX4)/CX4)*100</f>
        <v>-6.2334701322389421</v>
      </c>
      <c r="DA4" s="233">
        <v>195777</v>
      </c>
      <c r="DB4" s="233">
        <v>143941</v>
      </c>
      <c r="DC4" s="231">
        <f t="shared" ref="DC4:DC18" si="7">((DB4-DA4)/DA4)*100</f>
        <v>-26.47706318924082</v>
      </c>
      <c r="DD4" s="73"/>
      <c r="DE4" s="103"/>
      <c r="DF4" s="103" t="s">
        <v>57</v>
      </c>
      <c r="DG4" s="104">
        <v>200745</v>
      </c>
      <c r="DH4" s="104">
        <v>195777</v>
      </c>
      <c r="DI4" s="102">
        <f t="shared" ref="DI4:DI18" si="8">((DH4-DG4)/DG4)*100</f>
        <v>-2.4747814391392065</v>
      </c>
      <c r="DJ4" s="104">
        <v>188738</v>
      </c>
      <c r="DK4" s="104">
        <v>195777</v>
      </c>
      <c r="DL4" s="102">
        <f t="shared" ref="DL4:DL18" si="9">((DK4-DJ4)/DJ4)*100</f>
        <v>3.7295086310123029</v>
      </c>
      <c r="DM4" s="73"/>
      <c r="DN4" s="103"/>
      <c r="DO4" s="103" t="s">
        <v>57</v>
      </c>
      <c r="DP4" s="104">
        <v>190422</v>
      </c>
      <c r="DQ4" s="104">
        <v>188736</v>
      </c>
      <c r="DR4" s="102">
        <f t="shared" ref="DR4:DR18" si="10">((DQ4-DP4)/DP4)*100</f>
        <v>-0.88540189683965087</v>
      </c>
      <c r="DS4" s="104">
        <v>169385</v>
      </c>
      <c r="DT4" s="104">
        <v>188736</v>
      </c>
      <c r="DU4" s="102">
        <f t="shared" ref="DU4:DU18" si="11">((DT4-DS4)/DS4)*100</f>
        <v>11.424270153791657</v>
      </c>
      <c r="DV4" s="73"/>
      <c r="DW4" s="24"/>
      <c r="DX4" s="24" t="s">
        <v>57</v>
      </c>
      <c r="DY4" s="50">
        <v>158763</v>
      </c>
      <c r="DZ4" s="50">
        <v>169385</v>
      </c>
      <c r="EA4" s="128">
        <f t="shared" ref="EA4:EA18" si="12">((DZ4-DY4)/DY4)*100</f>
        <v>6.6904757405692763</v>
      </c>
      <c r="EB4" s="123">
        <v>136945</v>
      </c>
      <c r="EC4" s="123">
        <v>169385</v>
      </c>
      <c r="ED4" s="128">
        <f t="shared" ref="ED4:ED18" si="13">((EC4-EB4)/EB4)*100</f>
        <v>23.68834203512359</v>
      </c>
      <c r="EE4" s="130"/>
      <c r="EF4" s="103"/>
      <c r="EG4" s="103" t="s">
        <v>57</v>
      </c>
      <c r="EH4" s="104">
        <v>127733</v>
      </c>
      <c r="EI4" s="104">
        <v>136945</v>
      </c>
      <c r="EJ4" s="102">
        <f t="shared" ref="EJ4:EJ18" si="14">((EI4-EH4)/EH4)*100</f>
        <v>7.2119186114786311</v>
      </c>
      <c r="EK4" s="104">
        <v>160018</v>
      </c>
      <c r="EL4" s="104">
        <v>136945</v>
      </c>
      <c r="EM4" s="102">
        <f t="shared" ref="EM4:EM18" si="15">((EL4-EK4)/EK4)*100</f>
        <v>-14.419002862178004</v>
      </c>
      <c r="EN4" s="73"/>
      <c r="EO4" s="77"/>
      <c r="EP4" s="77" t="s">
        <v>57</v>
      </c>
      <c r="EQ4" s="78">
        <v>143443</v>
      </c>
      <c r="ER4" s="78">
        <v>160018</v>
      </c>
      <c r="ES4" s="79">
        <f t="shared" ref="ES4:ES18" si="16">((ER4-EQ4)/EQ4)*100</f>
        <v>11.555112483704329</v>
      </c>
      <c r="ET4" s="80">
        <v>116647</v>
      </c>
      <c r="EU4" s="78">
        <v>160018</v>
      </c>
      <c r="EV4" s="79">
        <f t="shared" ref="EV4:EV18" si="17">((EU4-ET4)/ET4)*100</f>
        <v>37.181410580640737</v>
      </c>
      <c r="EX4" s="42"/>
      <c r="EY4" s="42" t="s">
        <v>57</v>
      </c>
      <c r="EZ4" s="43">
        <v>126264</v>
      </c>
      <c r="FA4" s="43">
        <v>116647</v>
      </c>
      <c r="FB4" s="44">
        <f t="shared" si="4"/>
        <v>-7.6165811315972887</v>
      </c>
      <c r="FC4" s="43">
        <v>154131</v>
      </c>
      <c r="FD4" s="43">
        <v>116647</v>
      </c>
      <c r="FE4" s="44">
        <f t="shared" si="5"/>
        <v>-24.319572311864583</v>
      </c>
      <c r="FF4" s="61"/>
      <c r="FG4" s="24" t="s">
        <v>1</v>
      </c>
      <c r="FH4" s="25">
        <v>166151</v>
      </c>
      <c r="FI4" s="25">
        <v>158415</v>
      </c>
      <c r="FJ4" s="32">
        <f>(FI4-FH4)/FH4*100</f>
        <v>-4.6560056815788053</v>
      </c>
      <c r="FK4" s="27">
        <v>167735</v>
      </c>
      <c r="FL4" s="25">
        <v>158415</v>
      </c>
      <c r="FM4" s="32">
        <f>(FL4-FK4)/FK4*100</f>
        <v>-5.5563835812442246</v>
      </c>
      <c r="FO4" s="4" t="s">
        <v>1</v>
      </c>
      <c r="FP4" s="5">
        <v>167209</v>
      </c>
      <c r="FQ4" s="5">
        <v>167735</v>
      </c>
      <c r="FR4" s="36">
        <f>(FQ4-FP4)/FP4*100</f>
        <v>0.31457636849691106</v>
      </c>
      <c r="FS4" s="37">
        <v>149189</v>
      </c>
      <c r="FT4" s="5">
        <v>167735</v>
      </c>
      <c r="FU4" s="47">
        <f>((FT4-FS4)/FS4)*100</f>
        <v>12.431211416391289</v>
      </c>
    </row>
    <row r="5" spans="1:177" x14ac:dyDescent="0.5">
      <c r="A5" s="250"/>
      <c r="B5" s="250" t="s">
        <v>58</v>
      </c>
      <c r="C5" s="251">
        <v>18505</v>
      </c>
      <c r="D5" s="248">
        <v>20915</v>
      </c>
      <c r="E5" s="249">
        <f t="shared" si="0"/>
        <v>13.023507160226966</v>
      </c>
      <c r="F5" s="251">
        <v>25224</v>
      </c>
      <c r="G5" s="248">
        <v>20915</v>
      </c>
      <c r="H5" s="249">
        <f t="shared" si="1"/>
        <v>-17.082936885505866</v>
      </c>
      <c r="I5" s="250"/>
      <c r="J5" s="250" t="s">
        <v>58</v>
      </c>
      <c r="K5" s="251">
        <v>20947</v>
      </c>
      <c r="L5" s="251">
        <v>25224</v>
      </c>
      <c r="M5" s="249">
        <f t="shared" si="2"/>
        <v>20.418198310020529</v>
      </c>
      <c r="N5" s="251">
        <v>32868</v>
      </c>
      <c r="O5" s="251">
        <v>25224</v>
      </c>
      <c r="P5" s="249">
        <f t="shared" si="3"/>
        <v>-23.256663015699161</v>
      </c>
      <c r="Q5" s="250"/>
      <c r="R5" s="250" t="s">
        <v>58</v>
      </c>
      <c r="S5" s="251">
        <v>32466</v>
      </c>
      <c r="T5" s="251">
        <v>32868</v>
      </c>
      <c r="U5" s="249">
        <f>((T5-S5)/S5)*100</f>
        <v>1.2382184439105526</v>
      </c>
      <c r="V5" s="251">
        <v>44056</v>
      </c>
      <c r="W5" s="251">
        <v>32868</v>
      </c>
      <c r="X5" s="249">
        <f>((W5-V5)/V5)*100</f>
        <v>-25.394951879426188</v>
      </c>
      <c r="Y5" s="250"/>
      <c r="Z5" s="250" t="s">
        <v>58</v>
      </c>
      <c r="AA5" s="251">
        <v>38930</v>
      </c>
      <c r="AB5" s="251">
        <v>44056</v>
      </c>
      <c r="AC5" s="249">
        <f>((AB5-AA5)/AA5)*100</f>
        <v>13.167223221166196</v>
      </c>
      <c r="AD5" s="251">
        <v>25768</v>
      </c>
      <c r="AE5" s="251">
        <v>44056</v>
      </c>
      <c r="AF5" s="249">
        <f>((AE5-AD5)/AD5)*100</f>
        <v>70.971747904377523</v>
      </c>
      <c r="AG5" s="250"/>
      <c r="AH5" s="250" t="s">
        <v>58</v>
      </c>
      <c r="AI5" s="251">
        <v>32195</v>
      </c>
      <c r="AJ5" s="251">
        <v>25768</v>
      </c>
      <c r="AK5" s="249">
        <f>((AJ5-AI5)/AI5)*100</f>
        <v>-19.962727131542167</v>
      </c>
      <c r="AL5" s="251">
        <v>26553</v>
      </c>
      <c r="AM5" s="251">
        <v>25768</v>
      </c>
      <c r="AN5" s="249">
        <f>((AM5-AL5)/AL5)*100</f>
        <v>-2.9563514480473017</v>
      </c>
      <c r="AO5" s="250"/>
      <c r="AP5" s="250" t="s">
        <v>58</v>
      </c>
      <c r="AQ5" s="251">
        <v>22344</v>
      </c>
      <c r="AR5" s="251">
        <v>26553</v>
      </c>
      <c r="AS5" s="249">
        <f>((AR5-AQ5)/AQ5)*100</f>
        <v>18.837271750805584</v>
      </c>
      <c r="AT5" s="251">
        <v>31329</v>
      </c>
      <c r="AU5" s="251">
        <v>26553</v>
      </c>
      <c r="AV5" s="249">
        <f>((AU5-AT5)/AT5)*100</f>
        <v>-15.244661495738773</v>
      </c>
      <c r="AW5" s="250"/>
      <c r="AX5" s="250" t="s">
        <v>58</v>
      </c>
      <c r="AY5" s="251">
        <v>51575</v>
      </c>
      <c r="AZ5" s="251">
        <v>31329</v>
      </c>
      <c r="BA5" s="249">
        <f>((AZ5-AY5)/AY5)*100</f>
        <v>-39.255453223460975</v>
      </c>
      <c r="BB5" s="251">
        <v>22401</v>
      </c>
      <c r="BC5" s="251">
        <v>31329</v>
      </c>
      <c r="BD5" s="249">
        <f>((BC5-BB5)/BB5)*100</f>
        <v>39.855363599839293</v>
      </c>
      <c r="BE5" s="250"/>
      <c r="BF5" s="250" t="s">
        <v>58</v>
      </c>
      <c r="BG5" s="251">
        <v>27833</v>
      </c>
      <c r="BH5" s="251">
        <v>22401</v>
      </c>
      <c r="BI5" s="249">
        <f>((BH5-BG5)/BG5)*100</f>
        <v>-19.516401394028669</v>
      </c>
      <c r="BJ5" s="251">
        <v>40905</v>
      </c>
      <c r="BK5" s="251">
        <v>22401</v>
      </c>
      <c r="BL5" s="249">
        <f>((BK5-BJ5)/BJ5)*100</f>
        <v>-45.236523652365236</v>
      </c>
      <c r="BM5" s="250"/>
      <c r="BN5" s="250" t="s">
        <v>58</v>
      </c>
      <c r="BO5" s="251">
        <v>41071</v>
      </c>
      <c r="BP5" s="251">
        <f>16326+16275+8304</f>
        <v>40905</v>
      </c>
      <c r="BQ5" s="249">
        <f>((BP5-BO5)/BO5)*100</f>
        <v>-0.40417813055440577</v>
      </c>
      <c r="BR5" s="251">
        <v>35857</v>
      </c>
      <c r="BS5" s="251">
        <v>40905</v>
      </c>
      <c r="BT5" s="249">
        <f>((BS5-BR5)/BR5)*100</f>
        <v>14.078143737624451</v>
      </c>
      <c r="BU5" s="73"/>
      <c r="BV5" s="250" t="s">
        <v>58</v>
      </c>
      <c r="BW5" s="251">
        <v>34990</v>
      </c>
      <c r="BX5" s="251">
        <v>35857</v>
      </c>
      <c r="BY5" s="249">
        <f>((BX5-BW5)/BW5)*100</f>
        <v>2.4778508145184337</v>
      </c>
      <c r="BZ5" s="251">
        <v>27609</v>
      </c>
      <c r="CA5" s="251">
        <v>35857</v>
      </c>
      <c r="CB5" s="249">
        <f>((CA5-BZ5)/BZ5)*100</f>
        <v>29.874316346119016</v>
      </c>
      <c r="CC5" s="73"/>
      <c r="CD5" s="250"/>
      <c r="CE5" s="250" t="s">
        <v>58</v>
      </c>
      <c r="CF5" s="251">
        <v>22679</v>
      </c>
      <c r="CG5" s="251">
        <v>27609</v>
      </c>
      <c r="CH5" s="249">
        <f>((CG5-CF5)/CF5)*100</f>
        <v>21.73817187706689</v>
      </c>
      <c r="CI5" s="251">
        <v>28055</v>
      </c>
      <c r="CJ5" s="251">
        <v>27609</v>
      </c>
      <c r="CK5" s="249">
        <f>((CJ5-CI5)/CI5)*100</f>
        <v>-1.5897344501871322</v>
      </c>
      <c r="CL5" s="73"/>
      <c r="CM5" s="250"/>
      <c r="CN5" s="250" t="s">
        <v>58</v>
      </c>
      <c r="CO5" s="251">
        <v>28108</v>
      </c>
      <c r="CP5" s="251">
        <v>28055</v>
      </c>
      <c r="CQ5" s="249">
        <f>((CP5-CO5)/CO5)*100</f>
        <v>-0.18855841753237512</v>
      </c>
      <c r="CR5" s="251">
        <v>27713</v>
      </c>
      <c r="CS5" s="251">
        <v>28055</v>
      </c>
      <c r="CT5" s="249">
        <f>((CS5-CR5)/CR5)*100</f>
        <v>1.2340778695918884</v>
      </c>
      <c r="CU5" s="73"/>
      <c r="CV5" s="232"/>
      <c r="CW5" s="232" t="s">
        <v>58</v>
      </c>
      <c r="CX5" s="233">
        <v>30901</v>
      </c>
      <c r="CY5" s="233">
        <v>27713</v>
      </c>
      <c r="CZ5" s="231">
        <f t="shared" si="6"/>
        <v>-10.31681822594738</v>
      </c>
      <c r="DA5" s="233">
        <v>21504</v>
      </c>
      <c r="DB5" s="233">
        <v>27713</v>
      </c>
      <c r="DC5" s="231">
        <f t="shared" si="7"/>
        <v>28.873697916666668</v>
      </c>
      <c r="DD5" s="73"/>
      <c r="DE5" s="103"/>
      <c r="DF5" s="103" t="s">
        <v>58</v>
      </c>
      <c r="DG5" s="104">
        <v>21333</v>
      </c>
      <c r="DH5" s="104">
        <v>21504</v>
      </c>
      <c r="DI5" s="102">
        <f t="shared" si="8"/>
        <v>0.8015750246097596</v>
      </c>
      <c r="DJ5" s="104">
        <v>18826</v>
      </c>
      <c r="DK5" s="104">
        <v>21504</v>
      </c>
      <c r="DL5" s="102">
        <f t="shared" si="9"/>
        <v>14.22500796770424</v>
      </c>
      <c r="DM5" s="73"/>
      <c r="DN5" s="103"/>
      <c r="DO5" s="103" t="s">
        <v>58</v>
      </c>
      <c r="DP5" s="104">
        <v>17789</v>
      </c>
      <c r="DQ5" s="104">
        <v>18826</v>
      </c>
      <c r="DR5" s="102">
        <f t="shared" si="10"/>
        <v>5.8294451627410195</v>
      </c>
      <c r="DS5" s="104">
        <v>8203</v>
      </c>
      <c r="DT5" s="104">
        <v>18826</v>
      </c>
      <c r="DU5" s="102">
        <f t="shared" si="11"/>
        <v>129.50140192612457</v>
      </c>
      <c r="DV5" s="73"/>
      <c r="DW5" s="24"/>
      <c r="DX5" s="24" t="s">
        <v>58</v>
      </c>
      <c r="DY5" s="50">
        <v>7415</v>
      </c>
      <c r="DZ5" s="50">
        <v>8203</v>
      </c>
      <c r="EA5" s="128">
        <f t="shared" si="12"/>
        <v>10.627107215104518</v>
      </c>
      <c r="EB5" s="123">
        <v>9217</v>
      </c>
      <c r="EC5" s="123">
        <v>8203</v>
      </c>
      <c r="ED5" s="128">
        <f t="shared" si="13"/>
        <v>-11.001410437235542</v>
      </c>
      <c r="EE5" s="130"/>
      <c r="EF5" s="103"/>
      <c r="EG5" s="103" t="s">
        <v>58</v>
      </c>
      <c r="EH5" s="104">
        <v>7428</v>
      </c>
      <c r="EI5" s="104">
        <v>9217</v>
      </c>
      <c r="EJ5" s="102">
        <f t="shared" si="14"/>
        <v>24.084544964997306</v>
      </c>
      <c r="EK5" s="104">
        <v>11842</v>
      </c>
      <c r="EL5" s="104">
        <v>9217</v>
      </c>
      <c r="EM5" s="102">
        <f t="shared" si="15"/>
        <v>-22.16686370545516</v>
      </c>
      <c r="EN5" s="73"/>
      <c r="EO5" s="77"/>
      <c r="EP5" s="77" t="s">
        <v>58</v>
      </c>
      <c r="EQ5" s="78">
        <v>10650</v>
      </c>
      <c r="ER5" s="78">
        <v>11842</v>
      </c>
      <c r="ES5" s="79">
        <f t="shared" si="16"/>
        <v>11.192488262910798</v>
      </c>
      <c r="ET5" s="80">
        <v>7700</v>
      </c>
      <c r="EU5" s="78">
        <v>11842</v>
      </c>
      <c r="EV5" s="79">
        <f t="shared" si="17"/>
        <v>53.79220779220779</v>
      </c>
      <c r="EX5" s="42"/>
      <c r="EY5" s="42" t="s">
        <v>58</v>
      </c>
      <c r="EZ5" s="43">
        <v>5763</v>
      </c>
      <c r="FA5" s="43">
        <v>7700</v>
      </c>
      <c r="FB5" s="44">
        <f t="shared" si="4"/>
        <v>33.610966510498002</v>
      </c>
      <c r="FC5" s="45">
        <v>5647</v>
      </c>
      <c r="FD5" s="43">
        <v>7700</v>
      </c>
      <c r="FE5" s="44">
        <f t="shared" si="5"/>
        <v>36.35558703736497</v>
      </c>
      <c r="FF5" s="61"/>
      <c r="FG5" s="24" t="s">
        <v>2</v>
      </c>
      <c r="FH5" s="25">
        <v>6496</v>
      </c>
      <c r="FI5" s="25">
        <v>6427</v>
      </c>
      <c r="FJ5" s="32">
        <f>(FI5-FH5)/FH5*100</f>
        <v>-1.062192118226601</v>
      </c>
      <c r="FK5" s="27">
        <v>14025</v>
      </c>
      <c r="FL5" s="25">
        <v>6427</v>
      </c>
      <c r="FM5" s="32">
        <f>(FL5-FK5)/FK5*100</f>
        <v>-54.174688057040996</v>
      </c>
      <c r="FO5" s="4" t="s">
        <v>2</v>
      </c>
      <c r="FP5" s="5">
        <v>11525</v>
      </c>
      <c r="FQ5" s="5">
        <v>14025</v>
      </c>
      <c r="FR5" s="36">
        <f>(FQ5-FP5)/FP5*100</f>
        <v>21.691973969631238</v>
      </c>
      <c r="FS5" s="46">
        <v>76774</v>
      </c>
      <c r="FT5" s="5">
        <v>14025</v>
      </c>
      <c r="FU5" s="47">
        <f>((FT5-FS5)/FS5)*100</f>
        <v>-81.732096803605387</v>
      </c>
    </row>
    <row r="6" spans="1:177" x14ac:dyDescent="0.5">
      <c r="A6" s="250"/>
      <c r="B6" s="333" t="s">
        <v>795</v>
      </c>
      <c r="C6" s="251">
        <v>68</v>
      </c>
      <c r="D6" s="248">
        <v>81</v>
      </c>
      <c r="E6" s="249">
        <f>((D6-C6)/C6)*100</f>
        <v>19.117647058823529</v>
      </c>
      <c r="F6" s="251">
        <v>0</v>
      </c>
      <c r="G6" s="248">
        <v>81</v>
      </c>
      <c r="H6" s="249" t="e">
        <f>((G6-F6)/F6)*100</f>
        <v>#DIV/0!</v>
      </c>
      <c r="I6" s="250"/>
      <c r="J6" s="333" t="s">
        <v>795</v>
      </c>
      <c r="K6" s="251">
        <v>0</v>
      </c>
      <c r="L6" s="251">
        <v>0</v>
      </c>
      <c r="M6" s="249" t="e">
        <f>((L6-K6)/K6)*100</f>
        <v>#DIV/0!</v>
      </c>
      <c r="N6" s="251">
        <v>150</v>
      </c>
      <c r="O6" s="251">
        <v>0</v>
      </c>
      <c r="P6" s="249">
        <f>((O6-N6)/N6)*100</f>
        <v>-100</v>
      </c>
      <c r="Q6" s="250"/>
      <c r="R6" s="333" t="s">
        <v>795</v>
      </c>
      <c r="S6" s="360" t="s">
        <v>530</v>
      </c>
      <c r="T6" s="251">
        <v>150</v>
      </c>
      <c r="U6" s="336" t="s">
        <v>17</v>
      </c>
      <c r="V6" s="360" t="s">
        <v>530</v>
      </c>
      <c r="W6" s="251">
        <v>150</v>
      </c>
      <c r="X6" s="336" t="s">
        <v>530</v>
      </c>
      <c r="Y6" s="250"/>
      <c r="Z6" s="250"/>
      <c r="AA6" s="251"/>
      <c r="AB6" s="251"/>
      <c r="AC6" s="249"/>
      <c r="AD6" s="251"/>
      <c r="AE6" s="251"/>
      <c r="AF6" s="249"/>
      <c r="AG6" s="250"/>
      <c r="AH6" s="250"/>
      <c r="AI6" s="251"/>
      <c r="AJ6" s="251"/>
      <c r="AK6" s="249"/>
      <c r="AL6" s="251"/>
      <c r="AM6" s="251"/>
      <c r="AN6" s="249"/>
      <c r="AO6" s="250"/>
      <c r="AP6" s="250"/>
      <c r="AQ6" s="251"/>
      <c r="AR6" s="251"/>
      <c r="AS6" s="249"/>
      <c r="AT6" s="251"/>
      <c r="AU6" s="251"/>
      <c r="AV6" s="249"/>
      <c r="AW6" s="250"/>
      <c r="AX6" s="250"/>
      <c r="AY6" s="251"/>
      <c r="AZ6" s="251"/>
      <c r="BA6" s="249"/>
      <c r="BB6" s="251"/>
      <c r="BC6" s="251"/>
      <c r="BD6" s="249"/>
      <c r="BE6" s="250"/>
      <c r="BF6" s="250"/>
      <c r="BG6" s="251"/>
      <c r="BH6" s="251"/>
      <c r="BI6" s="249"/>
      <c r="BJ6" s="251"/>
      <c r="BK6" s="251"/>
      <c r="BL6" s="249"/>
      <c r="BM6" s="250"/>
      <c r="BN6" s="250"/>
      <c r="BO6" s="251"/>
      <c r="BP6" s="251"/>
      <c r="BQ6" s="249"/>
      <c r="BR6" s="251"/>
      <c r="BS6" s="251"/>
      <c r="BT6" s="249"/>
      <c r="BU6" s="73"/>
      <c r="BV6" s="250"/>
      <c r="BW6" s="251"/>
      <c r="BX6" s="251"/>
      <c r="BY6" s="249"/>
      <c r="BZ6" s="251"/>
      <c r="CA6" s="251"/>
      <c r="CB6" s="249"/>
      <c r="CC6" s="73"/>
      <c r="CD6" s="250"/>
      <c r="CE6" s="250"/>
      <c r="CF6" s="251"/>
      <c r="CG6" s="251"/>
      <c r="CH6" s="249"/>
      <c r="CI6" s="251"/>
      <c r="CJ6" s="251"/>
      <c r="CK6" s="249"/>
      <c r="CL6" s="73"/>
      <c r="CM6" s="250"/>
      <c r="CN6" s="250"/>
      <c r="CO6" s="251"/>
      <c r="CP6" s="251"/>
      <c r="CQ6" s="249"/>
      <c r="CR6" s="251"/>
      <c r="CS6" s="251"/>
      <c r="CT6" s="249"/>
      <c r="CU6" s="73"/>
      <c r="CV6" s="232"/>
      <c r="CW6" s="232"/>
      <c r="CX6" s="233"/>
      <c r="CY6" s="233"/>
      <c r="CZ6" s="231"/>
      <c r="DA6" s="233"/>
      <c r="DB6" s="233"/>
      <c r="DC6" s="231"/>
      <c r="DD6" s="73"/>
      <c r="DE6" s="103"/>
      <c r="DF6" s="103"/>
      <c r="DG6" s="104"/>
      <c r="DH6" s="104"/>
      <c r="DI6" s="102"/>
      <c r="DJ6" s="104"/>
      <c r="DK6" s="104"/>
      <c r="DL6" s="102"/>
      <c r="DM6" s="73"/>
      <c r="DN6" s="103"/>
      <c r="DO6" s="103"/>
      <c r="DP6" s="104"/>
      <c r="DQ6" s="104"/>
      <c r="DR6" s="102"/>
      <c r="DS6" s="104"/>
      <c r="DT6" s="104"/>
      <c r="DU6" s="102"/>
      <c r="DV6" s="73"/>
      <c r="DW6" s="24"/>
      <c r="DX6" s="24"/>
      <c r="DY6" s="50"/>
      <c r="DZ6" s="50"/>
      <c r="EA6" s="128"/>
      <c r="EB6" s="123"/>
      <c r="EC6" s="123"/>
      <c r="ED6" s="128"/>
      <c r="EE6" s="130"/>
      <c r="EF6" s="103"/>
      <c r="EG6" s="103"/>
      <c r="EH6" s="104"/>
      <c r="EI6" s="104"/>
      <c r="EJ6" s="102"/>
      <c r="EK6" s="104"/>
      <c r="EL6" s="104"/>
      <c r="EM6" s="102"/>
      <c r="EN6" s="73"/>
      <c r="EO6" s="77"/>
      <c r="EP6" s="77"/>
      <c r="EQ6" s="78"/>
      <c r="ER6" s="78"/>
      <c r="ES6" s="79"/>
      <c r="ET6" s="80"/>
      <c r="EU6" s="78"/>
      <c r="EV6" s="79"/>
      <c r="EX6" s="42"/>
      <c r="EY6" s="42"/>
      <c r="EZ6" s="43"/>
      <c r="FA6" s="43"/>
      <c r="FB6" s="44"/>
      <c r="FC6" s="45"/>
      <c r="FD6" s="43"/>
      <c r="FE6" s="44"/>
      <c r="FF6" s="61"/>
      <c r="FG6" s="24"/>
      <c r="FH6" s="25"/>
      <c r="FI6" s="25"/>
      <c r="FJ6" s="32"/>
      <c r="FK6" s="27"/>
      <c r="FL6" s="25"/>
      <c r="FM6" s="32"/>
      <c r="FO6" s="4"/>
      <c r="FP6" s="5"/>
      <c r="FQ6" s="5"/>
      <c r="FR6" s="36"/>
      <c r="FS6" s="46"/>
      <c r="FT6" s="5"/>
      <c r="FU6" s="47"/>
    </row>
    <row r="7" spans="1:177" x14ac:dyDescent="0.5">
      <c r="A7" s="250"/>
      <c r="B7" s="333" t="s">
        <v>808</v>
      </c>
      <c r="C7" s="251">
        <v>3507</v>
      </c>
      <c r="D7" s="248">
        <v>2477</v>
      </c>
      <c r="E7" s="249">
        <f t="shared" ref="E7:E8" si="18">((D7-C7)/C7)*100</f>
        <v>-29.369831765041344</v>
      </c>
      <c r="F7" s="251">
        <v>3750</v>
      </c>
      <c r="G7" s="248">
        <v>2477</v>
      </c>
      <c r="H7" s="249">
        <f t="shared" ref="H7:H8" si="19">((G7-F7)/F7)*100</f>
        <v>-33.946666666666673</v>
      </c>
      <c r="I7" s="250"/>
      <c r="J7" s="333" t="s">
        <v>808</v>
      </c>
      <c r="K7" s="251">
        <v>3540</v>
      </c>
      <c r="L7" s="251">
        <v>3750</v>
      </c>
      <c r="M7" s="249">
        <f t="shared" si="2"/>
        <v>5.9322033898305087</v>
      </c>
      <c r="N7" s="251">
        <v>0</v>
      </c>
      <c r="O7" s="251">
        <v>3750</v>
      </c>
      <c r="P7" s="249" t="e">
        <f t="shared" si="3"/>
        <v>#DIV/0!</v>
      </c>
      <c r="Q7" s="250"/>
      <c r="R7" s="333"/>
      <c r="S7" s="360"/>
      <c r="T7" s="251"/>
      <c r="U7" s="336"/>
      <c r="V7" s="360"/>
      <c r="W7" s="251"/>
      <c r="X7" s="336"/>
      <c r="Y7" s="250"/>
      <c r="Z7" s="250"/>
      <c r="AA7" s="251"/>
      <c r="AB7" s="251"/>
      <c r="AC7" s="249"/>
      <c r="AD7" s="251"/>
      <c r="AE7" s="251"/>
      <c r="AF7" s="249"/>
      <c r="AG7" s="250"/>
      <c r="AH7" s="250"/>
      <c r="AI7" s="251"/>
      <c r="AJ7" s="251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50"/>
      <c r="BF7" s="250"/>
      <c r="BG7" s="251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73"/>
      <c r="BV7" s="250"/>
      <c r="BW7" s="251"/>
      <c r="BX7" s="251"/>
      <c r="BY7" s="249"/>
      <c r="BZ7" s="251"/>
      <c r="CA7" s="251"/>
      <c r="CB7" s="249"/>
      <c r="CC7" s="73"/>
      <c r="CD7" s="250"/>
      <c r="CE7" s="250"/>
      <c r="CF7" s="251"/>
      <c r="CG7" s="251"/>
      <c r="CH7" s="249"/>
      <c r="CI7" s="251"/>
      <c r="CJ7" s="251"/>
      <c r="CK7" s="249"/>
      <c r="CL7" s="73"/>
      <c r="CM7" s="250"/>
      <c r="CN7" s="250"/>
      <c r="CO7" s="251"/>
      <c r="CP7" s="251"/>
      <c r="CQ7" s="249"/>
      <c r="CR7" s="251"/>
      <c r="CS7" s="251"/>
      <c r="CT7" s="249"/>
      <c r="CU7" s="73"/>
      <c r="CV7" s="232"/>
      <c r="CW7" s="232"/>
      <c r="CX7" s="233"/>
      <c r="CY7" s="233"/>
      <c r="CZ7" s="231"/>
      <c r="DA7" s="233"/>
      <c r="DB7" s="233"/>
      <c r="DC7" s="231"/>
      <c r="DD7" s="73"/>
      <c r="DE7" s="103"/>
      <c r="DF7" s="103"/>
      <c r="DG7" s="104"/>
      <c r="DH7" s="104"/>
      <c r="DI7" s="102"/>
      <c r="DJ7" s="104"/>
      <c r="DK7" s="104"/>
      <c r="DL7" s="102"/>
      <c r="DM7" s="73"/>
      <c r="DN7" s="103"/>
      <c r="DO7" s="103"/>
      <c r="DP7" s="104"/>
      <c r="DQ7" s="104"/>
      <c r="DR7" s="102"/>
      <c r="DS7" s="104"/>
      <c r="DT7" s="104"/>
      <c r="DU7" s="102"/>
      <c r="DV7" s="73"/>
      <c r="DW7" s="24"/>
      <c r="DX7" s="24"/>
      <c r="DY7" s="50"/>
      <c r="DZ7" s="50"/>
      <c r="EA7" s="128"/>
      <c r="EB7" s="123"/>
      <c r="EC7" s="123"/>
      <c r="ED7" s="128"/>
      <c r="EE7" s="130"/>
      <c r="EF7" s="103"/>
      <c r="EG7" s="103"/>
      <c r="EH7" s="104"/>
      <c r="EI7" s="104"/>
      <c r="EJ7" s="102"/>
      <c r="EK7" s="104"/>
      <c r="EL7" s="104"/>
      <c r="EM7" s="102"/>
      <c r="EN7" s="73"/>
      <c r="EO7" s="77"/>
      <c r="EP7" s="77"/>
      <c r="EQ7" s="78"/>
      <c r="ER7" s="78"/>
      <c r="ES7" s="79"/>
      <c r="ET7" s="80"/>
      <c r="EU7" s="78"/>
      <c r="EV7" s="79"/>
      <c r="EX7" s="42"/>
      <c r="EY7" s="42"/>
      <c r="EZ7" s="43"/>
      <c r="FA7" s="43"/>
      <c r="FB7" s="44"/>
      <c r="FC7" s="45"/>
      <c r="FD7" s="43"/>
      <c r="FE7" s="44"/>
      <c r="FF7" s="61"/>
      <c r="FG7" s="24"/>
      <c r="FH7" s="25"/>
      <c r="FI7" s="25"/>
      <c r="FJ7" s="32"/>
      <c r="FK7" s="27"/>
      <c r="FL7" s="25"/>
      <c r="FM7" s="32"/>
      <c r="FO7" s="4"/>
      <c r="FP7" s="5"/>
      <c r="FQ7" s="5"/>
      <c r="FR7" s="36"/>
      <c r="FS7" s="46"/>
      <c r="FT7" s="5"/>
      <c r="FU7" s="47"/>
    </row>
    <row r="8" spans="1:177" x14ac:dyDescent="0.5">
      <c r="A8" s="247" t="s">
        <v>1</v>
      </c>
      <c r="B8" s="247"/>
      <c r="C8" s="248">
        <v>130283</v>
      </c>
      <c r="D8" s="248">
        <v>134440</v>
      </c>
      <c r="E8" s="249">
        <f t="shared" si="18"/>
        <v>3.1907462984426211</v>
      </c>
      <c r="F8" s="248">
        <v>117884</v>
      </c>
      <c r="G8" s="248">
        <v>134440</v>
      </c>
      <c r="H8" s="249">
        <f t="shared" si="19"/>
        <v>14.044314750093312</v>
      </c>
      <c r="I8" s="247" t="s">
        <v>1</v>
      </c>
      <c r="J8" s="247"/>
      <c r="K8" s="248">
        <v>131736</v>
      </c>
      <c r="L8" s="248">
        <v>117884</v>
      </c>
      <c r="M8" s="249">
        <f t="shared" si="2"/>
        <v>-10.514969332604602</v>
      </c>
      <c r="N8" s="248">
        <v>141455</v>
      </c>
      <c r="O8" s="248">
        <v>117884</v>
      </c>
      <c r="P8" s="249">
        <f t="shared" si="3"/>
        <v>-16.663249796755153</v>
      </c>
      <c r="Q8" s="247" t="s">
        <v>1</v>
      </c>
      <c r="R8" s="247"/>
      <c r="S8" s="248">
        <v>160123</v>
      </c>
      <c r="T8" s="248">
        <v>141455</v>
      </c>
      <c r="U8" s="249">
        <f>((T8-S8)/S8)*100</f>
        <v>-11.658537499297415</v>
      </c>
      <c r="V8" s="248">
        <v>150297</v>
      </c>
      <c r="W8" s="248">
        <v>141455</v>
      </c>
      <c r="X8" s="249">
        <f>((W8-V8)/V8)*100</f>
        <v>-5.8830182904515729</v>
      </c>
      <c r="Y8" s="247" t="s">
        <v>1</v>
      </c>
      <c r="Z8" s="247"/>
      <c r="AA8" s="248">
        <v>171835</v>
      </c>
      <c r="AB8" s="248">
        <v>150297</v>
      </c>
      <c r="AC8" s="249">
        <f>((AB8-AA8)/AA8)*100</f>
        <v>-12.534117030872642</v>
      </c>
      <c r="AD8" s="248">
        <v>109879</v>
      </c>
      <c r="AE8" s="248">
        <v>150297</v>
      </c>
      <c r="AF8" s="249">
        <f>((AE8-AD8)/AD8)*100</f>
        <v>36.784098872396001</v>
      </c>
      <c r="AG8" s="247" t="s">
        <v>1</v>
      </c>
      <c r="AH8" s="247"/>
      <c r="AI8" s="248">
        <v>104424</v>
      </c>
      <c r="AJ8" s="248">
        <v>109879</v>
      </c>
      <c r="AK8" s="249">
        <f>((AJ8-AI8)/AI8)*100</f>
        <v>5.2238948900635869</v>
      </c>
      <c r="AL8" s="248">
        <v>133441</v>
      </c>
      <c r="AM8" s="248">
        <v>109879</v>
      </c>
      <c r="AN8" s="249">
        <f>((AM8-AL8)/AL8)*100</f>
        <v>-17.657241777264858</v>
      </c>
      <c r="AO8" s="247" t="s">
        <v>1</v>
      </c>
      <c r="AP8" s="247"/>
      <c r="AQ8" s="248">
        <v>143424</v>
      </c>
      <c r="AR8" s="248">
        <v>133441</v>
      </c>
      <c r="AS8" s="249">
        <f>((AR8-AQ8)/AQ8)*100</f>
        <v>-6.9604808121374386</v>
      </c>
      <c r="AT8" s="248">
        <v>135090</v>
      </c>
      <c r="AU8" s="248">
        <v>133441</v>
      </c>
      <c r="AV8" s="249">
        <f>((AU8-AT8)/AT8)*100</f>
        <v>-1.2206677030128061</v>
      </c>
      <c r="AW8" s="247" t="s">
        <v>1</v>
      </c>
      <c r="AX8" s="247"/>
      <c r="AY8" s="248">
        <v>149421</v>
      </c>
      <c r="AZ8" s="248">
        <v>135090</v>
      </c>
      <c r="BA8" s="249">
        <f>((AZ8-AY8)/AY8)*100</f>
        <v>-9.5910213423815929</v>
      </c>
      <c r="BB8" s="248">
        <v>140500</v>
      </c>
      <c r="BC8" s="248">
        <v>135090</v>
      </c>
      <c r="BD8" s="249">
        <f>((BC8-BB8)/BB8)*100</f>
        <v>-3.8505338078291818</v>
      </c>
      <c r="BE8" s="247" t="s">
        <v>1</v>
      </c>
      <c r="BF8" s="247"/>
      <c r="BG8" s="248">
        <v>156866</v>
      </c>
      <c r="BH8" s="248">
        <v>140500</v>
      </c>
      <c r="BI8" s="249">
        <f>((BH8-BG8)/BG8)*100</f>
        <v>-10.433108512998356</v>
      </c>
      <c r="BJ8" s="248">
        <v>155534</v>
      </c>
      <c r="BK8" s="248">
        <v>140500</v>
      </c>
      <c r="BL8" s="249">
        <f>((BK8-BJ8)/BJ8)*100</f>
        <v>-9.6660537245875506</v>
      </c>
      <c r="BM8" s="247" t="s">
        <v>1</v>
      </c>
      <c r="BN8" s="247"/>
      <c r="BO8" s="248">
        <v>151078</v>
      </c>
      <c r="BP8" s="248">
        <v>151353</v>
      </c>
      <c r="BQ8" s="249">
        <f>((BP8-BO8)/BO8)*100</f>
        <v>0.18202517904658519</v>
      </c>
      <c r="BR8" s="248">
        <v>156753</v>
      </c>
      <c r="BS8" s="248">
        <v>151353</v>
      </c>
      <c r="BT8" s="249">
        <f>((BS8-BR8)/BR8)*100</f>
        <v>-3.4449101452603776</v>
      </c>
      <c r="BU8" s="73"/>
      <c r="BV8" s="247"/>
      <c r="BW8" s="248">
        <v>155996</v>
      </c>
      <c r="BX8" s="248">
        <v>156753</v>
      </c>
      <c r="BY8" s="249">
        <f>((BX8-BW8)/BW8)*100</f>
        <v>0.48526885304751405</v>
      </c>
      <c r="BZ8" s="248">
        <v>134434</v>
      </c>
      <c r="CA8" s="248">
        <v>156753</v>
      </c>
      <c r="CB8" s="249">
        <f>((CA8-BZ8)/BZ8)*100</f>
        <v>16.602198848505587</v>
      </c>
      <c r="CC8" s="73"/>
      <c r="CD8" s="247" t="s">
        <v>1</v>
      </c>
      <c r="CE8" s="247"/>
      <c r="CF8" s="248">
        <v>125620</v>
      </c>
      <c r="CG8" s="248">
        <v>134434</v>
      </c>
      <c r="CH8" s="249">
        <f>((CG8-CF8)/CF8)*100</f>
        <v>7.016398662633339</v>
      </c>
      <c r="CI8" s="248">
        <v>142816</v>
      </c>
      <c r="CJ8" s="248">
        <v>134434</v>
      </c>
      <c r="CK8" s="249">
        <f>((CJ8-CI8)/CI8)*100</f>
        <v>-5.8690902980058262</v>
      </c>
      <c r="CL8" s="73"/>
      <c r="CM8" s="247" t="s">
        <v>1</v>
      </c>
      <c r="CN8" s="247"/>
      <c r="CO8" s="248">
        <f>SUM(CO9:CO11)</f>
        <v>143235</v>
      </c>
      <c r="CP8" s="248">
        <v>142816</v>
      </c>
      <c r="CQ8" s="249">
        <f>((CP8-CO8)/CO8)*100</f>
        <v>-0.29252626802108422</v>
      </c>
      <c r="CR8" s="248">
        <f>SUM(CR9:CR11)</f>
        <v>151701</v>
      </c>
      <c r="CS8" s="248">
        <v>142816</v>
      </c>
      <c r="CT8" s="249">
        <f>((CS8-CR8)/CR8)*100</f>
        <v>-5.8569159069485375</v>
      </c>
      <c r="CU8" s="73"/>
      <c r="CV8" s="229" t="s">
        <v>1</v>
      </c>
      <c r="CW8" s="229"/>
      <c r="CX8" s="230">
        <f>SUM(CX9:CX11)</f>
        <v>163757</v>
      </c>
      <c r="CY8" s="230">
        <f>SUM(CY9:CY11)</f>
        <v>151701</v>
      </c>
      <c r="CZ8" s="231">
        <f t="shared" si="6"/>
        <v>-7.3621280311681332</v>
      </c>
      <c r="DA8" s="230">
        <f>SUM(DA9:DA11)</f>
        <v>170859</v>
      </c>
      <c r="DB8" s="230">
        <f>SUM(DB9:DB11)</f>
        <v>151701</v>
      </c>
      <c r="DC8" s="231">
        <f t="shared" si="7"/>
        <v>-11.212754376415642</v>
      </c>
      <c r="DD8" s="73"/>
      <c r="DE8" s="100" t="s">
        <v>1</v>
      </c>
      <c r="DF8" s="100"/>
      <c r="DG8" s="101">
        <f>SUM(DG9:DG11)</f>
        <v>179717</v>
      </c>
      <c r="DH8" s="101">
        <f>SUM(DH9:DH11)</f>
        <v>170858</v>
      </c>
      <c r="DI8" s="102">
        <f t="shared" si="8"/>
        <v>-4.9294168053105718</v>
      </c>
      <c r="DJ8" s="101">
        <f>SUM(DJ9:DJ11)</f>
        <v>172177</v>
      </c>
      <c r="DK8" s="101">
        <f>SUM(DK9:DK11)</f>
        <v>170858</v>
      </c>
      <c r="DL8" s="102">
        <f t="shared" si="9"/>
        <v>-0.76607212345435227</v>
      </c>
      <c r="DM8" s="73"/>
      <c r="DN8" s="100" t="s">
        <v>1</v>
      </c>
      <c r="DO8" s="100"/>
      <c r="DP8" s="101">
        <f>SUM(DP9:DP11)</f>
        <v>190720</v>
      </c>
      <c r="DQ8" s="101">
        <f>SUM(DQ9:DQ11)</f>
        <v>172176</v>
      </c>
      <c r="DR8" s="102">
        <f t="shared" si="10"/>
        <v>-9.723154362416107</v>
      </c>
      <c r="DS8" s="101">
        <v>152365</v>
      </c>
      <c r="DT8" s="101">
        <f>SUM(DT9:DT11)</f>
        <v>172176</v>
      </c>
      <c r="DU8" s="102">
        <f t="shared" si="11"/>
        <v>13.002329931414694</v>
      </c>
      <c r="DV8" s="73"/>
      <c r="DW8" s="120" t="s">
        <v>1</v>
      </c>
      <c r="DX8" s="120"/>
      <c r="DY8" s="133">
        <f>SUM(DY9:DY11)</f>
        <v>162516</v>
      </c>
      <c r="DZ8" s="133">
        <f>SUM(DZ9:DZ11)</f>
        <v>152365</v>
      </c>
      <c r="EA8" s="125">
        <f t="shared" si="12"/>
        <v>-6.246154224814787</v>
      </c>
      <c r="EB8" s="121">
        <v>129112</v>
      </c>
      <c r="EC8" s="121">
        <v>152365</v>
      </c>
      <c r="ED8" s="125">
        <f t="shared" si="13"/>
        <v>18.009944854080178</v>
      </c>
      <c r="EE8" s="127"/>
      <c r="EF8" s="100" t="s">
        <v>1</v>
      </c>
      <c r="EG8" s="100"/>
      <c r="EH8" s="101">
        <f>SUM(EH9:EH11)</f>
        <v>121348</v>
      </c>
      <c r="EI8" s="101">
        <f>SUM(EI9:EI11)</f>
        <v>129112</v>
      </c>
      <c r="EJ8" s="102">
        <f t="shared" si="14"/>
        <v>6.3981276988495903</v>
      </c>
      <c r="EK8" s="101">
        <f>SUM(EK9:EK11)</f>
        <v>147530</v>
      </c>
      <c r="EL8" s="101">
        <v>129112</v>
      </c>
      <c r="EM8" s="102">
        <f t="shared" si="15"/>
        <v>-12.484240493458957</v>
      </c>
      <c r="EN8" s="73"/>
      <c r="EO8" s="74" t="s">
        <v>1</v>
      </c>
      <c r="EP8" s="74"/>
      <c r="EQ8" s="75">
        <v>143095</v>
      </c>
      <c r="ER8" s="75">
        <f>SUM(ER9:ER11)</f>
        <v>147510</v>
      </c>
      <c r="ES8" s="76">
        <f t="shared" si="16"/>
        <v>3.0853628708200844</v>
      </c>
      <c r="ET8" s="75">
        <v>117210</v>
      </c>
      <c r="EU8" s="75">
        <v>147510</v>
      </c>
      <c r="EV8" s="76">
        <f t="shared" si="17"/>
        <v>25.851036600972616</v>
      </c>
      <c r="EX8" s="63" t="s">
        <v>1</v>
      </c>
      <c r="EY8" s="63"/>
      <c r="EZ8" s="64">
        <v>136716</v>
      </c>
      <c r="FA8" s="64">
        <f>SUM(FA9:FA11)</f>
        <v>117210</v>
      </c>
      <c r="FB8" s="65">
        <f t="shared" si="4"/>
        <v>-14.26753269551479</v>
      </c>
      <c r="FC8" s="64">
        <f>SUM(FC9:FC11)</f>
        <v>159430</v>
      </c>
      <c r="FD8" s="64">
        <f>SUM(FD9:FD11)</f>
        <v>117210</v>
      </c>
      <c r="FE8" s="65">
        <f t="shared" si="5"/>
        <v>-26.481841560559495</v>
      </c>
      <c r="FF8" s="73"/>
    </row>
    <row r="9" spans="1:177" x14ac:dyDescent="0.5">
      <c r="A9" s="250"/>
      <c r="B9" s="250" t="s">
        <v>521</v>
      </c>
      <c r="C9" s="335">
        <v>0</v>
      </c>
      <c r="D9" s="248">
        <v>0</v>
      </c>
      <c r="E9" s="336" t="s">
        <v>530</v>
      </c>
      <c r="F9" s="335">
        <v>0</v>
      </c>
      <c r="G9" s="248">
        <v>0</v>
      </c>
      <c r="H9" s="336" t="s">
        <v>530</v>
      </c>
      <c r="I9" s="250"/>
      <c r="J9" s="250" t="s">
        <v>521</v>
      </c>
      <c r="K9" s="335">
        <v>0</v>
      </c>
      <c r="L9" s="335">
        <v>0</v>
      </c>
      <c r="M9" s="336" t="s">
        <v>530</v>
      </c>
      <c r="N9" s="335">
        <v>0</v>
      </c>
      <c r="O9" s="335">
        <v>0</v>
      </c>
      <c r="P9" s="336" t="s">
        <v>530</v>
      </c>
      <c r="Q9" s="250"/>
      <c r="R9" s="250" t="s">
        <v>521</v>
      </c>
      <c r="S9" s="335">
        <v>0</v>
      </c>
      <c r="T9" s="335">
        <v>0</v>
      </c>
      <c r="U9" s="336" t="s">
        <v>530</v>
      </c>
      <c r="V9" s="335">
        <v>0</v>
      </c>
      <c r="W9" s="335">
        <v>0</v>
      </c>
      <c r="X9" s="336" t="s">
        <v>530</v>
      </c>
      <c r="Y9" s="250"/>
      <c r="Z9" s="250" t="s">
        <v>521</v>
      </c>
      <c r="AA9" s="335">
        <v>0</v>
      </c>
      <c r="AB9" s="335">
        <v>0</v>
      </c>
      <c r="AC9" s="336" t="s">
        <v>530</v>
      </c>
      <c r="AD9" s="335" t="s">
        <v>530</v>
      </c>
      <c r="AE9" s="335">
        <v>0</v>
      </c>
      <c r="AF9" s="336" t="s">
        <v>530</v>
      </c>
      <c r="AG9" s="250"/>
      <c r="AH9" s="250" t="s">
        <v>521</v>
      </c>
      <c r="AI9" s="335" t="s">
        <v>530</v>
      </c>
      <c r="AJ9" s="335" t="s">
        <v>530</v>
      </c>
      <c r="AK9" s="336" t="s">
        <v>530</v>
      </c>
      <c r="AL9" s="335" t="s">
        <v>530</v>
      </c>
      <c r="AM9" s="335" t="s">
        <v>530</v>
      </c>
      <c r="AN9" s="336" t="s">
        <v>530</v>
      </c>
      <c r="AO9" s="250"/>
      <c r="AP9" s="250" t="s">
        <v>521</v>
      </c>
      <c r="AQ9" s="335" t="s">
        <v>530</v>
      </c>
      <c r="AR9" s="335" t="s">
        <v>530</v>
      </c>
      <c r="AS9" s="336" t="s">
        <v>530</v>
      </c>
      <c r="AT9" s="335" t="s">
        <v>530</v>
      </c>
      <c r="AU9" s="335" t="s">
        <v>530</v>
      </c>
      <c r="AV9" s="336" t="s">
        <v>530</v>
      </c>
      <c r="AW9" s="250"/>
      <c r="AX9" s="250" t="s">
        <v>521</v>
      </c>
      <c r="AY9" s="335" t="s">
        <v>530</v>
      </c>
      <c r="AZ9" s="335" t="s">
        <v>530</v>
      </c>
      <c r="BA9" s="336" t="s">
        <v>530</v>
      </c>
      <c r="BB9" s="335" t="s">
        <v>530</v>
      </c>
      <c r="BC9" s="335" t="s">
        <v>530</v>
      </c>
      <c r="BD9" s="336" t="s">
        <v>530</v>
      </c>
      <c r="BE9" s="250"/>
      <c r="BF9" s="250" t="s">
        <v>521</v>
      </c>
      <c r="BG9" s="335" t="s">
        <v>530</v>
      </c>
      <c r="BH9" s="335" t="s">
        <v>530</v>
      </c>
      <c r="BI9" s="336" t="s">
        <v>530</v>
      </c>
      <c r="BJ9" s="335">
        <v>0</v>
      </c>
      <c r="BK9" s="335" t="s">
        <v>530</v>
      </c>
      <c r="BL9" s="336" t="s">
        <v>530</v>
      </c>
      <c r="BM9" s="250"/>
      <c r="BN9" s="250" t="s">
        <v>435</v>
      </c>
      <c r="BO9" s="252"/>
      <c r="BP9" s="252"/>
      <c r="BQ9" s="249"/>
      <c r="BR9" s="252">
        <v>28</v>
      </c>
      <c r="BS9" s="252"/>
      <c r="BT9" s="249"/>
      <c r="BU9" s="73"/>
      <c r="BV9" s="250" t="s">
        <v>435</v>
      </c>
      <c r="BW9" s="252">
        <v>9</v>
      </c>
      <c r="BX9" s="252">
        <v>28</v>
      </c>
      <c r="BY9" s="249">
        <f>((BX9-BW9)/BW9)*100</f>
        <v>211.11111111111111</v>
      </c>
      <c r="BZ9" s="252"/>
      <c r="CA9" s="252">
        <v>28</v>
      </c>
      <c r="CB9" s="249"/>
      <c r="CC9" s="73"/>
      <c r="CD9" s="250"/>
      <c r="CE9" s="250" t="s">
        <v>57</v>
      </c>
      <c r="CF9" s="252">
        <v>63368</v>
      </c>
      <c r="CG9" s="252">
        <v>67298</v>
      </c>
      <c r="CH9" s="249">
        <f t="shared" ref="CH9:CH18" si="20">((CG9-CF9)/CF9)*100</f>
        <v>6.2018684509531621</v>
      </c>
      <c r="CI9" s="252">
        <v>73234</v>
      </c>
      <c r="CJ9" s="252">
        <v>67298</v>
      </c>
      <c r="CK9" s="249">
        <f t="shared" ref="CK9:CK18" si="21">((CJ9-CI9)/CI9)*100</f>
        <v>-8.1055247562607526</v>
      </c>
      <c r="CL9" s="73"/>
      <c r="CM9" s="250"/>
      <c r="CN9" s="250" t="s">
        <v>57</v>
      </c>
      <c r="CO9" s="252">
        <v>73923</v>
      </c>
      <c r="CP9" s="252">
        <v>73234</v>
      </c>
      <c r="CQ9" s="249">
        <f t="shared" ref="CQ9:CQ18" si="22">((CP9-CO9)/CO9)*100</f>
        <v>-0.93205091784694882</v>
      </c>
      <c r="CR9" s="252">
        <v>72795</v>
      </c>
      <c r="CS9" s="252">
        <v>73234</v>
      </c>
      <c r="CT9" s="249">
        <f t="shared" ref="CT9:CT18" si="23">((CS9-CR9)/CR9)*100</f>
        <v>0.60306339721134694</v>
      </c>
      <c r="CU9" s="73"/>
      <c r="CV9" s="232"/>
      <c r="CW9" s="232" t="s">
        <v>57</v>
      </c>
      <c r="CX9" s="234">
        <v>78407</v>
      </c>
      <c r="CY9" s="234">
        <v>72795</v>
      </c>
      <c r="CZ9" s="231">
        <f t="shared" si="6"/>
        <v>-7.1575242006453506</v>
      </c>
      <c r="DA9" s="234">
        <v>80029</v>
      </c>
      <c r="DB9" s="234">
        <v>72795</v>
      </c>
      <c r="DC9" s="231">
        <f t="shared" si="7"/>
        <v>-9.0392232815604334</v>
      </c>
      <c r="DD9" s="73"/>
      <c r="DE9" s="103"/>
      <c r="DF9" s="103" t="s">
        <v>57</v>
      </c>
      <c r="DG9" s="105">
        <v>83092</v>
      </c>
      <c r="DH9" s="105">
        <v>79415</v>
      </c>
      <c r="DI9" s="102">
        <f t="shared" si="8"/>
        <v>-4.4252154238675203</v>
      </c>
      <c r="DJ9" s="105">
        <v>86246</v>
      </c>
      <c r="DK9" s="105">
        <v>79415</v>
      </c>
      <c r="DL9" s="102">
        <f t="shared" si="9"/>
        <v>-7.9203673213830204</v>
      </c>
      <c r="DM9" s="73"/>
      <c r="DN9" s="103"/>
      <c r="DO9" s="103" t="s">
        <v>57</v>
      </c>
      <c r="DP9" s="105">
        <v>96008</v>
      </c>
      <c r="DQ9" s="105">
        <v>86246</v>
      </c>
      <c r="DR9" s="102">
        <f t="shared" si="10"/>
        <v>-10.167902674777102</v>
      </c>
      <c r="DS9" s="105">
        <v>70787</v>
      </c>
      <c r="DT9" s="105">
        <v>86246</v>
      </c>
      <c r="DU9" s="102">
        <f t="shared" si="11"/>
        <v>21.838755703730911</v>
      </c>
      <c r="DV9" s="73"/>
      <c r="DW9" s="24"/>
      <c r="DX9" s="24" t="s">
        <v>57</v>
      </c>
      <c r="DY9" s="50">
        <v>74070</v>
      </c>
      <c r="DZ9" s="50">
        <v>70787</v>
      </c>
      <c r="EA9" s="128">
        <f t="shared" si="12"/>
        <v>-4.4322937761576888</v>
      </c>
      <c r="EB9" s="25">
        <v>62551</v>
      </c>
      <c r="EC9" s="25">
        <v>70787</v>
      </c>
      <c r="ED9" s="128">
        <f t="shared" si="13"/>
        <v>13.166855845629966</v>
      </c>
      <c r="EE9" s="130"/>
      <c r="EF9" s="103"/>
      <c r="EG9" s="103" t="s">
        <v>57</v>
      </c>
      <c r="EH9" s="105">
        <v>60331</v>
      </c>
      <c r="EI9" s="105">
        <v>62551</v>
      </c>
      <c r="EJ9" s="102">
        <f t="shared" si="14"/>
        <v>3.6797003199018747</v>
      </c>
      <c r="EK9" s="105">
        <v>78583</v>
      </c>
      <c r="EL9" s="105">
        <v>62551</v>
      </c>
      <c r="EM9" s="102">
        <f t="shared" si="15"/>
        <v>-20.401359072572948</v>
      </c>
      <c r="EN9" s="73"/>
      <c r="EO9" s="77"/>
      <c r="EP9" s="77" t="s">
        <v>57</v>
      </c>
      <c r="EQ9" s="80">
        <v>80365</v>
      </c>
      <c r="ER9" s="80">
        <v>82746</v>
      </c>
      <c r="ES9" s="79">
        <f t="shared" si="16"/>
        <v>2.9627325328190133</v>
      </c>
      <c r="ET9" s="81">
        <v>64141</v>
      </c>
      <c r="EU9" s="80">
        <v>82746</v>
      </c>
      <c r="EV9" s="79">
        <f t="shared" si="17"/>
        <v>29.006407757908359</v>
      </c>
      <c r="EX9" s="42"/>
      <c r="EY9" s="42" t="s">
        <v>57</v>
      </c>
      <c r="EZ9" s="43">
        <v>75276</v>
      </c>
      <c r="FA9" s="43">
        <v>64141</v>
      </c>
      <c r="FB9" s="44">
        <f t="shared" si="4"/>
        <v>-14.792231255645891</v>
      </c>
      <c r="FC9" s="45">
        <v>86674</v>
      </c>
      <c r="FD9" s="43">
        <v>64141</v>
      </c>
      <c r="FE9" s="44">
        <f t="shared" si="5"/>
        <v>-25.997415603295103</v>
      </c>
      <c r="FF9" s="61"/>
      <c r="FH9" s="34" t="s">
        <v>29</v>
      </c>
      <c r="FO9" s="34" t="s">
        <v>31</v>
      </c>
    </row>
    <row r="10" spans="1:177" x14ac:dyDescent="0.5">
      <c r="A10" s="250"/>
      <c r="B10" s="250" t="s">
        <v>522</v>
      </c>
      <c r="C10" s="252">
        <v>40139</v>
      </c>
      <c r="D10" s="248">
        <v>40674</v>
      </c>
      <c r="E10" s="249">
        <f t="shared" ref="E10:E15" si="24">((D10-C10)/C10)*100</f>
        <v>1.3328682827175566</v>
      </c>
      <c r="F10" s="252">
        <v>40051</v>
      </c>
      <c r="G10" s="248">
        <v>40674</v>
      </c>
      <c r="H10" s="249">
        <f t="shared" ref="H10:H18" si="25">((G10-F10)/F10)*100</f>
        <v>1.5555167161868617</v>
      </c>
      <c r="I10" s="250"/>
      <c r="J10" s="250" t="s">
        <v>522</v>
      </c>
      <c r="K10" s="252">
        <v>44328</v>
      </c>
      <c r="L10" s="252">
        <v>40051</v>
      </c>
      <c r="M10" s="249">
        <f t="shared" ref="M10:M18" si="26">((L10-K10)/K10)*100</f>
        <v>-9.6485291463634724</v>
      </c>
      <c r="N10" s="252">
        <v>54746</v>
      </c>
      <c r="O10" s="252">
        <v>40051</v>
      </c>
      <c r="P10" s="249">
        <f t="shared" ref="P10:P18" si="27">((O10-N10)/N10)*100</f>
        <v>-26.842143718262523</v>
      </c>
      <c r="Q10" s="250"/>
      <c r="R10" s="250" t="s">
        <v>522</v>
      </c>
      <c r="S10" s="252">
        <v>64272</v>
      </c>
      <c r="T10" s="252">
        <v>54746</v>
      </c>
      <c r="U10" s="249">
        <f t="shared" ref="U10:U18" si="28">((T10-S10)/S10)*100</f>
        <v>-14.821384117500621</v>
      </c>
      <c r="V10" s="252">
        <v>68970</v>
      </c>
      <c r="W10" s="252">
        <v>54746</v>
      </c>
      <c r="X10" s="249">
        <f t="shared" ref="X10:X18" si="29">((W10-V10)/V10)*100</f>
        <v>-20.623459475134116</v>
      </c>
      <c r="Y10" s="250"/>
      <c r="Z10" s="250" t="s">
        <v>522</v>
      </c>
      <c r="AA10" s="252">
        <v>71674</v>
      </c>
      <c r="AB10" s="252">
        <v>68970</v>
      </c>
      <c r="AC10" s="249">
        <f t="shared" ref="AC10:AC18" si="30">((AB10-AA10)/AA10)*100</f>
        <v>-3.7726372185171746</v>
      </c>
      <c r="AD10" s="252">
        <v>49828</v>
      </c>
      <c r="AE10" s="252">
        <v>68970</v>
      </c>
      <c r="AF10" s="249">
        <f t="shared" ref="AF10:AF18" si="31">((AE10-AD10)/AD10)*100</f>
        <v>38.416151561371116</v>
      </c>
      <c r="AG10" s="250"/>
      <c r="AH10" s="250" t="s">
        <v>522</v>
      </c>
      <c r="AI10" s="252">
        <v>48194</v>
      </c>
      <c r="AJ10" s="252">
        <v>49828</v>
      </c>
      <c r="AK10" s="249">
        <f t="shared" ref="AK10:AK18" si="32">((AJ10-AI10)/AI10)*100</f>
        <v>3.3904635431796488</v>
      </c>
      <c r="AL10" s="252">
        <v>63240</v>
      </c>
      <c r="AM10" s="252">
        <v>49828</v>
      </c>
      <c r="AN10" s="249">
        <f t="shared" ref="AN10:AN18" si="33">((AM10-AL10)/AL10)*100</f>
        <v>-21.208096141682478</v>
      </c>
      <c r="AO10" s="250"/>
      <c r="AP10" s="250" t="s">
        <v>522</v>
      </c>
      <c r="AQ10" s="252">
        <v>69032</v>
      </c>
      <c r="AR10" s="252">
        <v>63240</v>
      </c>
      <c r="AS10" s="249">
        <f t="shared" ref="AS10:AS18" si="34">((AR10-AQ10)/AQ10)*100</f>
        <v>-8.3903117394831384</v>
      </c>
      <c r="AT10" s="252">
        <v>67886</v>
      </c>
      <c r="AU10" s="252">
        <v>63240</v>
      </c>
      <c r="AV10" s="249">
        <f t="shared" ref="AV10:AV18" si="35">((AU10-AT10)/AT10)*100</f>
        <v>-6.8438264148719909</v>
      </c>
      <c r="AW10" s="250"/>
      <c r="AX10" s="250" t="s">
        <v>522</v>
      </c>
      <c r="AY10" s="252">
        <v>75034</v>
      </c>
      <c r="AZ10" s="252">
        <v>67886</v>
      </c>
      <c r="BA10" s="249">
        <f t="shared" ref="BA10:BA18" si="36">((AZ10-AY10)/AY10)*100</f>
        <v>-9.5263480555481515</v>
      </c>
      <c r="BB10" s="252">
        <v>72848</v>
      </c>
      <c r="BC10" s="252">
        <v>67886</v>
      </c>
      <c r="BD10" s="249">
        <f t="shared" ref="BD10:BD18" si="37">((BC10-BB10)/BB10)*100</f>
        <v>-6.811443004612344</v>
      </c>
      <c r="BE10" s="250"/>
      <c r="BF10" s="250" t="s">
        <v>522</v>
      </c>
      <c r="BG10" s="252">
        <v>81924</v>
      </c>
      <c r="BH10" s="252">
        <v>72848</v>
      </c>
      <c r="BI10" s="249">
        <f t="shared" ref="BI10:BI18" si="38">((BH10-BG10)/BG10)*100</f>
        <v>-11.078560617157365</v>
      </c>
      <c r="BJ10" s="252">
        <v>83819</v>
      </c>
      <c r="BK10" s="252">
        <v>72848</v>
      </c>
      <c r="BL10" s="249">
        <f t="shared" ref="BL10:BL18" si="39">((BK10-BJ10)/BJ10)*100</f>
        <v>-13.088917787136566</v>
      </c>
      <c r="BM10" s="250"/>
      <c r="BN10" s="250" t="s">
        <v>436</v>
      </c>
      <c r="BO10" s="252"/>
      <c r="BP10" s="252"/>
      <c r="BQ10" s="249"/>
      <c r="BR10" s="252">
        <v>135149</v>
      </c>
      <c r="BS10" s="252"/>
      <c r="BT10" s="249"/>
      <c r="BU10" s="73"/>
      <c r="BV10" s="250" t="s">
        <v>436</v>
      </c>
      <c r="BW10" s="252">
        <v>134639</v>
      </c>
      <c r="BX10" s="252">
        <v>135149</v>
      </c>
      <c r="BY10" s="249">
        <f t="shared" ref="BY10:BY18" si="40">((BX10-BW10)/BW10)*100</f>
        <v>0.37879069214714906</v>
      </c>
      <c r="BZ10" s="252"/>
      <c r="CA10" s="252">
        <v>135149</v>
      </c>
      <c r="CB10" s="249"/>
      <c r="CC10" s="73"/>
      <c r="CD10" s="250"/>
      <c r="CE10" s="250" t="s">
        <v>59</v>
      </c>
      <c r="CF10" s="252">
        <v>46165</v>
      </c>
      <c r="CG10" s="252">
        <v>50663</v>
      </c>
      <c r="CH10" s="249">
        <f t="shared" si="20"/>
        <v>9.7433120329253757</v>
      </c>
      <c r="CI10" s="252">
        <v>52980</v>
      </c>
      <c r="CJ10" s="252">
        <v>50663</v>
      </c>
      <c r="CK10" s="249">
        <f t="shared" si="21"/>
        <v>-4.373348433371083</v>
      </c>
      <c r="CL10" s="73"/>
      <c r="CM10" s="250"/>
      <c r="CN10" s="250" t="s">
        <v>59</v>
      </c>
      <c r="CO10" s="252">
        <v>52733</v>
      </c>
      <c r="CP10" s="252">
        <v>52980</v>
      </c>
      <c r="CQ10" s="249">
        <f t="shared" si="22"/>
        <v>0.46839739821364235</v>
      </c>
      <c r="CR10" s="252">
        <v>64953</v>
      </c>
      <c r="CS10" s="252">
        <v>52980</v>
      </c>
      <c r="CT10" s="249">
        <f t="shared" si="23"/>
        <v>-18.433328714609026</v>
      </c>
      <c r="CU10" s="73"/>
      <c r="CV10" s="232"/>
      <c r="CW10" s="232" t="s">
        <v>59</v>
      </c>
      <c r="CX10" s="234">
        <v>71797</v>
      </c>
      <c r="CY10" s="234">
        <v>64953</v>
      </c>
      <c r="CZ10" s="231">
        <f t="shared" si="6"/>
        <v>-9.5324317172026696</v>
      </c>
      <c r="DA10" s="234">
        <v>83760</v>
      </c>
      <c r="DB10" s="234">
        <v>64953</v>
      </c>
      <c r="DC10" s="231">
        <f t="shared" si="7"/>
        <v>-22.453438395415475</v>
      </c>
      <c r="DD10" s="73"/>
      <c r="DE10" s="103"/>
      <c r="DF10" s="103" t="s">
        <v>59</v>
      </c>
      <c r="DG10" s="105">
        <v>89065</v>
      </c>
      <c r="DH10" s="105">
        <v>83759</v>
      </c>
      <c r="DI10" s="102">
        <f t="shared" si="8"/>
        <v>-5.9574468085106389</v>
      </c>
      <c r="DJ10" s="105">
        <v>79734</v>
      </c>
      <c r="DK10" s="105">
        <v>83759</v>
      </c>
      <c r="DL10" s="102">
        <f t="shared" si="9"/>
        <v>5.048034715428801</v>
      </c>
      <c r="DM10" s="73"/>
      <c r="DN10" s="103"/>
      <c r="DO10" s="103" t="s">
        <v>59</v>
      </c>
      <c r="DP10" s="105">
        <v>87885</v>
      </c>
      <c r="DQ10" s="105">
        <v>79733</v>
      </c>
      <c r="DR10" s="102">
        <f t="shared" si="10"/>
        <v>-9.2757580929623948</v>
      </c>
      <c r="DS10" s="105">
        <v>78611</v>
      </c>
      <c r="DT10" s="105">
        <v>79733</v>
      </c>
      <c r="DU10" s="102">
        <f t="shared" si="11"/>
        <v>1.4272811693020062</v>
      </c>
      <c r="DV10" s="73"/>
      <c r="DW10" s="24"/>
      <c r="DX10" s="24" t="s">
        <v>59</v>
      </c>
      <c r="DY10" s="50">
        <v>85390</v>
      </c>
      <c r="DZ10" s="50">
        <v>78611</v>
      </c>
      <c r="EA10" s="128">
        <f t="shared" si="12"/>
        <v>-7.9388687199906309</v>
      </c>
      <c r="EB10" s="25">
        <v>60770</v>
      </c>
      <c r="EC10" s="25">
        <v>78611</v>
      </c>
      <c r="ED10" s="128">
        <f t="shared" si="13"/>
        <v>29.358235971696562</v>
      </c>
      <c r="EE10" s="130"/>
      <c r="EF10" s="103"/>
      <c r="EG10" s="103" t="s">
        <v>59</v>
      </c>
      <c r="EH10" s="105">
        <v>55370</v>
      </c>
      <c r="EI10" s="105">
        <v>60770</v>
      </c>
      <c r="EJ10" s="102">
        <f>((EI10-EH10)/EH10)*100</f>
        <v>9.7525735958100057</v>
      </c>
      <c r="EK10" s="105">
        <v>62292</v>
      </c>
      <c r="EL10" s="105">
        <v>60770</v>
      </c>
      <c r="EM10" s="102">
        <f>((EL10-EK10)/EK10)*100</f>
        <v>-2.4433314069222374</v>
      </c>
      <c r="EN10" s="73"/>
      <c r="EO10" s="77"/>
      <c r="EP10" s="77" t="s">
        <v>58</v>
      </c>
      <c r="EQ10" s="80">
        <v>1620</v>
      </c>
      <c r="ER10" s="80">
        <v>1693</v>
      </c>
      <c r="ES10" s="79">
        <f t="shared" si="16"/>
        <v>4.5061728395061724</v>
      </c>
      <c r="ET10" s="81">
        <v>1156</v>
      </c>
      <c r="EU10" s="80">
        <v>1693</v>
      </c>
      <c r="EV10" s="79">
        <f t="shared" si="17"/>
        <v>46.453287197231838</v>
      </c>
      <c r="EX10" s="42"/>
      <c r="EY10" s="42" t="s">
        <v>58</v>
      </c>
      <c r="EZ10" s="43">
        <v>1424</v>
      </c>
      <c r="FA10" s="43">
        <v>1156</v>
      </c>
      <c r="FB10" s="44">
        <f t="shared" si="4"/>
        <v>-18.820224719101123</v>
      </c>
      <c r="FC10" s="45">
        <v>1794</v>
      </c>
      <c r="FD10" s="43">
        <v>1156</v>
      </c>
      <c r="FE10" s="44">
        <f t="shared" si="5"/>
        <v>-35.56298773690078</v>
      </c>
      <c r="FF10" s="61"/>
      <c r="FG10" s="29"/>
      <c r="FH10" s="30">
        <v>18111</v>
      </c>
      <c r="FI10" s="30">
        <v>18142</v>
      </c>
      <c r="FJ10" s="29" t="s">
        <v>3</v>
      </c>
      <c r="FK10" s="30">
        <v>17777</v>
      </c>
      <c r="FL10" s="30">
        <v>18142</v>
      </c>
      <c r="FM10" s="29" t="s">
        <v>3</v>
      </c>
      <c r="FO10" s="48"/>
      <c r="FP10" s="49">
        <v>17746</v>
      </c>
      <c r="FQ10" s="49">
        <v>17777</v>
      </c>
      <c r="FR10" s="48" t="s">
        <v>3</v>
      </c>
      <c r="FS10" s="49">
        <v>17411</v>
      </c>
      <c r="FT10" s="49">
        <v>17777</v>
      </c>
      <c r="FU10" s="48" t="s">
        <v>3</v>
      </c>
    </row>
    <row r="11" spans="1:177" x14ac:dyDescent="0.5">
      <c r="A11" s="250"/>
      <c r="B11" s="250" t="s">
        <v>523</v>
      </c>
      <c r="C11" s="252">
        <v>61140</v>
      </c>
      <c r="D11" s="248">
        <v>63720</v>
      </c>
      <c r="E11" s="249">
        <f t="shared" si="24"/>
        <v>4.2198233562315997</v>
      </c>
      <c r="F11" s="252">
        <v>48858</v>
      </c>
      <c r="G11" s="248">
        <v>63720</v>
      </c>
      <c r="H11" s="249">
        <f t="shared" si="25"/>
        <v>30.41876458307749</v>
      </c>
      <c r="I11" s="250"/>
      <c r="J11" s="250" t="s">
        <v>523</v>
      </c>
      <c r="K11" s="252">
        <v>56855</v>
      </c>
      <c r="L11" s="252">
        <v>48858</v>
      </c>
      <c r="M11" s="249">
        <f t="shared" si="26"/>
        <v>-14.065605487644007</v>
      </c>
      <c r="N11" s="252">
        <v>47851</v>
      </c>
      <c r="O11" s="252">
        <v>48858</v>
      </c>
      <c r="P11" s="249">
        <f t="shared" si="27"/>
        <v>2.1044492278113314</v>
      </c>
      <c r="Q11" s="250"/>
      <c r="R11" s="250" t="s">
        <v>523</v>
      </c>
      <c r="S11" s="252">
        <v>51489</v>
      </c>
      <c r="T11" s="252">
        <v>47851</v>
      </c>
      <c r="U11" s="249">
        <f t="shared" si="28"/>
        <v>-7.0655868243702544</v>
      </c>
      <c r="V11" s="252">
        <v>45175</v>
      </c>
      <c r="W11" s="252">
        <v>47851</v>
      </c>
      <c r="X11" s="249">
        <f t="shared" si="29"/>
        <v>5.9236303265080243</v>
      </c>
      <c r="Y11" s="250"/>
      <c r="Z11" s="250" t="s">
        <v>523</v>
      </c>
      <c r="AA11" s="252">
        <v>59846</v>
      </c>
      <c r="AB11" s="252">
        <v>45175</v>
      </c>
      <c r="AC11" s="249">
        <f t="shared" si="30"/>
        <v>-24.514587441098818</v>
      </c>
      <c r="AD11" s="252">
        <v>32157</v>
      </c>
      <c r="AE11" s="252">
        <v>45175</v>
      </c>
      <c r="AF11" s="249">
        <f t="shared" si="31"/>
        <v>40.482632086326461</v>
      </c>
      <c r="AG11" s="250"/>
      <c r="AH11" s="250" t="s">
        <v>523</v>
      </c>
      <c r="AI11" s="252">
        <v>29429</v>
      </c>
      <c r="AJ11" s="252">
        <v>32157</v>
      </c>
      <c r="AK11" s="249">
        <f t="shared" si="32"/>
        <v>9.2697679160012232</v>
      </c>
      <c r="AL11" s="252">
        <v>38714</v>
      </c>
      <c r="AM11" s="252">
        <v>32157</v>
      </c>
      <c r="AN11" s="249">
        <f t="shared" si="33"/>
        <v>-16.937025365500851</v>
      </c>
      <c r="AO11" s="250"/>
      <c r="AP11" s="250" t="s">
        <v>523</v>
      </c>
      <c r="AQ11" s="252">
        <v>41213</v>
      </c>
      <c r="AR11" s="252">
        <v>38714</v>
      </c>
      <c r="AS11" s="249">
        <f t="shared" si="34"/>
        <v>-6.0636207022056148</v>
      </c>
      <c r="AT11" s="252">
        <v>37991</v>
      </c>
      <c r="AU11" s="252">
        <v>38714</v>
      </c>
      <c r="AV11" s="249">
        <f t="shared" si="35"/>
        <v>1.9030823089679134</v>
      </c>
      <c r="AW11" s="250"/>
      <c r="AX11" s="250" t="s">
        <v>523</v>
      </c>
      <c r="AY11" s="252">
        <v>42267</v>
      </c>
      <c r="AZ11" s="252">
        <v>37991</v>
      </c>
      <c r="BA11" s="249">
        <f t="shared" si="36"/>
        <v>-10.116639458679348</v>
      </c>
      <c r="BB11" s="252">
        <v>38537</v>
      </c>
      <c r="BC11" s="252">
        <v>37991</v>
      </c>
      <c r="BD11" s="249">
        <f t="shared" si="37"/>
        <v>-1.4168201987700131</v>
      </c>
      <c r="BE11" s="250"/>
      <c r="BF11" s="250" t="s">
        <v>523</v>
      </c>
      <c r="BG11" s="252">
        <v>41564</v>
      </c>
      <c r="BH11" s="252">
        <v>38537</v>
      </c>
      <c r="BI11" s="249">
        <f t="shared" si="38"/>
        <v>-7.2827446828986622</v>
      </c>
      <c r="BJ11" s="252">
        <v>44684</v>
      </c>
      <c r="BK11" s="252">
        <v>38537</v>
      </c>
      <c r="BL11" s="249">
        <f t="shared" si="39"/>
        <v>-13.756601915674516</v>
      </c>
      <c r="BM11" s="250"/>
      <c r="BN11" s="250" t="s">
        <v>437</v>
      </c>
      <c r="BO11" s="252"/>
      <c r="BP11" s="252"/>
      <c r="BQ11" s="249"/>
      <c r="BR11" s="252">
        <v>13914</v>
      </c>
      <c r="BS11" s="252"/>
      <c r="BT11" s="249"/>
      <c r="BU11" s="73"/>
      <c r="BV11" s="250" t="s">
        <v>437</v>
      </c>
      <c r="BW11" s="252">
        <v>14139</v>
      </c>
      <c r="BX11" s="252">
        <v>13914</v>
      </c>
      <c r="BY11" s="249">
        <f t="shared" si="40"/>
        <v>-1.5913430935709738</v>
      </c>
      <c r="BZ11" s="252"/>
      <c r="CA11" s="252">
        <v>13914</v>
      </c>
      <c r="CB11" s="249"/>
      <c r="CC11" s="73"/>
      <c r="CD11" s="250"/>
      <c r="CE11" s="250" t="s">
        <v>58</v>
      </c>
      <c r="CF11" s="252">
        <v>16087</v>
      </c>
      <c r="CG11" s="252">
        <v>16473</v>
      </c>
      <c r="CH11" s="249">
        <f t="shared" si="20"/>
        <v>2.3994529744514206</v>
      </c>
      <c r="CI11" s="252">
        <v>16602</v>
      </c>
      <c r="CJ11" s="252">
        <v>16473</v>
      </c>
      <c r="CK11" s="249">
        <f t="shared" si="21"/>
        <v>-0.77701481749186851</v>
      </c>
      <c r="CL11" s="73"/>
      <c r="CM11" s="250"/>
      <c r="CN11" s="250" t="s">
        <v>58</v>
      </c>
      <c r="CO11" s="252">
        <v>16579</v>
      </c>
      <c r="CP11" s="252">
        <v>16602</v>
      </c>
      <c r="CQ11" s="249">
        <f t="shared" si="22"/>
        <v>0.13872971831835454</v>
      </c>
      <c r="CR11" s="252">
        <v>13953</v>
      </c>
      <c r="CS11" s="252">
        <v>16602</v>
      </c>
      <c r="CT11" s="249">
        <f t="shared" si="23"/>
        <v>18.985164480756829</v>
      </c>
      <c r="CU11" s="73"/>
      <c r="CV11" s="232"/>
      <c r="CW11" s="232" t="s">
        <v>58</v>
      </c>
      <c r="CX11" s="234">
        <v>13553</v>
      </c>
      <c r="CY11" s="234">
        <v>13953</v>
      </c>
      <c r="CZ11" s="231">
        <f t="shared" si="6"/>
        <v>2.951376079096879</v>
      </c>
      <c r="DA11" s="234">
        <v>7070</v>
      </c>
      <c r="DB11" s="234">
        <v>13953</v>
      </c>
      <c r="DC11" s="231">
        <f t="shared" si="7"/>
        <v>97.355021216407351</v>
      </c>
      <c r="DD11" s="73"/>
      <c r="DE11" s="103"/>
      <c r="DF11" s="103" t="s">
        <v>58</v>
      </c>
      <c r="DG11" s="105">
        <v>7560</v>
      </c>
      <c r="DH11" s="105">
        <v>7684</v>
      </c>
      <c r="DI11" s="102">
        <f t="shared" si="8"/>
        <v>1.64021164021164</v>
      </c>
      <c r="DJ11" s="105">
        <v>6197</v>
      </c>
      <c r="DK11" s="105">
        <v>7684</v>
      </c>
      <c r="DL11" s="102">
        <f t="shared" si="9"/>
        <v>23.995481684686137</v>
      </c>
      <c r="DM11" s="73"/>
      <c r="DN11" s="103"/>
      <c r="DO11" s="103" t="s">
        <v>58</v>
      </c>
      <c r="DP11" s="105">
        <v>6827</v>
      </c>
      <c r="DQ11" s="105">
        <v>6197</v>
      </c>
      <c r="DR11" s="102">
        <f t="shared" si="10"/>
        <v>-9.2280650358869192</v>
      </c>
      <c r="DS11" s="105">
        <v>2967</v>
      </c>
      <c r="DT11" s="105">
        <v>6197</v>
      </c>
      <c r="DU11" s="102">
        <f t="shared" si="11"/>
        <v>108.86417256488035</v>
      </c>
      <c r="DV11" s="73"/>
      <c r="DW11" s="24"/>
      <c r="DX11" s="24" t="s">
        <v>58</v>
      </c>
      <c r="DY11" s="50">
        <v>3056</v>
      </c>
      <c r="DZ11" s="50">
        <v>2967</v>
      </c>
      <c r="EA11" s="128">
        <f t="shared" si="12"/>
        <v>-2.912303664921466</v>
      </c>
      <c r="EB11" s="25">
        <v>5791</v>
      </c>
      <c r="EC11" s="25">
        <v>2967</v>
      </c>
      <c r="ED11" s="128">
        <f t="shared" si="13"/>
        <v>-48.765325505094111</v>
      </c>
      <c r="EE11" s="130"/>
      <c r="EF11" s="103"/>
      <c r="EG11" s="103" t="s">
        <v>58</v>
      </c>
      <c r="EH11" s="105">
        <v>5647</v>
      </c>
      <c r="EI11" s="105">
        <v>5791</v>
      </c>
      <c r="EJ11" s="102">
        <f t="shared" si="14"/>
        <v>2.5500265627766958</v>
      </c>
      <c r="EK11" s="105">
        <v>6655</v>
      </c>
      <c r="EL11" s="105">
        <v>5791</v>
      </c>
      <c r="EM11" s="102">
        <f t="shared" si="15"/>
        <v>-12.982719759579265</v>
      </c>
      <c r="EN11" s="73"/>
      <c r="EO11" s="77"/>
      <c r="EP11" s="77" t="s">
        <v>59</v>
      </c>
      <c r="EQ11" s="80">
        <v>61110</v>
      </c>
      <c r="ER11" s="80">
        <v>63071</v>
      </c>
      <c r="ES11" s="79">
        <f t="shared" si="16"/>
        <v>3.2089674357715592</v>
      </c>
      <c r="ET11" s="81">
        <v>51913</v>
      </c>
      <c r="EU11" s="80">
        <v>63071</v>
      </c>
      <c r="EV11" s="79">
        <f t="shared" si="17"/>
        <v>21.493652842255312</v>
      </c>
      <c r="EX11" s="42"/>
      <c r="EY11" s="42" t="s">
        <v>59</v>
      </c>
      <c r="EZ11" s="43">
        <v>60016</v>
      </c>
      <c r="FA11" s="43">
        <v>51913</v>
      </c>
      <c r="FB11" s="44">
        <f t="shared" si="4"/>
        <v>-13.501399626766194</v>
      </c>
      <c r="FC11" s="45">
        <v>70962</v>
      </c>
      <c r="FD11" s="43">
        <v>51913</v>
      </c>
      <c r="FE11" s="44">
        <f t="shared" si="5"/>
        <v>-26.843944646430483</v>
      </c>
      <c r="FF11" s="61"/>
      <c r="FG11" s="20" t="s">
        <v>0</v>
      </c>
      <c r="FH11" s="21">
        <v>105365</v>
      </c>
      <c r="FI11" s="21">
        <v>103219</v>
      </c>
      <c r="FJ11" s="31">
        <f>(FI11-FH11)/FH11*100</f>
        <v>-2.0367294642433444</v>
      </c>
      <c r="FK11" s="35">
        <v>102602</v>
      </c>
      <c r="FL11" s="21">
        <v>103219</v>
      </c>
      <c r="FM11" s="31">
        <f>(FL11-FK11)/FK11*100</f>
        <v>0.60135280014034809</v>
      </c>
      <c r="FO11" s="42" t="s">
        <v>0</v>
      </c>
      <c r="FP11" s="43">
        <v>98487</v>
      </c>
      <c r="FQ11" s="43">
        <v>102602</v>
      </c>
      <c r="FR11" s="44">
        <f>(FQ11-FP11)/FP11*100</f>
        <v>4.1782164143491025</v>
      </c>
      <c r="FS11" s="45">
        <v>77225</v>
      </c>
      <c r="FT11" s="43">
        <v>102602</v>
      </c>
      <c r="FU11" s="44">
        <f>(FT11-FS11)/FS11*100</f>
        <v>32.861120103593393</v>
      </c>
    </row>
    <row r="12" spans="1:177" x14ac:dyDescent="0.5">
      <c r="A12" s="250"/>
      <c r="B12" s="250" t="s">
        <v>524</v>
      </c>
      <c r="C12" s="252">
        <v>21311</v>
      </c>
      <c r="D12" s="248">
        <v>21970</v>
      </c>
      <c r="E12" s="249">
        <f t="shared" si="24"/>
        <v>3.0922997513021446</v>
      </c>
      <c r="F12" s="252">
        <v>21568</v>
      </c>
      <c r="G12" s="248">
        <v>21970</v>
      </c>
      <c r="H12" s="249">
        <f t="shared" si="25"/>
        <v>1.8638724035608309</v>
      </c>
      <c r="I12" s="250"/>
      <c r="J12" s="250" t="s">
        <v>524</v>
      </c>
      <c r="K12" s="252">
        <v>23782</v>
      </c>
      <c r="L12" s="252">
        <v>21568</v>
      </c>
      <c r="M12" s="249">
        <f t="shared" si="26"/>
        <v>-9.3095618535026485</v>
      </c>
      <c r="N12" s="252">
        <v>29873</v>
      </c>
      <c r="O12" s="252">
        <v>21568</v>
      </c>
      <c r="P12" s="249">
        <f t="shared" si="27"/>
        <v>-27.801024336357244</v>
      </c>
      <c r="Q12" s="250"/>
      <c r="R12" s="250" t="s">
        <v>524</v>
      </c>
      <c r="S12" s="252">
        <v>34285</v>
      </c>
      <c r="T12" s="252">
        <v>29873</v>
      </c>
      <c r="U12" s="249">
        <f t="shared" si="28"/>
        <v>-12.868601429196442</v>
      </c>
      <c r="V12" s="252">
        <v>30102</v>
      </c>
      <c r="W12" s="252">
        <v>29873</v>
      </c>
      <c r="X12" s="249">
        <f t="shared" si="29"/>
        <v>-0.76074679423294134</v>
      </c>
      <c r="Y12" s="250"/>
      <c r="Z12" s="250" t="s">
        <v>524</v>
      </c>
      <c r="AA12" s="252">
        <v>33413</v>
      </c>
      <c r="AB12" s="252">
        <v>30102</v>
      </c>
      <c r="AC12" s="249">
        <f t="shared" si="30"/>
        <v>-9.9093167330081116</v>
      </c>
      <c r="AD12" s="252">
        <v>20689</v>
      </c>
      <c r="AE12" s="252">
        <v>30102</v>
      </c>
      <c r="AF12" s="249">
        <f t="shared" si="31"/>
        <v>45.497607424235099</v>
      </c>
      <c r="AG12" s="250"/>
      <c r="AH12" s="250" t="s">
        <v>524</v>
      </c>
      <c r="AI12" s="252">
        <v>20243</v>
      </c>
      <c r="AJ12" s="252">
        <v>20689</v>
      </c>
      <c r="AK12" s="249">
        <f t="shared" si="32"/>
        <v>2.2032307464308651</v>
      </c>
      <c r="AL12" s="252">
        <v>25023</v>
      </c>
      <c r="AM12" s="252">
        <v>20689</v>
      </c>
      <c r="AN12" s="249">
        <f t="shared" si="33"/>
        <v>-17.320065539703471</v>
      </c>
      <c r="AO12" s="250"/>
      <c r="AP12" s="250" t="s">
        <v>524</v>
      </c>
      <c r="AQ12" s="252">
        <v>27177</v>
      </c>
      <c r="AR12" s="252">
        <v>25023</v>
      </c>
      <c r="AS12" s="249">
        <f t="shared" si="34"/>
        <v>-7.9258196268903847</v>
      </c>
      <c r="AT12" s="252">
        <v>23647</v>
      </c>
      <c r="AU12" s="252">
        <v>25023</v>
      </c>
      <c r="AV12" s="249">
        <f t="shared" si="35"/>
        <v>5.8189199475620592</v>
      </c>
      <c r="AW12" s="250"/>
      <c r="AX12" s="250" t="s">
        <v>524</v>
      </c>
      <c r="AY12" s="252">
        <v>26329</v>
      </c>
      <c r="AZ12" s="252">
        <v>23647</v>
      </c>
      <c r="BA12" s="249">
        <f t="shared" si="36"/>
        <v>-10.186486383835316</v>
      </c>
      <c r="BB12" s="252">
        <v>23872</v>
      </c>
      <c r="BC12" s="252">
        <v>23647</v>
      </c>
      <c r="BD12" s="249">
        <f t="shared" si="37"/>
        <v>-0.94252680965147451</v>
      </c>
      <c r="BE12" s="250"/>
      <c r="BF12" s="250" t="s">
        <v>524</v>
      </c>
      <c r="BG12" s="252">
        <v>28208</v>
      </c>
      <c r="BH12" s="252">
        <v>23872</v>
      </c>
      <c r="BI12" s="249">
        <f t="shared" si="38"/>
        <v>-15.371525808281339</v>
      </c>
      <c r="BJ12" s="252">
        <v>22093</v>
      </c>
      <c r="BK12" s="252">
        <v>23872</v>
      </c>
      <c r="BL12" s="249">
        <f t="shared" si="39"/>
        <v>8.05232426560449</v>
      </c>
      <c r="BM12" s="250"/>
      <c r="BN12" s="250" t="s">
        <v>438</v>
      </c>
      <c r="BO12" s="252"/>
      <c r="BP12" s="252"/>
      <c r="BQ12" s="249"/>
      <c r="BR12" s="252">
        <v>7662</v>
      </c>
      <c r="BS12" s="252"/>
      <c r="BT12" s="249"/>
      <c r="BU12" s="73"/>
      <c r="BV12" s="250" t="s">
        <v>438</v>
      </c>
      <c r="BW12" s="252">
        <v>7209</v>
      </c>
      <c r="BX12" s="252">
        <v>7662</v>
      </c>
      <c r="BY12" s="249">
        <f t="shared" si="40"/>
        <v>6.2838119017894298</v>
      </c>
      <c r="BZ12" s="252"/>
      <c r="CA12" s="252">
        <v>7662</v>
      </c>
      <c r="CB12" s="249"/>
      <c r="CC12" s="73"/>
      <c r="CD12" s="250"/>
      <c r="CE12" s="250"/>
      <c r="CF12" s="252"/>
      <c r="CG12" s="252"/>
      <c r="CH12" s="249"/>
      <c r="CI12" s="252"/>
      <c r="CJ12" s="252"/>
      <c r="CK12" s="249"/>
      <c r="CL12" s="73"/>
      <c r="CM12" s="250"/>
      <c r="CN12" s="250"/>
      <c r="CO12" s="252"/>
      <c r="CP12" s="252"/>
      <c r="CQ12" s="249"/>
      <c r="CR12" s="252"/>
      <c r="CS12" s="252"/>
      <c r="CT12" s="249"/>
      <c r="CU12" s="73"/>
      <c r="CV12" s="232"/>
      <c r="CW12" s="232"/>
      <c r="CX12" s="234"/>
      <c r="CY12" s="234"/>
      <c r="CZ12" s="231"/>
      <c r="DA12" s="234"/>
      <c r="DB12" s="234"/>
      <c r="DC12" s="231"/>
      <c r="DD12" s="73"/>
      <c r="DE12" s="103"/>
      <c r="DF12" s="103"/>
      <c r="DG12" s="105"/>
      <c r="DH12" s="105"/>
      <c r="DI12" s="102"/>
      <c r="DJ12" s="105"/>
      <c r="DK12" s="105"/>
      <c r="DL12" s="102"/>
      <c r="DM12" s="73"/>
      <c r="DN12" s="103"/>
      <c r="DO12" s="103"/>
      <c r="DP12" s="105"/>
      <c r="DQ12" s="105"/>
      <c r="DR12" s="102"/>
      <c r="DS12" s="105"/>
      <c r="DT12" s="105"/>
      <c r="DU12" s="102"/>
      <c r="DV12" s="73"/>
      <c r="DW12" s="24"/>
      <c r="DX12" s="24"/>
      <c r="DY12" s="50"/>
      <c r="DZ12" s="50"/>
      <c r="EA12" s="128"/>
      <c r="EB12" s="25"/>
      <c r="EC12" s="25"/>
      <c r="ED12" s="128"/>
      <c r="EE12" s="130"/>
      <c r="EF12" s="103"/>
      <c r="EG12" s="103"/>
      <c r="EH12" s="105"/>
      <c r="EI12" s="105"/>
      <c r="EJ12" s="102"/>
      <c r="EK12" s="105"/>
      <c r="EL12" s="105"/>
      <c r="EM12" s="102"/>
      <c r="EN12" s="73"/>
      <c r="EO12" s="77"/>
      <c r="EP12" s="77"/>
      <c r="EQ12" s="80"/>
      <c r="ER12" s="80"/>
      <c r="ES12" s="79"/>
      <c r="ET12" s="81"/>
      <c r="EU12" s="80"/>
      <c r="EV12" s="79"/>
      <c r="EX12" s="42"/>
      <c r="EY12" s="42"/>
      <c r="EZ12" s="43"/>
      <c r="FA12" s="43"/>
      <c r="FB12" s="44"/>
      <c r="FC12" s="45"/>
      <c r="FD12" s="43"/>
      <c r="FE12" s="44"/>
      <c r="FF12" s="61"/>
      <c r="FG12" s="20"/>
      <c r="FH12" s="21"/>
      <c r="FI12" s="21"/>
      <c r="FJ12" s="31"/>
      <c r="FK12" s="35"/>
      <c r="FL12" s="21"/>
      <c r="FM12" s="31"/>
      <c r="FO12" s="42"/>
      <c r="FP12" s="43"/>
      <c r="FQ12" s="43"/>
      <c r="FR12" s="44"/>
      <c r="FS12" s="45"/>
      <c r="FT12" s="43"/>
      <c r="FU12" s="44"/>
    </row>
    <row r="13" spans="1:177" x14ac:dyDescent="0.5">
      <c r="A13" s="250"/>
      <c r="B13" s="250" t="s">
        <v>525</v>
      </c>
      <c r="C13" s="252">
        <v>6845</v>
      </c>
      <c r="D13" s="248">
        <v>6990</v>
      </c>
      <c r="E13" s="249">
        <f t="shared" si="24"/>
        <v>2.1183345507669831</v>
      </c>
      <c r="F13" s="252">
        <v>6525</v>
      </c>
      <c r="G13" s="248">
        <v>6990</v>
      </c>
      <c r="H13" s="249">
        <f t="shared" si="25"/>
        <v>7.1264367816091951</v>
      </c>
      <c r="I13" s="250"/>
      <c r="J13" s="250" t="s">
        <v>525</v>
      </c>
      <c r="K13" s="252">
        <v>5679</v>
      </c>
      <c r="L13" s="252">
        <v>6525</v>
      </c>
      <c r="M13" s="249">
        <f t="shared" si="26"/>
        <v>14.896988906497624</v>
      </c>
      <c r="N13" s="252">
        <v>7837</v>
      </c>
      <c r="O13" s="252">
        <v>6525</v>
      </c>
      <c r="P13" s="249">
        <f t="shared" si="27"/>
        <v>-16.741099910680106</v>
      </c>
      <c r="Q13" s="250"/>
      <c r="R13" s="250" t="s">
        <v>525</v>
      </c>
      <c r="S13" s="252">
        <v>8814</v>
      </c>
      <c r="T13" s="252">
        <v>7837</v>
      </c>
      <c r="U13" s="249">
        <f t="shared" si="28"/>
        <v>-11.084638075788519</v>
      </c>
      <c r="V13" s="252">
        <v>4950</v>
      </c>
      <c r="W13" s="252">
        <v>7837</v>
      </c>
      <c r="X13" s="249">
        <f t="shared" si="29"/>
        <v>58.323232323232318</v>
      </c>
      <c r="Y13" s="250"/>
      <c r="Z13" s="250" t="s">
        <v>525</v>
      </c>
      <c r="AA13" s="252">
        <v>5696</v>
      </c>
      <c r="AB13" s="252">
        <v>4950</v>
      </c>
      <c r="AC13" s="249">
        <f t="shared" si="30"/>
        <v>-13.09691011235955</v>
      </c>
      <c r="AD13" s="252">
        <v>6001</v>
      </c>
      <c r="AE13" s="252">
        <v>4950</v>
      </c>
      <c r="AF13" s="249">
        <f t="shared" si="31"/>
        <v>-17.513747708715215</v>
      </c>
      <c r="AG13" s="250"/>
      <c r="AH13" s="250" t="s">
        <v>525</v>
      </c>
      <c r="AI13" s="252">
        <v>5336</v>
      </c>
      <c r="AJ13" s="252">
        <v>6001</v>
      </c>
      <c r="AK13" s="249">
        <f t="shared" si="32"/>
        <v>12.462518740629685</v>
      </c>
      <c r="AL13" s="252">
        <v>4579</v>
      </c>
      <c r="AM13" s="252">
        <v>6001</v>
      </c>
      <c r="AN13" s="249">
        <f t="shared" si="33"/>
        <v>31.054815461891245</v>
      </c>
      <c r="AO13" s="250"/>
      <c r="AP13" s="250" t="s">
        <v>525</v>
      </c>
      <c r="AQ13" s="252">
        <v>4057</v>
      </c>
      <c r="AR13" s="252">
        <v>4579</v>
      </c>
      <c r="AS13" s="249">
        <f t="shared" si="34"/>
        <v>12.866650234163174</v>
      </c>
      <c r="AT13" s="252">
        <v>3540</v>
      </c>
      <c r="AU13" s="252">
        <v>4579</v>
      </c>
      <c r="AV13" s="249">
        <f t="shared" si="35"/>
        <v>29.350282485875706</v>
      </c>
      <c r="AW13" s="250"/>
      <c r="AX13" s="250" t="s">
        <v>525</v>
      </c>
      <c r="AY13" s="252">
        <v>3531</v>
      </c>
      <c r="AZ13" s="252">
        <v>3540</v>
      </c>
      <c r="BA13" s="249">
        <f t="shared" si="36"/>
        <v>0.25488530161427359</v>
      </c>
      <c r="BB13" s="252">
        <v>3019</v>
      </c>
      <c r="BC13" s="252">
        <v>3540</v>
      </c>
      <c r="BD13" s="249">
        <f t="shared" si="37"/>
        <v>17.257369990062934</v>
      </c>
      <c r="BE13" s="250"/>
      <c r="BF13" s="250" t="s">
        <v>525</v>
      </c>
      <c r="BG13" s="252">
        <v>2838</v>
      </c>
      <c r="BH13" s="252">
        <v>3019</v>
      </c>
      <c r="BI13" s="249">
        <f t="shared" si="38"/>
        <v>6.377730796335447</v>
      </c>
      <c r="BJ13" s="252">
        <v>2065</v>
      </c>
      <c r="BK13" s="252">
        <v>3019</v>
      </c>
      <c r="BL13" s="249">
        <f t="shared" si="39"/>
        <v>46.198547215496369</v>
      </c>
      <c r="BM13" s="250"/>
      <c r="BN13" s="250"/>
      <c r="BO13" s="252"/>
      <c r="BP13" s="252"/>
      <c r="BQ13" s="249"/>
      <c r="BR13" s="252"/>
      <c r="BS13" s="252"/>
      <c r="BT13" s="249"/>
      <c r="BU13" s="73"/>
      <c r="BV13" s="250"/>
      <c r="BW13" s="252"/>
      <c r="BX13" s="252"/>
      <c r="BY13" s="249"/>
      <c r="BZ13" s="252"/>
      <c r="CA13" s="252"/>
      <c r="CB13" s="249"/>
      <c r="CC13" s="73"/>
      <c r="CD13" s="250"/>
      <c r="CE13" s="250"/>
      <c r="CF13" s="252"/>
      <c r="CG13" s="252"/>
      <c r="CH13" s="249"/>
      <c r="CI13" s="252"/>
      <c r="CJ13" s="252"/>
      <c r="CK13" s="249"/>
      <c r="CL13" s="73"/>
      <c r="CM13" s="250"/>
      <c r="CN13" s="250"/>
      <c r="CO13" s="252"/>
      <c r="CP13" s="252"/>
      <c r="CQ13" s="249"/>
      <c r="CR13" s="252"/>
      <c r="CS13" s="252"/>
      <c r="CT13" s="249"/>
      <c r="CU13" s="73"/>
      <c r="CV13" s="232"/>
      <c r="CW13" s="232"/>
      <c r="CX13" s="234"/>
      <c r="CY13" s="234"/>
      <c r="CZ13" s="231"/>
      <c r="DA13" s="234"/>
      <c r="DB13" s="234"/>
      <c r="DC13" s="231"/>
      <c r="DD13" s="73"/>
      <c r="DE13" s="103"/>
      <c r="DF13" s="103"/>
      <c r="DG13" s="105"/>
      <c r="DH13" s="105"/>
      <c r="DI13" s="102"/>
      <c r="DJ13" s="105"/>
      <c r="DK13" s="105"/>
      <c r="DL13" s="102"/>
      <c r="DM13" s="73"/>
      <c r="DN13" s="103"/>
      <c r="DO13" s="103"/>
      <c r="DP13" s="105"/>
      <c r="DQ13" s="105"/>
      <c r="DR13" s="102"/>
      <c r="DS13" s="105"/>
      <c r="DT13" s="105"/>
      <c r="DU13" s="102"/>
      <c r="DV13" s="73"/>
      <c r="DW13" s="24"/>
      <c r="DX13" s="24"/>
      <c r="DY13" s="50"/>
      <c r="DZ13" s="50"/>
      <c r="EA13" s="128"/>
      <c r="EB13" s="25"/>
      <c r="EC13" s="25"/>
      <c r="ED13" s="128"/>
      <c r="EE13" s="130"/>
      <c r="EF13" s="103"/>
      <c r="EG13" s="103"/>
      <c r="EH13" s="105"/>
      <c r="EI13" s="105"/>
      <c r="EJ13" s="102"/>
      <c r="EK13" s="105"/>
      <c r="EL13" s="105"/>
      <c r="EM13" s="102"/>
      <c r="EN13" s="73"/>
      <c r="EO13" s="77"/>
      <c r="EP13" s="77"/>
      <c r="EQ13" s="80"/>
      <c r="ER13" s="80"/>
      <c r="ES13" s="79"/>
      <c r="ET13" s="81"/>
      <c r="EU13" s="80"/>
      <c r="EV13" s="79"/>
      <c r="EX13" s="42"/>
      <c r="EY13" s="42"/>
      <c r="EZ13" s="43"/>
      <c r="FA13" s="43"/>
      <c r="FB13" s="44"/>
      <c r="FC13" s="45"/>
      <c r="FD13" s="43"/>
      <c r="FE13" s="44"/>
      <c r="FF13" s="61"/>
      <c r="FG13" s="20"/>
      <c r="FH13" s="21"/>
      <c r="FI13" s="21"/>
      <c r="FJ13" s="31"/>
      <c r="FK13" s="35"/>
      <c r="FL13" s="21"/>
      <c r="FM13" s="31"/>
      <c r="FO13" s="42"/>
      <c r="FP13" s="43"/>
      <c r="FQ13" s="43"/>
      <c r="FR13" s="44"/>
      <c r="FS13" s="45"/>
      <c r="FT13" s="43"/>
      <c r="FU13" s="44"/>
    </row>
    <row r="14" spans="1:177" x14ac:dyDescent="0.5">
      <c r="A14" s="250"/>
      <c r="B14" s="250" t="s">
        <v>526</v>
      </c>
      <c r="C14" s="252">
        <v>848</v>
      </c>
      <c r="D14" s="248">
        <v>1086</v>
      </c>
      <c r="E14" s="249">
        <f t="shared" si="24"/>
        <v>28.066037735849058</v>
      </c>
      <c r="F14" s="252">
        <v>882</v>
      </c>
      <c r="G14" s="248">
        <v>1086</v>
      </c>
      <c r="H14" s="249">
        <f t="shared" si="25"/>
        <v>23.129251700680271</v>
      </c>
      <c r="I14" s="250"/>
      <c r="J14" s="250" t="s">
        <v>526</v>
      </c>
      <c r="K14" s="252">
        <v>1092</v>
      </c>
      <c r="L14" s="252">
        <v>882</v>
      </c>
      <c r="M14" s="249">
        <f t="shared" si="26"/>
        <v>-19.230769230769234</v>
      </c>
      <c r="N14" s="252">
        <v>1148</v>
      </c>
      <c r="O14" s="252">
        <v>882</v>
      </c>
      <c r="P14" s="249">
        <f t="shared" si="27"/>
        <v>-23.170731707317074</v>
      </c>
      <c r="Q14" s="250"/>
      <c r="R14" s="250" t="s">
        <v>526</v>
      </c>
      <c r="S14" s="252">
        <v>1263</v>
      </c>
      <c r="T14" s="252">
        <v>1148</v>
      </c>
      <c r="U14" s="249">
        <f t="shared" si="28"/>
        <v>-9.1053048297703878</v>
      </c>
      <c r="V14" s="252">
        <v>1100</v>
      </c>
      <c r="W14" s="252">
        <v>1148</v>
      </c>
      <c r="X14" s="249">
        <f t="shared" si="29"/>
        <v>4.3636363636363642</v>
      </c>
      <c r="Y14" s="250"/>
      <c r="Z14" s="250" t="s">
        <v>526</v>
      </c>
      <c r="AA14" s="252">
        <v>1206</v>
      </c>
      <c r="AB14" s="252">
        <v>1100</v>
      </c>
      <c r="AC14" s="249">
        <f t="shared" si="30"/>
        <v>-8.7893864013267002</v>
      </c>
      <c r="AD14" s="252">
        <v>1204</v>
      </c>
      <c r="AE14" s="252">
        <v>1100</v>
      </c>
      <c r="AF14" s="249">
        <f t="shared" si="31"/>
        <v>-8.6378737541528228</v>
      </c>
      <c r="AG14" s="250"/>
      <c r="AH14" s="250" t="s">
        <v>526</v>
      </c>
      <c r="AI14" s="252">
        <v>1222</v>
      </c>
      <c r="AJ14" s="252">
        <v>1204</v>
      </c>
      <c r="AK14" s="249">
        <f t="shared" si="32"/>
        <v>-1.4729950900163666</v>
      </c>
      <c r="AL14" s="252">
        <v>1885</v>
      </c>
      <c r="AM14" s="252">
        <v>1204</v>
      </c>
      <c r="AN14" s="249">
        <f t="shared" si="33"/>
        <v>-36.127320954907162</v>
      </c>
      <c r="AO14" s="250"/>
      <c r="AP14" s="250" t="s">
        <v>526</v>
      </c>
      <c r="AQ14" s="252">
        <v>1945</v>
      </c>
      <c r="AR14" s="252">
        <v>1885</v>
      </c>
      <c r="AS14" s="249">
        <f t="shared" si="34"/>
        <v>-3.0848329048843186</v>
      </c>
      <c r="AT14" s="252">
        <v>2026</v>
      </c>
      <c r="AU14" s="252">
        <v>1885</v>
      </c>
      <c r="AV14" s="249">
        <f t="shared" si="35"/>
        <v>-6.959526159921027</v>
      </c>
      <c r="AW14" s="250"/>
      <c r="AX14" s="250" t="s">
        <v>526</v>
      </c>
      <c r="AY14" s="252">
        <v>2260</v>
      </c>
      <c r="AZ14" s="252">
        <v>2026</v>
      </c>
      <c r="BA14" s="249">
        <f t="shared" si="36"/>
        <v>-10.353982300884956</v>
      </c>
      <c r="BB14" s="252">
        <v>2224</v>
      </c>
      <c r="BC14" s="252">
        <v>2026</v>
      </c>
      <c r="BD14" s="249">
        <f t="shared" si="37"/>
        <v>-8.9028776978417277</v>
      </c>
      <c r="BE14" s="250"/>
      <c r="BF14" s="250" t="s">
        <v>526</v>
      </c>
      <c r="BG14" s="252">
        <v>2332</v>
      </c>
      <c r="BH14" s="252">
        <v>2224</v>
      </c>
      <c r="BI14" s="249">
        <f t="shared" si="38"/>
        <v>-4.6312178387650089</v>
      </c>
      <c r="BJ14" s="252">
        <v>2873</v>
      </c>
      <c r="BK14" s="252">
        <v>2224</v>
      </c>
      <c r="BL14" s="249">
        <f t="shared" si="39"/>
        <v>-22.589627567003131</v>
      </c>
      <c r="BM14" s="250"/>
      <c r="BN14" s="250"/>
      <c r="BO14" s="252"/>
      <c r="BP14" s="252"/>
      <c r="BQ14" s="249"/>
      <c r="BR14" s="252"/>
      <c r="BS14" s="252"/>
      <c r="BT14" s="249"/>
      <c r="BU14" s="73"/>
      <c r="BV14" s="250"/>
      <c r="BW14" s="252"/>
      <c r="BX14" s="252"/>
      <c r="BY14" s="249"/>
      <c r="BZ14" s="252"/>
      <c r="CA14" s="252"/>
      <c r="CB14" s="249"/>
      <c r="CC14" s="73"/>
      <c r="CD14" s="250"/>
      <c r="CE14" s="250"/>
      <c r="CF14" s="252"/>
      <c r="CG14" s="252"/>
      <c r="CH14" s="249"/>
      <c r="CI14" s="252"/>
      <c r="CJ14" s="252"/>
      <c r="CK14" s="249"/>
      <c r="CL14" s="73"/>
      <c r="CM14" s="250"/>
      <c r="CN14" s="250"/>
      <c r="CO14" s="252"/>
      <c r="CP14" s="252"/>
      <c r="CQ14" s="249"/>
      <c r="CR14" s="252"/>
      <c r="CS14" s="252"/>
      <c r="CT14" s="249"/>
      <c r="CU14" s="73"/>
      <c r="CV14" s="232"/>
      <c r="CW14" s="232"/>
      <c r="CX14" s="234"/>
      <c r="CY14" s="234"/>
      <c r="CZ14" s="231"/>
      <c r="DA14" s="234"/>
      <c r="DB14" s="234"/>
      <c r="DC14" s="231"/>
      <c r="DD14" s="73"/>
      <c r="DE14" s="103"/>
      <c r="DF14" s="103"/>
      <c r="DG14" s="105"/>
      <c r="DH14" s="105"/>
      <c r="DI14" s="102"/>
      <c r="DJ14" s="105"/>
      <c r="DK14" s="105"/>
      <c r="DL14" s="102"/>
      <c r="DM14" s="73"/>
      <c r="DN14" s="103"/>
      <c r="DO14" s="103"/>
      <c r="DP14" s="105"/>
      <c r="DQ14" s="105"/>
      <c r="DR14" s="102"/>
      <c r="DS14" s="105"/>
      <c r="DT14" s="105"/>
      <c r="DU14" s="102"/>
      <c r="DV14" s="73"/>
      <c r="DW14" s="24"/>
      <c r="DX14" s="24"/>
      <c r="DY14" s="50"/>
      <c r="DZ14" s="50"/>
      <c r="EA14" s="128"/>
      <c r="EB14" s="25"/>
      <c r="EC14" s="25"/>
      <c r="ED14" s="128"/>
      <c r="EE14" s="130"/>
      <c r="EF14" s="103"/>
      <c r="EG14" s="103"/>
      <c r="EH14" s="105"/>
      <c r="EI14" s="105"/>
      <c r="EJ14" s="102"/>
      <c r="EK14" s="105"/>
      <c r="EL14" s="105"/>
      <c r="EM14" s="102"/>
      <c r="EN14" s="73"/>
      <c r="EO14" s="77"/>
      <c r="EP14" s="77"/>
      <c r="EQ14" s="80"/>
      <c r="ER14" s="80"/>
      <c r="ES14" s="79"/>
      <c r="ET14" s="81"/>
      <c r="EU14" s="80"/>
      <c r="EV14" s="79"/>
      <c r="EX14" s="42"/>
      <c r="EY14" s="42"/>
      <c r="EZ14" s="43"/>
      <c r="FA14" s="43"/>
      <c r="FB14" s="44"/>
      <c r="FC14" s="45"/>
      <c r="FD14" s="43"/>
      <c r="FE14" s="44"/>
      <c r="FF14" s="61"/>
      <c r="FG14" s="20"/>
      <c r="FH14" s="21"/>
      <c r="FI14" s="21"/>
      <c r="FJ14" s="31"/>
      <c r="FK14" s="35"/>
      <c r="FL14" s="21"/>
      <c r="FM14" s="31"/>
      <c r="FO14" s="42"/>
      <c r="FP14" s="43"/>
      <c r="FQ14" s="43"/>
      <c r="FR14" s="44"/>
      <c r="FS14" s="45"/>
      <c r="FT14" s="43"/>
      <c r="FU14" s="44"/>
    </row>
    <row r="15" spans="1:177" x14ac:dyDescent="0.5">
      <c r="A15" s="247" t="s">
        <v>2</v>
      </c>
      <c r="B15" s="247" t="s">
        <v>60</v>
      </c>
      <c r="C15" s="248">
        <v>62590</v>
      </c>
      <c r="D15" s="248">
        <f>D16+D17</f>
        <v>75214</v>
      </c>
      <c r="E15" s="249">
        <f t="shared" si="24"/>
        <v>20.169356127176865</v>
      </c>
      <c r="F15" s="248">
        <v>69753</v>
      </c>
      <c r="G15" s="248">
        <v>75214</v>
      </c>
      <c r="H15" s="249">
        <f t="shared" si="25"/>
        <v>7.8290539475004657</v>
      </c>
      <c r="I15" s="247" t="s">
        <v>2</v>
      </c>
      <c r="J15" s="247" t="s">
        <v>60</v>
      </c>
      <c r="K15" s="248">
        <v>58468</v>
      </c>
      <c r="L15" s="248">
        <v>69753</v>
      </c>
      <c r="M15" s="249">
        <f t="shared" si="26"/>
        <v>19.301156188000274</v>
      </c>
      <c r="N15" s="248">
        <v>61121</v>
      </c>
      <c r="O15" s="248">
        <v>69753</v>
      </c>
      <c r="P15" s="249">
        <f t="shared" si="27"/>
        <v>14.122805582369399</v>
      </c>
      <c r="Q15" s="247" t="s">
        <v>2</v>
      </c>
      <c r="R15" s="247" t="s">
        <v>60</v>
      </c>
      <c r="S15" s="248">
        <v>48758</v>
      </c>
      <c r="T15" s="248">
        <v>61121</v>
      </c>
      <c r="U15" s="249">
        <f t="shared" si="28"/>
        <v>25.355839041798266</v>
      </c>
      <c r="V15" s="248">
        <v>92659</v>
      </c>
      <c r="W15" s="248">
        <v>61121</v>
      </c>
      <c r="X15" s="249">
        <f t="shared" si="29"/>
        <v>-34.036628929731592</v>
      </c>
      <c r="Y15" s="247" t="s">
        <v>2</v>
      </c>
      <c r="Z15" s="247" t="s">
        <v>60</v>
      </c>
      <c r="AA15" s="248">
        <v>88667</v>
      </c>
      <c r="AB15" s="248">
        <v>92659</v>
      </c>
      <c r="AC15" s="249">
        <f t="shared" si="30"/>
        <v>4.5022387133882962</v>
      </c>
      <c r="AD15" s="248">
        <v>69179</v>
      </c>
      <c r="AE15" s="248">
        <v>92659</v>
      </c>
      <c r="AF15" s="249">
        <f t="shared" si="31"/>
        <v>33.940935833128549</v>
      </c>
      <c r="AG15" s="247" t="s">
        <v>2</v>
      </c>
      <c r="AH15" s="247" t="s">
        <v>60</v>
      </c>
      <c r="AI15" s="248">
        <v>76979</v>
      </c>
      <c r="AJ15" s="248">
        <v>69179</v>
      </c>
      <c r="AK15" s="249">
        <f t="shared" si="32"/>
        <v>-10.132633575390692</v>
      </c>
      <c r="AL15" s="248">
        <v>57454</v>
      </c>
      <c r="AM15" s="248">
        <v>69179</v>
      </c>
      <c r="AN15" s="249">
        <f t="shared" si="33"/>
        <v>20.407630452187835</v>
      </c>
      <c r="AO15" s="247" t="s">
        <v>2</v>
      </c>
      <c r="AP15" s="247" t="s">
        <v>60</v>
      </c>
      <c r="AQ15" s="248">
        <v>59991</v>
      </c>
      <c r="AR15" s="248">
        <v>57454</v>
      </c>
      <c r="AS15" s="249">
        <f t="shared" si="34"/>
        <v>-4.2289676784851062</v>
      </c>
      <c r="AT15" s="248">
        <v>65625</v>
      </c>
      <c r="AU15" s="248">
        <v>57454</v>
      </c>
      <c r="AV15" s="249">
        <f t="shared" si="35"/>
        <v>-12.451047619047619</v>
      </c>
      <c r="AW15" s="247" t="s">
        <v>2</v>
      </c>
      <c r="AX15" s="247" t="s">
        <v>60</v>
      </c>
      <c r="AY15" s="248">
        <v>76762</v>
      </c>
      <c r="AZ15" s="248">
        <v>74453</v>
      </c>
      <c r="BA15" s="249">
        <f t="shared" si="36"/>
        <v>-3.0079987493812044</v>
      </c>
      <c r="BB15" s="248">
        <v>62569</v>
      </c>
      <c r="BC15" s="248">
        <v>74453</v>
      </c>
      <c r="BD15" s="249">
        <f t="shared" si="37"/>
        <v>18.993431251897906</v>
      </c>
      <c r="BE15" s="247" t="s">
        <v>2</v>
      </c>
      <c r="BF15" s="247" t="s">
        <v>60</v>
      </c>
      <c r="BG15" s="248">
        <v>64550</v>
      </c>
      <c r="BH15" s="248">
        <v>62569</v>
      </c>
      <c r="BI15" s="249">
        <f t="shared" si="38"/>
        <v>-3.0689388071262589</v>
      </c>
      <c r="BJ15" s="248">
        <v>58899</v>
      </c>
      <c r="BK15" s="248">
        <v>62569</v>
      </c>
      <c r="BL15" s="249">
        <f t="shared" si="39"/>
        <v>6.2310056197898094</v>
      </c>
      <c r="BM15" s="247" t="s">
        <v>2</v>
      </c>
      <c r="BN15" s="247" t="s">
        <v>60</v>
      </c>
      <c r="BO15" s="248">
        <v>61948</v>
      </c>
      <c r="BP15" s="248">
        <f>BP16+BP17</f>
        <v>58899</v>
      </c>
      <c r="BQ15" s="249">
        <f>((BP15-BO15)/BO15)*100</f>
        <v>-4.9218699554465033</v>
      </c>
      <c r="BR15" s="248">
        <v>60916</v>
      </c>
      <c r="BS15" s="248">
        <v>58899</v>
      </c>
      <c r="BT15" s="249">
        <f>((BS15-BR15)/BR15)*100</f>
        <v>-3.3111169479282951</v>
      </c>
      <c r="BU15" s="73"/>
      <c r="BV15" s="247" t="s">
        <v>60</v>
      </c>
      <c r="BW15" s="248">
        <v>69744</v>
      </c>
      <c r="BX15" s="248">
        <v>60916</v>
      </c>
      <c r="BY15" s="249">
        <f t="shared" si="40"/>
        <v>-12.657719660472585</v>
      </c>
      <c r="BZ15" s="248">
        <v>65835</v>
      </c>
      <c r="CA15" s="248">
        <v>60916</v>
      </c>
      <c r="CB15" s="249">
        <f>((CA15-BZ15)/BZ15)*100</f>
        <v>-7.4717095769727351</v>
      </c>
      <c r="CC15" s="73"/>
      <c r="CD15" s="247" t="s">
        <v>2</v>
      </c>
      <c r="CE15" s="247" t="s">
        <v>60</v>
      </c>
      <c r="CF15" s="248">
        <v>64962</v>
      </c>
      <c r="CG15" s="248">
        <v>65835</v>
      </c>
      <c r="CH15" s="249">
        <f t="shared" si="20"/>
        <v>1.343862565807703</v>
      </c>
      <c r="CI15" s="248">
        <v>74475</v>
      </c>
      <c r="CJ15" s="248">
        <v>65835</v>
      </c>
      <c r="CK15" s="249">
        <f t="shared" si="21"/>
        <v>-11.601208459214501</v>
      </c>
      <c r="CL15" s="73"/>
      <c r="CM15" s="247" t="s">
        <v>2</v>
      </c>
      <c r="CN15" s="247" t="s">
        <v>60</v>
      </c>
      <c r="CO15" s="248">
        <f>SUM(CO16:CO17)</f>
        <v>79577</v>
      </c>
      <c r="CP15" s="248">
        <v>74475</v>
      </c>
      <c r="CQ15" s="249">
        <f t="shared" si="22"/>
        <v>-6.4114002789750808</v>
      </c>
      <c r="CR15" s="253">
        <f>SUM(CR16:CR17)</f>
        <v>61091</v>
      </c>
      <c r="CS15" s="248">
        <v>74475</v>
      </c>
      <c r="CT15" s="249">
        <f t="shared" si="23"/>
        <v>21.908300731695341</v>
      </c>
      <c r="CU15" s="73"/>
      <c r="CV15" s="229" t="s">
        <v>2</v>
      </c>
      <c r="CW15" s="229" t="s">
        <v>60</v>
      </c>
      <c r="CX15" s="242">
        <f>SUM(CX16:CX17)</f>
        <v>64330</v>
      </c>
      <c r="CY15" s="242">
        <f>SUM(CY16:CY17)</f>
        <v>61091</v>
      </c>
      <c r="CZ15" s="231">
        <f t="shared" si="6"/>
        <v>-5.0349759054873306</v>
      </c>
      <c r="DA15" s="230">
        <f>SUM(DA16:DA17)</f>
        <v>65855</v>
      </c>
      <c r="DB15" s="242">
        <f>SUM(DB16:DB17)</f>
        <v>61091</v>
      </c>
      <c r="DC15" s="231">
        <f t="shared" si="7"/>
        <v>-7.2340748614380068</v>
      </c>
      <c r="DD15" s="73"/>
      <c r="DE15" s="100" t="s">
        <v>2</v>
      </c>
      <c r="DF15" s="100" t="s">
        <v>60</v>
      </c>
      <c r="DG15" s="101">
        <f>SUM(DG16:DG17)</f>
        <v>61307</v>
      </c>
      <c r="DH15" s="101">
        <f>SUM(DH16:DH17)</f>
        <v>66515</v>
      </c>
      <c r="DI15" s="102">
        <f t="shared" si="8"/>
        <v>8.4949516368440801</v>
      </c>
      <c r="DJ15" s="101">
        <f>SUM(DJ16:DJ17)</f>
        <v>107559</v>
      </c>
      <c r="DK15" s="101">
        <f>SUM(DK16:DK17)</f>
        <v>66515</v>
      </c>
      <c r="DL15" s="102">
        <f t="shared" si="9"/>
        <v>-38.159521750853017</v>
      </c>
      <c r="DM15" s="73"/>
      <c r="DN15" s="100" t="s">
        <v>2</v>
      </c>
      <c r="DO15" s="100" t="s">
        <v>60</v>
      </c>
      <c r="DP15" s="101">
        <f>SUM(DP16:DP17)</f>
        <v>126871</v>
      </c>
      <c r="DQ15" s="101">
        <f>SUM(DQ16:DQ17)</f>
        <v>107559</v>
      </c>
      <c r="DR15" s="102">
        <f t="shared" si="10"/>
        <v>-15.221760686051185</v>
      </c>
      <c r="DS15" s="101">
        <v>72188</v>
      </c>
      <c r="DT15" s="101">
        <f>SUM(DT16:DT17)</f>
        <v>107559</v>
      </c>
      <c r="DU15" s="102">
        <f t="shared" si="11"/>
        <v>48.998448495594836</v>
      </c>
      <c r="DV15" s="73"/>
      <c r="DW15" s="120" t="s">
        <v>2</v>
      </c>
      <c r="DX15" s="120" t="s">
        <v>60</v>
      </c>
      <c r="DY15" s="133">
        <f>SUM(DY16:DY17)</f>
        <v>61330</v>
      </c>
      <c r="DZ15" s="133">
        <f>SUM(DZ16:DZ17)</f>
        <v>72188</v>
      </c>
      <c r="EA15" s="125">
        <f t="shared" si="12"/>
        <v>17.704223055600849</v>
      </c>
      <c r="EB15" s="121">
        <v>64162</v>
      </c>
      <c r="EC15" s="121">
        <v>72188</v>
      </c>
      <c r="ED15" s="125">
        <f t="shared" si="13"/>
        <v>12.508961690720364</v>
      </c>
      <c r="EE15" s="127"/>
      <c r="EF15" s="100" t="s">
        <v>2</v>
      </c>
      <c r="EG15" s="100" t="s">
        <v>60</v>
      </c>
      <c r="EH15" s="101">
        <f>SUM(EH16:EH17)</f>
        <v>46990</v>
      </c>
      <c r="EI15" s="101">
        <f>SUM(EI16:EI17)</f>
        <v>64162</v>
      </c>
      <c r="EJ15" s="102">
        <f t="shared" si="14"/>
        <v>36.543945520323476</v>
      </c>
      <c r="EK15" s="101">
        <v>63474</v>
      </c>
      <c r="EL15" s="101">
        <v>64162</v>
      </c>
      <c r="EM15" s="102">
        <f t="shared" si="15"/>
        <v>1.0839083719318146</v>
      </c>
      <c r="EN15" s="73"/>
      <c r="EO15" s="74" t="s">
        <v>2</v>
      </c>
      <c r="EP15" s="74" t="s">
        <v>60</v>
      </c>
      <c r="EQ15" s="75">
        <v>76986</v>
      </c>
      <c r="ER15" s="75">
        <f>ER16+ER17</f>
        <v>63474</v>
      </c>
      <c r="ES15" s="76">
        <f t="shared" si="16"/>
        <v>-17.551243083157978</v>
      </c>
      <c r="ET15" s="75">
        <v>106480</v>
      </c>
      <c r="EU15" s="75">
        <v>63474</v>
      </c>
      <c r="EV15" s="76">
        <f t="shared" si="17"/>
        <v>-40.388805409466563</v>
      </c>
      <c r="EX15" s="63" t="s">
        <v>2</v>
      </c>
      <c r="EY15" s="63" t="s">
        <v>60</v>
      </c>
      <c r="EZ15" s="64">
        <v>150867</v>
      </c>
      <c r="FA15" s="64">
        <f>SUM(FA16:FA17)</f>
        <v>106480</v>
      </c>
      <c r="FB15" s="65">
        <f t="shared" si="4"/>
        <v>-29.42127834450211</v>
      </c>
      <c r="FC15" s="64">
        <f>FC16+FC17</f>
        <v>114022</v>
      </c>
      <c r="FD15" s="64">
        <f>SUM(FD16:FD17)</f>
        <v>106480</v>
      </c>
      <c r="FE15" s="65">
        <f t="shared" si="5"/>
        <v>-6.614512988721474</v>
      </c>
      <c r="FF15" s="73"/>
      <c r="FG15" s="20" t="s">
        <v>1</v>
      </c>
      <c r="FH15" s="21">
        <v>53653</v>
      </c>
      <c r="FI15" s="21">
        <v>49383</v>
      </c>
      <c r="FJ15" s="31">
        <f>(FI15-FH15)/FH15*100</f>
        <v>-7.9585484502264547</v>
      </c>
      <c r="FK15" s="35">
        <v>55137</v>
      </c>
      <c r="FL15" s="21">
        <v>49383</v>
      </c>
      <c r="FM15" s="31">
        <f>(FL15-FK15)/FK15*100</f>
        <v>-10.435823494205342</v>
      </c>
      <c r="FO15" s="42" t="s">
        <v>1</v>
      </c>
      <c r="FP15" s="43">
        <v>52829</v>
      </c>
      <c r="FQ15" s="43">
        <v>55137</v>
      </c>
      <c r="FR15" s="44">
        <f>(FQ15-FP15)/FP15*100</f>
        <v>4.3688125839974257</v>
      </c>
      <c r="FS15" s="45">
        <v>51058</v>
      </c>
      <c r="FT15" s="43">
        <v>55137</v>
      </c>
      <c r="FU15" s="44">
        <f>(FT15-FS15)/FS15*100</f>
        <v>7.988953738885189</v>
      </c>
    </row>
    <row r="16" spans="1:177" x14ac:dyDescent="0.5">
      <c r="A16" s="250"/>
      <c r="B16" s="250" t="s">
        <v>61</v>
      </c>
      <c r="C16" s="252">
        <v>31445</v>
      </c>
      <c r="D16" s="248">
        <v>26358</v>
      </c>
      <c r="E16" s="249">
        <f>((D16-C16)/C16)*100</f>
        <v>-16.177452695182065</v>
      </c>
      <c r="F16" s="252">
        <v>28958</v>
      </c>
      <c r="G16" s="248">
        <v>26358</v>
      </c>
      <c r="H16" s="249">
        <f t="shared" si="25"/>
        <v>-8.9785206160646442</v>
      </c>
      <c r="I16" s="250"/>
      <c r="J16" s="250" t="s">
        <v>61</v>
      </c>
      <c r="K16" s="252">
        <v>30648</v>
      </c>
      <c r="L16" s="252">
        <v>28958</v>
      </c>
      <c r="M16" s="249">
        <f>((L16-K16)/K16)*100</f>
        <v>-5.5142260506395191</v>
      </c>
      <c r="N16" s="252">
        <v>30321</v>
      </c>
      <c r="O16" s="252">
        <v>28958</v>
      </c>
      <c r="P16" s="249">
        <f t="shared" si="27"/>
        <v>-4.4952343260446552</v>
      </c>
      <c r="Q16" s="250"/>
      <c r="R16" s="250" t="s">
        <v>61</v>
      </c>
      <c r="S16" s="252">
        <v>33098</v>
      </c>
      <c r="T16" s="252">
        <v>30321</v>
      </c>
      <c r="U16" s="249">
        <f t="shared" si="28"/>
        <v>-8.3902350595202115</v>
      </c>
      <c r="V16" s="252">
        <v>40399</v>
      </c>
      <c r="W16" s="252">
        <v>30321</v>
      </c>
      <c r="X16" s="249">
        <f t="shared" si="29"/>
        <v>-24.946162033713705</v>
      </c>
      <c r="Y16" s="250"/>
      <c r="Z16" s="250" t="s">
        <v>61</v>
      </c>
      <c r="AA16" s="252">
        <v>33307</v>
      </c>
      <c r="AB16" s="252">
        <v>40399</v>
      </c>
      <c r="AC16" s="249">
        <f t="shared" si="30"/>
        <v>21.292821328849794</v>
      </c>
      <c r="AD16" s="252">
        <v>24319</v>
      </c>
      <c r="AE16" s="252">
        <v>40399</v>
      </c>
      <c r="AF16" s="249">
        <f t="shared" si="31"/>
        <v>66.121139849500395</v>
      </c>
      <c r="AG16" s="250"/>
      <c r="AH16" s="250" t="s">
        <v>61</v>
      </c>
      <c r="AI16" s="252">
        <v>36779</v>
      </c>
      <c r="AJ16" s="252">
        <v>24319</v>
      </c>
      <c r="AK16" s="249">
        <f t="shared" si="32"/>
        <v>-33.878028222627044</v>
      </c>
      <c r="AL16" s="252">
        <v>28514</v>
      </c>
      <c r="AM16" s="252">
        <v>24319</v>
      </c>
      <c r="AN16" s="249">
        <f t="shared" si="33"/>
        <v>-14.71207126323911</v>
      </c>
      <c r="AO16" s="250"/>
      <c r="AP16" s="250" t="s">
        <v>61</v>
      </c>
      <c r="AQ16" s="252">
        <v>28291</v>
      </c>
      <c r="AR16" s="252">
        <v>28514</v>
      </c>
      <c r="AS16" s="249">
        <f t="shared" si="34"/>
        <v>0.78823654165635704</v>
      </c>
      <c r="AT16" s="252">
        <v>28122</v>
      </c>
      <c r="AU16" s="252">
        <v>28514</v>
      </c>
      <c r="AV16" s="249">
        <f t="shared" si="35"/>
        <v>1.393926463267193</v>
      </c>
      <c r="AW16" s="250"/>
      <c r="AX16" s="250" t="s">
        <v>61</v>
      </c>
      <c r="AY16" s="252">
        <v>34447</v>
      </c>
      <c r="AZ16" s="252">
        <v>36950</v>
      </c>
      <c r="BA16" s="249">
        <f t="shared" si="36"/>
        <v>7.2662350857839577</v>
      </c>
      <c r="BB16" s="252">
        <v>26403</v>
      </c>
      <c r="BC16" s="252">
        <v>36950</v>
      </c>
      <c r="BD16" s="249">
        <f t="shared" si="37"/>
        <v>39.946218232776573</v>
      </c>
      <c r="BE16" s="250"/>
      <c r="BF16" s="250" t="s">
        <v>61</v>
      </c>
      <c r="BG16" s="252">
        <v>28940</v>
      </c>
      <c r="BH16" s="252">
        <v>26403</v>
      </c>
      <c r="BI16" s="249">
        <f t="shared" si="38"/>
        <v>-8.7664132688320677</v>
      </c>
      <c r="BJ16" s="252">
        <v>29914</v>
      </c>
      <c r="BK16" s="252">
        <v>26403</v>
      </c>
      <c r="BL16" s="249">
        <f t="shared" si="39"/>
        <v>-11.736979340776895</v>
      </c>
      <c r="BM16" s="250"/>
      <c r="BN16" s="250" t="s">
        <v>61</v>
      </c>
      <c r="BO16" s="252">
        <v>29407</v>
      </c>
      <c r="BP16" s="252">
        <v>29914</v>
      </c>
      <c r="BQ16" s="249">
        <f>((BP16-BO16)/BO16)*100</f>
        <v>1.7240793008467374</v>
      </c>
      <c r="BR16" s="252">
        <v>19249</v>
      </c>
      <c r="BS16" s="252">
        <v>29914</v>
      </c>
      <c r="BT16" s="249">
        <f>((BS16-BR16)/BR16)*100</f>
        <v>55.405475609122554</v>
      </c>
      <c r="BU16" s="73"/>
      <c r="BV16" s="250" t="s">
        <v>61</v>
      </c>
      <c r="BW16" s="252">
        <v>21424</v>
      </c>
      <c r="BX16" s="252">
        <v>19249</v>
      </c>
      <c r="BY16" s="249">
        <f t="shared" si="40"/>
        <v>-10.15216579536968</v>
      </c>
      <c r="BZ16" s="252">
        <v>22530</v>
      </c>
      <c r="CA16" s="252">
        <v>19249</v>
      </c>
      <c r="CB16" s="249">
        <f>((CA16-BZ16)/BZ16)*100</f>
        <v>-14.562805148690636</v>
      </c>
      <c r="CC16" s="73"/>
      <c r="CD16" s="250"/>
      <c r="CE16" s="250" t="s">
        <v>61</v>
      </c>
      <c r="CF16" s="252">
        <v>19442</v>
      </c>
      <c r="CG16" s="252">
        <v>22530</v>
      </c>
      <c r="CH16" s="249">
        <f t="shared" si="20"/>
        <v>15.883139594691903</v>
      </c>
      <c r="CI16" s="252">
        <v>22208</v>
      </c>
      <c r="CJ16" s="252">
        <v>22530</v>
      </c>
      <c r="CK16" s="249">
        <f t="shared" si="21"/>
        <v>1.4499279538904899</v>
      </c>
      <c r="CL16" s="73"/>
      <c r="CM16" s="250"/>
      <c r="CN16" s="250" t="s">
        <v>61</v>
      </c>
      <c r="CO16" s="252">
        <v>23290</v>
      </c>
      <c r="CP16" s="252">
        <v>22208</v>
      </c>
      <c r="CQ16" s="249">
        <f t="shared" si="22"/>
        <v>-4.6457707170459424</v>
      </c>
      <c r="CR16" s="254">
        <v>24268</v>
      </c>
      <c r="CS16" s="252">
        <v>22208</v>
      </c>
      <c r="CT16" s="249">
        <f t="shared" si="23"/>
        <v>-8.4885445854623374</v>
      </c>
      <c r="CU16" s="73"/>
      <c r="CV16" s="232"/>
      <c r="CW16" s="232" t="s">
        <v>61</v>
      </c>
      <c r="CX16" s="244">
        <v>30353</v>
      </c>
      <c r="CY16" s="244">
        <v>24268</v>
      </c>
      <c r="CZ16" s="231">
        <f t="shared" si="6"/>
        <v>-20.047441768523704</v>
      </c>
      <c r="DA16" s="234">
        <v>20462</v>
      </c>
      <c r="DB16" s="244">
        <v>24268</v>
      </c>
      <c r="DC16" s="231">
        <f t="shared" si="7"/>
        <v>18.600332323331052</v>
      </c>
      <c r="DD16" s="73"/>
      <c r="DE16" s="103"/>
      <c r="DF16" s="103" t="s">
        <v>61</v>
      </c>
      <c r="DG16" s="105">
        <v>18578</v>
      </c>
      <c r="DH16" s="105">
        <v>20462</v>
      </c>
      <c r="DI16" s="102">
        <f t="shared" si="8"/>
        <v>10.141027021207881</v>
      </c>
      <c r="DJ16" s="105">
        <v>29117</v>
      </c>
      <c r="DK16" s="105">
        <v>20462</v>
      </c>
      <c r="DL16" s="102">
        <f t="shared" si="9"/>
        <v>-29.724902977641925</v>
      </c>
      <c r="DM16" s="73"/>
      <c r="DN16" s="103"/>
      <c r="DO16" s="103" t="s">
        <v>61</v>
      </c>
      <c r="DP16" s="105">
        <v>28736</v>
      </c>
      <c r="DQ16" s="105">
        <v>29117</v>
      </c>
      <c r="DR16" s="102">
        <f t="shared" si="10"/>
        <v>1.3258630289532294</v>
      </c>
      <c r="DS16" s="105">
        <v>14661</v>
      </c>
      <c r="DT16" s="105">
        <v>29117</v>
      </c>
      <c r="DU16" s="102">
        <f t="shared" si="11"/>
        <v>98.601732487552013</v>
      </c>
      <c r="DV16" s="73"/>
      <c r="DW16" s="24"/>
      <c r="DX16" s="24" t="s">
        <v>61</v>
      </c>
      <c r="DY16" s="50">
        <v>16319</v>
      </c>
      <c r="DZ16" s="50">
        <v>14661</v>
      </c>
      <c r="EA16" s="128">
        <f t="shared" si="12"/>
        <v>-10.159936270604817</v>
      </c>
      <c r="EB16" s="25">
        <v>7467</v>
      </c>
      <c r="EC16" s="25">
        <v>14661</v>
      </c>
      <c r="ED16" s="128">
        <f t="shared" si="13"/>
        <v>96.343913218159898</v>
      </c>
      <c r="EE16" s="130"/>
      <c r="EF16" s="103"/>
      <c r="EG16" s="103" t="s">
        <v>61</v>
      </c>
      <c r="EH16" s="105">
        <v>8397</v>
      </c>
      <c r="EI16" s="105">
        <v>7467</v>
      </c>
      <c r="EJ16" s="102">
        <f t="shared" si="14"/>
        <v>-11.075384065737763</v>
      </c>
      <c r="EK16" s="105">
        <v>11374</v>
      </c>
      <c r="EL16" s="105">
        <v>7467</v>
      </c>
      <c r="EM16" s="102">
        <f t="shared" si="15"/>
        <v>-34.350272551433093</v>
      </c>
      <c r="EN16" s="73"/>
      <c r="EO16" s="77"/>
      <c r="EP16" s="77" t="s">
        <v>61</v>
      </c>
      <c r="EQ16" s="80">
        <v>10770</v>
      </c>
      <c r="ER16" s="80">
        <v>11374</v>
      </c>
      <c r="ES16" s="79">
        <f t="shared" si="16"/>
        <v>5.6081708449396475</v>
      </c>
      <c r="ET16" s="81">
        <v>7145</v>
      </c>
      <c r="EU16" s="80">
        <v>11374</v>
      </c>
      <c r="EV16" s="79">
        <f t="shared" si="17"/>
        <v>59.188243526941918</v>
      </c>
      <c r="EX16" s="42"/>
      <c r="EY16" s="42" t="s">
        <v>61</v>
      </c>
      <c r="EZ16" s="43">
        <v>7209</v>
      </c>
      <c r="FA16" s="43">
        <v>7145</v>
      </c>
      <c r="FB16" s="44">
        <f t="shared" si="4"/>
        <v>-0.88777916493272302</v>
      </c>
      <c r="FC16" s="45">
        <v>6427</v>
      </c>
      <c r="FD16" s="43">
        <v>7145</v>
      </c>
      <c r="FE16" s="44">
        <f t="shared" si="5"/>
        <v>11.171619729267155</v>
      </c>
      <c r="FF16" s="61"/>
      <c r="FG16" s="20" t="s">
        <v>2</v>
      </c>
      <c r="FH16" s="21">
        <v>44253</v>
      </c>
      <c r="FI16" s="21">
        <v>49804</v>
      </c>
      <c r="FJ16" s="31">
        <f>(FI16-FH16)/FH16*100</f>
        <v>12.543782342440061</v>
      </c>
      <c r="FK16" s="35">
        <v>42224</v>
      </c>
      <c r="FL16" s="21">
        <v>49804</v>
      </c>
      <c r="FM16" s="31">
        <f>(FL16-FK16)/FK16*100</f>
        <v>17.951875710496402</v>
      </c>
      <c r="FO16" s="42" t="s">
        <v>2</v>
      </c>
      <c r="FP16" s="43">
        <v>40283</v>
      </c>
      <c r="FQ16" s="43">
        <v>42224</v>
      </c>
      <c r="FR16" s="44">
        <f>(FQ16-FP16)/FP16*100</f>
        <v>4.8184097510115933</v>
      </c>
      <c r="FS16" s="45">
        <v>27813</v>
      </c>
      <c r="FT16" s="43">
        <v>42224</v>
      </c>
      <c r="FU16" s="44">
        <f>(FT16-FS16)/FS16*100</f>
        <v>51.813899974831912</v>
      </c>
    </row>
    <row r="17" spans="1:162" x14ac:dyDescent="0.5">
      <c r="A17" s="250"/>
      <c r="B17" s="250" t="s">
        <v>62</v>
      </c>
      <c r="C17" s="252">
        <v>31145</v>
      </c>
      <c r="D17" s="248">
        <v>48856</v>
      </c>
      <c r="E17" s="249">
        <f t="shared" ref="E17:E18" si="41">((D17-C17)/C17)*100</f>
        <v>56.866270669449349</v>
      </c>
      <c r="F17" s="252">
        <v>40795</v>
      </c>
      <c r="G17" s="248">
        <v>48856</v>
      </c>
      <c r="H17" s="249">
        <f t="shared" si="25"/>
        <v>19.759774482166932</v>
      </c>
      <c r="I17" s="250"/>
      <c r="J17" s="250" t="s">
        <v>62</v>
      </c>
      <c r="K17" s="252">
        <v>27820</v>
      </c>
      <c r="L17" s="252">
        <v>40795</v>
      </c>
      <c r="M17" s="249">
        <f t="shared" si="26"/>
        <v>46.639108554996405</v>
      </c>
      <c r="N17" s="252">
        <v>30800</v>
      </c>
      <c r="O17" s="252">
        <v>40795</v>
      </c>
      <c r="P17" s="249">
        <f t="shared" si="27"/>
        <v>32.451298701298704</v>
      </c>
      <c r="Q17" s="250"/>
      <c r="R17" s="250" t="s">
        <v>62</v>
      </c>
      <c r="S17" s="252">
        <v>15660</v>
      </c>
      <c r="T17" s="252">
        <v>30800</v>
      </c>
      <c r="U17" s="249">
        <f t="shared" si="28"/>
        <v>96.679438058748403</v>
      </c>
      <c r="V17" s="252">
        <v>52260</v>
      </c>
      <c r="W17" s="252">
        <v>30800</v>
      </c>
      <c r="X17" s="249">
        <f t="shared" si="29"/>
        <v>-41.063911213164943</v>
      </c>
      <c r="Y17" s="250"/>
      <c r="Z17" s="250" t="s">
        <v>62</v>
      </c>
      <c r="AA17" s="252">
        <v>55360</v>
      </c>
      <c r="AB17" s="252">
        <v>52260</v>
      </c>
      <c r="AC17" s="249">
        <f t="shared" si="30"/>
        <v>-5.5997109826589595</v>
      </c>
      <c r="AD17" s="252">
        <v>44860</v>
      </c>
      <c r="AE17" s="252">
        <v>52260</v>
      </c>
      <c r="AF17" s="249">
        <f t="shared" si="31"/>
        <v>16.495764600980827</v>
      </c>
      <c r="AG17" s="250"/>
      <c r="AH17" s="250" t="s">
        <v>62</v>
      </c>
      <c r="AI17" s="252">
        <v>40200</v>
      </c>
      <c r="AJ17" s="252">
        <v>44860</v>
      </c>
      <c r="AK17" s="249">
        <f t="shared" si="32"/>
        <v>11.592039800995025</v>
      </c>
      <c r="AL17" s="252">
        <v>28940</v>
      </c>
      <c r="AM17" s="252">
        <v>44860</v>
      </c>
      <c r="AN17" s="249">
        <f t="shared" si="33"/>
        <v>55.010366275051837</v>
      </c>
      <c r="AO17" s="250"/>
      <c r="AP17" s="250" t="s">
        <v>62</v>
      </c>
      <c r="AQ17" s="252">
        <v>31700</v>
      </c>
      <c r="AR17" s="252">
        <v>28940</v>
      </c>
      <c r="AS17" s="249">
        <f t="shared" si="34"/>
        <v>-8.7066246056782326</v>
      </c>
      <c r="AT17" s="252">
        <v>37503</v>
      </c>
      <c r="AU17" s="252">
        <v>28940</v>
      </c>
      <c r="AV17" s="249">
        <f t="shared" si="35"/>
        <v>-22.832840039463509</v>
      </c>
      <c r="AW17" s="250"/>
      <c r="AX17" s="250" t="s">
        <v>62</v>
      </c>
      <c r="AY17" s="252">
        <v>42315</v>
      </c>
      <c r="AZ17" s="252">
        <v>37503</v>
      </c>
      <c r="BA17" s="249">
        <f t="shared" si="36"/>
        <v>-11.371853952499114</v>
      </c>
      <c r="BB17" s="252">
        <v>36166</v>
      </c>
      <c r="BC17" s="252">
        <v>37503</v>
      </c>
      <c r="BD17" s="249">
        <f t="shared" si="37"/>
        <v>3.696842338107615</v>
      </c>
      <c r="BE17" s="250"/>
      <c r="BF17" s="250" t="s">
        <v>62</v>
      </c>
      <c r="BG17" s="252">
        <v>35610</v>
      </c>
      <c r="BH17" s="252">
        <v>36166</v>
      </c>
      <c r="BI17" s="249">
        <f t="shared" si="38"/>
        <v>1.5613591687728166</v>
      </c>
      <c r="BJ17" s="252">
        <v>28985</v>
      </c>
      <c r="BK17" s="252">
        <v>36166</v>
      </c>
      <c r="BL17" s="249">
        <f t="shared" si="39"/>
        <v>24.774883560462307</v>
      </c>
      <c r="BM17" s="250"/>
      <c r="BN17" s="250" t="s">
        <v>62</v>
      </c>
      <c r="BO17" s="252">
        <v>32541</v>
      </c>
      <c r="BP17" s="252">
        <v>28985</v>
      </c>
      <c r="BQ17" s="249">
        <f>((BP17-BO17)/BO17)*100</f>
        <v>-10.927752681232906</v>
      </c>
      <c r="BR17" s="252">
        <v>41667</v>
      </c>
      <c r="BS17" s="252">
        <v>28985</v>
      </c>
      <c r="BT17" s="249">
        <f>((BS17-BR17)/BR17)*100</f>
        <v>-30.436556507547941</v>
      </c>
      <c r="BU17" s="73"/>
      <c r="BV17" s="250" t="s">
        <v>62</v>
      </c>
      <c r="BW17" s="252">
        <v>48320</v>
      </c>
      <c r="BX17" s="252">
        <v>41667</v>
      </c>
      <c r="BY17" s="249">
        <f t="shared" si="40"/>
        <v>-13.768625827814571</v>
      </c>
      <c r="BZ17" s="252">
        <v>43305</v>
      </c>
      <c r="CA17" s="252">
        <v>41667</v>
      </c>
      <c r="CB17" s="249">
        <f>((CA17-BZ17)/BZ17)*100</f>
        <v>-3.7824731555247659</v>
      </c>
      <c r="CC17" s="73"/>
      <c r="CD17" s="250"/>
      <c r="CE17" s="250" t="s">
        <v>62</v>
      </c>
      <c r="CF17" s="252">
        <v>45520</v>
      </c>
      <c r="CG17" s="252">
        <v>43305</v>
      </c>
      <c r="CH17" s="249">
        <f t="shared" si="20"/>
        <v>-4.8659929701230231</v>
      </c>
      <c r="CI17" s="252">
        <v>52267</v>
      </c>
      <c r="CJ17" s="252">
        <v>43305</v>
      </c>
      <c r="CK17" s="249">
        <f t="shared" si="21"/>
        <v>-17.146574320316834</v>
      </c>
      <c r="CL17" s="73"/>
      <c r="CM17" s="250"/>
      <c r="CN17" s="250" t="s">
        <v>62</v>
      </c>
      <c r="CO17" s="252">
        <v>56287</v>
      </c>
      <c r="CP17" s="252">
        <v>52267</v>
      </c>
      <c r="CQ17" s="249">
        <f t="shared" si="22"/>
        <v>-7.1419688382752673</v>
      </c>
      <c r="CR17" s="254">
        <v>36823</v>
      </c>
      <c r="CS17" s="252">
        <v>52267</v>
      </c>
      <c r="CT17" s="249">
        <f t="shared" si="23"/>
        <v>41.941178068055294</v>
      </c>
      <c r="CU17" s="73"/>
      <c r="CV17" s="232"/>
      <c r="CW17" s="232" t="s">
        <v>62</v>
      </c>
      <c r="CX17" s="244">
        <v>33977</v>
      </c>
      <c r="CY17" s="244">
        <v>36823</v>
      </c>
      <c r="CZ17" s="231">
        <f t="shared" si="6"/>
        <v>8.3762545251199345</v>
      </c>
      <c r="DA17" s="234">
        <v>45393</v>
      </c>
      <c r="DB17" s="244">
        <v>36823</v>
      </c>
      <c r="DC17" s="231">
        <f t="shared" si="7"/>
        <v>-18.879562928204791</v>
      </c>
      <c r="DD17" s="73"/>
      <c r="DE17" s="103"/>
      <c r="DF17" s="103" t="s">
        <v>62</v>
      </c>
      <c r="DG17" s="105">
        <v>42729</v>
      </c>
      <c r="DH17" s="105">
        <v>46053</v>
      </c>
      <c r="DI17" s="102">
        <f t="shared" si="8"/>
        <v>7.7792599873622139</v>
      </c>
      <c r="DJ17" s="105">
        <v>78442</v>
      </c>
      <c r="DK17" s="105">
        <v>46053</v>
      </c>
      <c r="DL17" s="102">
        <f t="shared" si="9"/>
        <v>-41.290380153489203</v>
      </c>
      <c r="DM17" s="73"/>
      <c r="DN17" s="103"/>
      <c r="DO17" s="103" t="s">
        <v>62</v>
      </c>
      <c r="DP17" s="105">
        <v>98135</v>
      </c>
      <c r="DQ17" s="105">
        <v>78442</v>
      </c>
      <c r="DR17" s="102">
        <f t="shared" si="10"/>
        <v>-20.067254292556171</v>
      </c>
      <c r="DS17" s="105">
        <v>57527</v>
      </c>
      <c r="DT17" s="105">
        <v>78442</v>
      </c>
      <c r="DU17" s="102">
        <f t="shared" si="11"/>
        <v>36.356841135466823</v>
      </c>
      <c r="DV17" s="73"/>
      <c r="DW17" s="24"/>
      <c r="DX17" s="24" t="s">
        <v>62</v>
      </c>
      <c r="DY17" s="50">
        <v>45011</v>
      </c>
      <c r="DZ17" s="50">
        <v>57527</v>
      </c>
      <c r="EA17" s="128">
        <f t="shared" si="12"/>
        <v>27.806536180044876</v>
      </c>
      <c r="EB17" s="25">
        <v>56695</v>
      </c>
      <c r="EC17" s="25">
        <v>57527</v>
      </c>
      <c r="ED17" s="128">
        <f t="shared" si="13"/>
        <v>1.4675015433459739</v>
      </c>
      <c r="EE17" s="130"/>
      <c r="EF17" s="103"/>
      <c r="EG17" s="103" t="s">
        <v>62</v>
      </c>
      <c r="EH17" s="105">
        <v>38593</v>
      </c>
      <c r="EI17" s="105">
        <v>56695</v>
      </c>
      <c r="EJ17" s="102">
        <f t="shared" si="14"/>
        <v>46.904879123157052</v>
      </c>
      <c r="EK17" s="105">
        <v>52100</v>
      </c>
      <c r="EL17" s="105">
        <v>56695</v>
      </c>
      <c r="EM17" s="102">
        <f t="shared" si="15"/>
        <v>8.81957773512476</v>
      </c>
      <c r="EN17" s="73"/>
      <c r="EO17" s="77"/>
      <c r="EP17" s="77" t="s">
        <v>62</v>
      </c>
      <c r="EQ17" s="80">
        <v>66216</v>
      </c>
      <c r="ER17" s="80">
        <v>52100</v>
      </c>
      <c r="ES17" s="79">
        <f t="shared" si="16"/>
        <v>-21.318110426483024</v>
      </c>
      <c r="ET17" s="81">
        <v>99335</v>
      </c>
      <c r="EU17" s="80">
        <v>52100</v>
      </c>
      <c r="EV17" s="79">
        <f t="shared" si="17"/>
        <v>-47.551215583631148</v>
      </c>
      <c r="EX17" s="42"/>
      <c r="EY17" s="42" t="s">
        <v>62</v>
      </c>
      <c r="EZ17" s="43">
        <v>143658</v>
      </c>
      <c r="FA17" s="43">
        <v>99335</v>
      </c>
      <c r="FB17" s="44">
        <f t="shared" si="4"/>
        <v>-30.853137312227652</v>
      </c>
      <c r="FC17" s="45">
        <v>107595</v>
      </c>
      <c r="FD17" s="43">
        <v>99335</v>
      </c>
      <c r="FE17" s="44">
        <f t="shared" si="5"/>
        <v>-7.6769366606254943</v>
      </c>
      <c r="FF17" s="61"/>
    </row>
    <row r="18" spans="1:162" x14ac:dyDescent="0.5">
      <c r="A18" s="250"/>
      <c r="B18" s="250" t="s">
        <v>63</v>
      </c>
      <c r="C18" s="256">
        <v>4437.5839634464401</v>
      </c>
      <c r="D18" s="248">
        <v>4401.7984212395404</v>
      </c>
      <c r="E18" s="249">
        <f t="shared" si="41"/>
        <v>-0.80641949542081226</v>
      </c>
      <c r="F18" s="290">
        <v>4504.4226725890385</v>
      </c>
      <c r="G18" s="248">
        <v>4401.7984212395404</v>
      </c>
      <c r="H18" s="249">
        <f t="shared" si="25"/>
        <v>-2.2782997691136302</v>
      </c>
      <c r="I18" s="250"/>
      <c r="J18" s="250" t="s">
        <v>63</v>
      </c>
      <c r="K18" s="256">
        <v>4329.6433986970815</v>
      </c>
      <c r="L18" s="290">
        <v>4504.4226725890403</v>
      </c>
      <c r="M18" s="249">
        <f t="shared" si="26"/>
        <v>4.0368052931231038</v>
      </c>
      <c r="N18" s="290">
        <v>4254.66</v>
      </c>
      <c r="O18" s="290">
        <v>4504.4226725890385</v>
      </c>
      <c r="P18" s="249">
        <f t="shared" si="27"/>
        <v>5.8703321202878405</v>
      </c>
      <c r="Q18" s="250"/>
      <c r="R18" s="250" t="s">
        <v>63</v>
      </c>
      <c r="S18" s="256">
        <v>4540.62</v>
      </c>
      <c r="T18" s="290">
        <v>4254.66</v>
      </c>
      <c r="U18" s="249">
        <f t="shared" si="28"/>
        <v>-6.2978183596072794</v>
      </c>
      <c r="V18" s="290">
        <v>6778.8745404903902</v>
      </c>
      <c r="W18" s="290">
        <v>4254.66</v>
      </c>
      <c r="X18" s="249">
        <f t="shared" si="29"/>
        <v>-37.236484100910744</v>
      </c>
      <c r="Y18" s="250"/>
      <c r="Z18" s="250" t="s">
        <v>63</v>
      </c>
      <c r="AA18" s="256">
        <v>6279.38</v>
      </c>
      <c r="AB18" s="290">
        <v>6778.8745404903902</v>
      </c>
      <c r="AC18" s="249">
        <f t="shared" si="30"/>
        <v>7.9545200400420129</v>
      </c>
      <c r="AD18" s="290">
        <v>4902.1099999999997</v>
      </c>
      <c r="AE18" s="290">
        <v>6778.8745404903902</v>
      </c>
      <c r="AF18" s="249">
        <f t="shared" si="31"/>
        <v>38.284831235741159</v>
      </c>
      <c r="AG18" s="250"/>
      <c r="AH18" s="250" t="s">
        <v>63</v>
      </c>
      <c r="AI18" s="256">
        <v>6055.71</v>
      </c>
      <c r="AJ18" s="290">
        <v>4902.1099999999997</v>
      </c>
      <c r="AK18" s="249">
        <f t="shared" si="32"/>
        <v>-19.049789372344456</v>
      </c>
      <c r="AL18" s="290">
        <v>4730.1899999999996</v>
      </c>
      <c r="AM18" s="290">
        <v>4902.1099999999997</v>
      </c>
      <c r="AN18" s="249">
        <f t="shared" si="33"/>
        <v>3.6345263086683643</v>
      </c>
      <c r="AO18" s="250"/>
      <c r="AP18" s="250" t="s">
        <v>63</v>
      </c>
      <c r="AQ18" s="256">
        <v>3433.2150042908502</v>
      </c>
      <c r="AR18" s="290">
        <v>4730.1899999999996</v>
      </c>
      <c r="AS18" s="249">
        <f t="shared" si="34"/>
        <v>37.777272733813156</v>
      </c>
      <c r="AT18" s="290">
        <v>5604.2947961190766</v>
      </c>
      <c r="AU18" s="290">
        <v>4730.1899999999996</v>
      </c>
      <c r="AV18" s="249">
        <f t="shared" si="35"/>
        <v>-15.597052402103948</v>
      </c>
      <c r="AW18" s="250"/>
      <c r="AX18" s="250" t="s">
        <v>63</v>
      </c>
      <c r="AY18" s="256">
        <v>6153.1550622200002</v>
      </c>
      <c r="AZ18" s="290">
        <v>6432.54</v>
      </c>
      <c r="BA18" s="249">
        <f t="shared" si="36"/>
        <v>4.5405151496247242</v>
      </c>
      <c r="BB18" s="290">
        <v>4606.8900000000003</v>
      </c>
      <c r="BC18" s="290">
        <v>6432.54</v>
      </c>
      <c r="BD18" s="249">
        <f t="shared" si="37"/>
        <v>39.628686597683028</v>
      </c>
      <c r="BE18" s="250"/>
      <c r="BF18" s="250" t="s">
        <v>63</v>
      </c>
      <c r="BG18" s="256">
        <v>4812.5600000000004</v>
      </c>
      <c r="BH18" s="290">
        <v>4606.8900000000003</v>
      </c>
      <c r="BI18" s="249">
        <f t="shared" si="38"/>
        <v>-4.2736090563026758</v>
      </c>
      <c r="BJ18" s="290">
        <v>4129.6099999999997</v>
      </c>
      <c r="BK18" s="290">
        <v>4606.8900000000003</v>
      </c>
      <c r="BL18" s="249">
        <f t="shared" si="39"/>
        <v>11.557507851831062</v>
      </c>
      <c r="BM18" s="250"/>
      <c r="BN18" s="250" t="s">
        <v>63</v>
      </c>
      <c r="BO18" s="256">
        <v>4012.23</v>
      </c>
      <c r="BP18" s="290">
        <v>4129.6099999999997</v>
      </c>
      <c r="BQ18" s="249">
        <f>((BP18-BO18)/BO18)*100</f>
        <v>2.9255551152351598</v>
      </c>
      <c r="BR18" s="256" t="s">
        <v>461</v>
      </c>
      <c r="BS18" s="290">
        <v>4129.6099999999997</v>
      </c>
      <c r="BT18" s="249">
        <f>((BS18-BR18)/BR18)*100</f>
        <v>70.232824647753773</v>
      </c>
      <c r="BU18" s="73"/>
      <c r="BV18" s="250" t="s">
        <v>63</v>
      </c>
      <c r="BW18" s="256">
        <v>3095.72</v>
      </c>
      <c r="BX18" s="326" t="s">
        <v>461</v>
      </c>
      <c r="BY18" s="249">
        <f t="shared" si="40"/>
        <v>-21.63826185830759</v>
      </c>
      <c r="BZ18" s="256">
        <v>3084.94</v>
      </c>
      <c r="CA18" s="290" t="s">
        <v>461</v>
      </c>
      <c r="CB18" s="249">
        <f>((CA18-BZ18)/BZ18)*100</f>
        <v>-21.364434964699473</v>
      </c>
      <c r="CC18" s="73"/>
      <c r="CD18" s="250"/>
      <c r="CE18" s="250" t="s">
        <v>63</v>
      </c>
      <c r="CF18" s="256">
        <v>2908.89</v>
      </c>
      <c r="CG18" s="256">
        <v>3084.94</v>
      </c>
      <c r="CH18" s="249">
        <f t="shared" si="20"/>
        <v>6.0521367256926242</v>
      </c>
      <c r="CI18" s="256">
        <v>3277.3</v>
      </c>
      <c r="CJ18" s="256">
        <v>3084.94</v>
      </c>
      <c r="CK18" s="249">
        <f t="shared" si="21"/>
        <v>-5.8694657187318864</v>
      </c>
      <c r="CL18" s="73"/>
      <c r="CM18" s="250"/>
      <c r="CN18" s="250" t="s">
        <v>63</v>
      </c>
      <c r="CO18" s="256">
        <v>3570.16</v>
      </c>
      <c r="CP18" s="256">
        <v>3277.3</v>
      </c>
      <c r="CQ18" s="249">
        <f t="shared" si="22"/>
        <v>-8.2029937033634255</v>
      </c>
      <c r="CR18" s="255">
        <v>3665.02</v>
      </c>
      <c r="CS18" s="256">
        <v>3277.3</v>
      </c>
      <c r="CT18" s="249">
        <f t="shared" si="23"/>
        <v>-10.578932720694562</v>
      </c>
      <c r="CU18" s="73"/>
      <c r="CV18" s="232"/>
      <c r="CW18" s="232" t="s">
        <v>63</v>
      </c>
      <c r="CX18" s="243">
        <v>4240.49</v>
      </c>
      <c r="CY18" s="243">
        <v>3665.02</v>
      </c>
      <c r="CZ18" s="231">
        <f t="shared" si="6"/>
        <v>-13.570837332478083</v>
      </c>
      <c r="DA18" s="235">
        <v>2041.87</v>
      </c>
      <c r="DB18" s="243">
        <v>3665.02</v>
      </c>
      <c r="DC18" s="231">
        <f t="shared" si="7"/>
        <v>79.493307605283405</v>
      </c>
      <c r="DD18" s="73"/>
      <c r="DE18" s="103"/>
      <c r="DF18" s="103" t="s">
        <v>63</v>
      </c>
      <c r="DG18" s="106">
        <v>1940.76</v>
      </c>
      <c r="DH18" s="106">
        <v>21315.48</v>
      </c>
      <c r="DI18" s="102">
        <f t="shared" si="8"/>
        <v>998.30581833920746</v>
      </c>
      <c r="DJ18" s="106">
        <v>2405.86</v>
      </c>
      <c r="DK18" s="106">
        <v>2041.87</v>
      </c>
      <c r="DL18" s="102">
        <f t="shared" si="9"/>
        <v>-15.129309269866088</v>
      </c>
      <c r="DM18" s="73"/>
      <c r="DN18" s="103"/>
      <c r="DO18" s="103" t="s">
        <v>63</v>
      </c>
      <c r="DP18" s="106">
        <v>1967.64</v>
      </c>
      <c r="DQ18" s="106">
        <v>2405.86</v>
      </c>
      <c r="DR18" s="102">
        <f t="shared" si="10"/>
        <v>22.27135045028562</v>
      </c>
      <c r="DS18" s="106">
        <v>2292.36</v>
      </c>
      <c r="DT18" s="106">
        <v>2405.86</v>
      </c>
      <c r="DU18" s="102">
        <f t="shared" si="11"/>
        <v>4.9512293008079009</v>
      </c>
      <c r="DV18" s="73"/>
      <c r="DW18" s="24"/>
      <c r="DX18" s="24" t="s">
        <v>63</v>
      </c>
      <c r="DY18" s="132">
        <v>2163.3200000000002</v>
      </c>
      <c r="DZ18" s="132">
        <v>2292.36</v>
      </c>
      <c r="EA18" s="128">
        <f t="shared" si="12"/>
        <v>5.9649057929478744</v>
      </c>
      <c r="EB18" s="124">
        <v>1583.44</v>
      </c>
      <c r="EC18" s="124">
        <v>2292.36</v>
      </c>
      <c r="ED18" s="128">
        <f t="shared" si="13"/>
        <v>44.770878593442134</v>
      </c>
      <c r="EE18" s="130"/>
      <c r="EF18" s="103"/>
      <c r="EG18" s="103" t="s">
        <v>63</v>
      </c>
      <c r="EH18" s="106">
        <v>1428.83</v>
      </c>
      <c r="EI18" s="106">
        <v>1583.44</v>
      </c>
      <c r="EJ18" s="102">
        <f t="shared" si="14"/>
        <v>10.820741445798319</v>
      </c>
      <c r="EK18" s="106">
        <v>1879.03</v>
      </c>
      <c r="EL18" s="106">
        <v>1583.44</v>
      </c>
      <c r="EM18" s="102">
        <f t="shared" si="15"/>
        <v>-15.730988861274165</v>
      </c>
      <c r="EN18" s="73"/>
      <c r="EO18" s="77"/>
      <c r="EP18" s="77" t="s">
        <v>63</v>
      </c>
      <c r="EQ18" s="82">
        <v>1793.31</v>
      </c>
      <c r="ER18" s="82">
        <v>1879.03</v>
      </c>
      <c r="ES18" s="79">
        <f t="shared" si="16"/>
        <v>4.779987843708005</v>
      </c>
      <c r="ET18" s="83">
        <v>1970.11</v>
      </c>
      <c r="EU18" s="82">
        <v>1879.03</v>
      </c>
      <c r="EV18" s="79">
        <f t="shared" si="17"/>
        <v>-4.6230921116079777</v>
      </c>
      <c r="EX18" s="42"/>
      <c r="EY18" s="42" t="s">
        <v>63</v>
      </c>
      <c r="EZ18" s="66">
        <v>1882.81</v>
      </c>
      <c r="FA18" s="66">
        <v>1970.11</v>
      </c>
      <c r="FB18" s="44">
        <f t="shared" si="4"/>
        <v>4.6366866545216965</v>
      </c>
      <c r="FC18" s="67">
        <v>2007.49</v>
      </c>
      <c r="FD18" s="66">
        <v>1970.11</v>
      </c>
      <c r="FE18" s="44">
        <f t="shared" si="5"/>
        <v>-1.8620267099711634</v>
      </c>
      <c r="FF18" s="61"/>
    </row>
    <row r="20" spans="1:162" x14ac:dyDescent="0.5">
      <c r="C20" s="62" t="s">
        <v>882</v>
      </c>
      <c r="K20" s="62" t="s">
        <v>844</v>
      </c>
      <c r="S20" s="62" t="s">
        <v>793</v>
      </c>
      <c r="AA20" s="62" t="s">
        <v>743</v>
      </c>
      <c r="AI20" s="62" t="s">
        <v>702</v>
      </c>
      <c r="AQ20" s="62" t="s">
        <v>609</v>
      </c>
      <c r="AY20" s="62" t="s">
        <v>609</v>
      </c>
      <c r="BG20" s="62" t="s">
        <v>561</v>
      </c>
      <c r="BO20" s="62" t="s">
        <v>515</v>
      </c>
      <c r="BW20" s="62" t="s">
        <v>407</v>
      </c>
      <c r="CF20" s="62" t="s">
        <v>407</v>
      </c>
      <c r="CO20" s="171" t="s">
        <v>366</v>
      </c>
      <c r="CX20" t="s">
        <v>312</v>
      </c>
      <c r="DG20" t="s">
        <v>273</v>
      </c>
      <c r="DP20" t="s">
        <v>230</v>
      </c>
      <c r="DY20" t="s">
        <v>195</v>
      </c>
      <c r="EH20" t="s">
        <v>158</v>
      </c>
      <c r="EQ20" t="s">
        <v>117</v>
      </c>
      <c r="EZ20" t="s">
        <v>73</v>
      </c>
    </row>
    <row r="21" spans="1:162" x14ac:dyDescent="0.5">
      <c r="A21" s="163"/>
      <c r="B21" s="163"/>
      <c r="C21" s="264" t="s">
        <v>879</v>
      </c>
      <c r="D21" s="302" t="s">
        <v>883</v>
      </c>
      <c r="E21" s="302" t="s">
        <v>3</v>
      </c>
      <c r="F21" s="264" t="s">
        <v>843</v>
      </c>
      <c r="G21" s="302" t="s">
        <v>883</v>
      </c>
      <c r="H21" s="302" t="s">
        <v>3</v>
      </c>
      <c r="I21" s="163"/>
      <c r="J21" s="163"/>
      <c r="K21" s="264" t="s">
        <v>840</v>
      </c>
      <c r="L21" s="264" t="s">
        <v>843</v>
      </c>
      <c r="M21" s="302" t="s">
        <v>3</v>
      </c>
      <c r="N21" s="264" t="s">
        <v>794</v>
      </c>
      <c r="O21" s="264" t="s">
        <v>843</v>
      </c>
      <c r="P21" s="302" t="s">
        <v>3</v>
      </c>
      <c r="Q21" s="163"/>
      <c r="R21" s="163"/>
      <c r="S21" s="264" t="s">
        <v>790</v>
      </c>
      <c r="T21" s="264" t="s">
        <v>794</v>
      </c>
      <c r="U21" s="302" t="s">
        <v>3</v>
      </c>
      <c r="V21" s="264" t="s">
        <v>744</v>
      </c>
      <c r="W21" s="264" t="s">
        <v>794</v>
      </c>
      <c r="X21" s="302" t="s">
        <v>3</v>
      </c>
      <c r="Y21" s="163"/>
      <c r="Z21" s="163"/>
      <c r="AA21" s="264" t="s">
        <v>740</v>
      </c>
      <c r="AB21" s="264" t="s">
        <v>744</v>
      </c>
      <c r="AC21" s="302" t="s">
        <v>3</v>
      </c>
      <c r="AD21" s="264" t="s">
        <v>703</v>
      </c>
      <c r="AE21" s="264" t="s">
        <v>744</v>
      </c>
      <c r="AF21" s="302" t="s">
        <v>3</v>
      </c>
      <c r="AG21" s="163"/>
      <c r="AH21" s="163"/>
      <c r="AI21" s="264" t="s">
        <v>698</v>
      </c>
      <c r="AJ21" s="264" t="s">
        <v>703</v>
      </c>
      <c r="AK21" s="302" t="s">
        <v>3</v>
      </c>
      <c r="AL21" s="264" t="s">
        <v>653</v>
      </c>
      <c r="AM21" s="264" t="s">
        <v>703</v>
      </c>
      <c r="AN21" s="302" t="s">
        <v>3</v>
      </c>
      <c r="AO21" s="163"/>
      <c r="AP21" s="163"/>
      <c r="AQ21" s="264" t="s">
        <v>650</v>
      </c>
      <c r="AR21" s="264" t="s">
        <v>653</v>
      </c>
      <c r="AS21" s="302" t="s">
        <v>3</v>
      </c>
      <c r="AT21" s="264" t="s">
        <v>608</v>
      </c>
      <c r="AU21" s="264" t="s">
        <v>653</v>
      </c>
      <c r="AV21" s="302" t="s">
        <v>3</v>
      </c>
      <c r="AW21" s="163"/>
      <c r="AX21" s="163"/>
      <c r="AY21" s="264">
        <v>22859</v>
      </c>
      <c r="AZ21" s="264">
        <v>22890</v>
      </c>
      <c r="BA21" s="302" t="s">
        <v>3</v>
      </c>
      <c r="BB21" s="264">
        <v>22525</v>
      </c>
      <c r="BC21" s="264">
        <v>22890</v>
      </c>
      <c r="BD21" s="302" t="s">
        <v>3</v>
      </c>
      <c r="BE21" s="163"/>
      <c r="BF21" s="163"/>
      <c r="BG21" s="175" t="s">
        <v>558</v>
      </c>
      <c r="BH21" s="175" t="s">
        <v>562</v>
      </c>
      <c r="BI21" s="164" t="s">
        <v>3</v>
      </c>
      <c r="BJ21" s="175" t="s">
        <v>516</v>
      </c>
      <c r="BK21" s="175" t="s">
        <v>562</v>
      </c>
      <c r="BL21" s="164" t="s">
        <v>3</v>
      </c>
      <c r="BM21" s="163"/>
      <c r="BN21" s="163"/>
      <c r="BO21" s="175" t="str">
        <f t="shared" ref="BO21:BT21" si="42">BO2</f>
        <v>ส.ค. 60</v>
      </c>
      <c r="BP21" s="175" t="str">
        <f t="shared" si="42"/>
        <v>ก.ย. 60</v>
      </c>
      <c r="BQ21" s="164" t="str">
        <f t="shared" si="42"/>
        <v>ร้อยละ</v>
      </c>
      <c r="BR21" s="175" t="str">
        <f t="shared" si="42"/>
        <v>ก.ย. 59</v>
      </c>
      <c r="BS21" s="175" t="str">
        <f t="shared" si="42"/>
        <v>ก.ย. 60</v>
      </c>
      <c r="BT21" s="164" t="str">
        <f t="shared" si="42"/>
        <v>ร้อยละ</v>
      </c>
      <c r="BU21" s="62"/>
      <c r="BV21" s="163"/>
      <c r="BW21" s="175" t="str">
        <f t="shared" ref="BW21:CB21" si="43">BW2</f>
        <v>ส.ค. 59</v>
      </c>
      <c r="BX21" s="175" t="str">
        <f t="shared" si="43"/>
        <v>ก.ย. 59</v>
      </c>
      <c r="BY21" s="164" t="str">
        <f t="shared" si="43"/>
        <v>ร้อยละ</v>
      </c>
      <c r="BZ21" s="175" t="str">
        <f t="shared" si="43"/>
        <v>ก.ย. 58</v>
      </c>
      <c r="CA21" s="175" t="str">
        <f t="shared" si="43"/>
        <v>ก.ย. 59</v>
      </c>
      <c r="CB21" s="164" t="str">
        <f t="shared" si="43"/>
        <v>ร้อยละ</v>
      </c>
      <c r="CC21" s="62"/>
      <c r="CD21" s="163"/>
      <c r="CE21" s="163"/>
      <c r="CF21" s="175" t="s">
        <v>403</v>
      </c>
      <c r="CG21" s="175" t="s">
        <v>408</v>
      </c>
      <c r="CH21" s="163" t="s">
        <v>3</v>
      </c>
      <c r="CI21" s="175" t="s">
        <v>367</v>
      </c>
      <c r="CJ21" s="175" t="s">
        <v>408</v>
      </c>
      <c r="CK21" s="163" t="s">
        <v>3</v>
      </c>
      <c r="CL21" s="62"/>
      <c r="CM21" s="163"/>
      <c r="CN21" s="163"/>
      <c r="CO21" s="175" t="s">
        <v>364</v>
      </c>
      <c r="CP21" s="175" t="s">
        <v>368</v>
      </c>
      <c r="CQ21" s="163" t="s">
        <v>3</v>
      </c>
      <c r="CR21" s="175" t="s">
        <v>313</v>
      </c>
      <c r="CS21" s="175" t="s">
        <v>367</v>
      </c>
      <c r="CT21" s="163" t="s">
        <v>3</v>
      </c>
      <c r="CU21" s="62"/>
      <c r="CV21" s="239"/>
      <c r="CW21" s="239"/>
      <c r="CX21" s="240" t="s">
        <v>309</v>
      </c>
      <c r="CY21" s="240" t="s">
        <v>313</v>
      </c>
      <c r="CZ21" s="239" t="s">
        <v>3</v>
      </c>
      <c r="DA21" s="241" t="s">
        <v>274</v>
      </c>
      <c r="DB21" s="240" t="s">
        <v>313</v>
      </c>
      <c r="DC21" s="239" t="s">
        <v>3</v>
      </c>
      <c r="DD21" s="62"/>
      <c r="DE21" s="141"/>
      <c r="DF21" s="141"/>
      <c r="DG21" s="144" t="s">
        <v>271</v>
      </c>
      <c r="DH21" s="144" t="s">
        <v>274</v>
      </c>
      <c r="DI21" s="141" t="s">
        <v>3</v>
      </c>
      <c r="DJ21" s="144" t="s">
        <v>228</v>
      </c>
      <c r="DK21" s="144" t="s">
        <v>274</v>
      </c>
      <c r="DL21" s="141" t="s">
        <v>3</v>
      </c>
      <c r="DM21" s="62"/>
      <c r="DN21" s="141"/>
      <c r="DO21" s="141"/>
      <c r="DP21" s="144" t="s">
        <v>226</v>
      </c>
      <c r="DQ21" s="144" t="s">
        <v>231</v>
      </c>
      <c r="DR21" s="141" t="s">
        <v>3</v>
      </c>
      <c r="DS21" s="146" t="s">
        <v>196</v>
      </c>
      <c r="DT21" s="144" t="s">
        <v>228</v>
      </c>
      <c r="DU21" s="141" t="s">
        <v>3</v>
      </c>
      <c r="DV21" s="62"/>
      <c r="DW21" s="95"/>
      <c r="DX21" s="95"/>
      <c r="DY21" s="96" t="s">
        <v>192</v>
      </c>
      <c r="DZ21" s="96" t="s">
        <v>196</v>
      </c>
      <c r="EA21" s="95" t="s">
        <v>3</v>
      </c>
      <c r="EB21" s="96" t="s">
        <v>159</v>
      </c>
      <c r="EC21" s="96" t="s">
        <v>196</v>
      </c>
      <c r="ED21" s="95" t="s">
        <v>3</v>
      </c>
      <c r="EE21" s="62"/>
      <c r="EF21" s="107"/>
      <c r="EG21" s="107"/>
      <c r="EH21" s="108" t="s">
        <v>156</v>
      </c>
      <c r="EI21" s="108" t="s">
        <v>159</v>
      </c>
      <c r="EJ21" s="107" t="s">
        <v>3</v>
      </c>
      <c r="EK21" s="108" t="s">
        <v>118</v>
      </c>
      <c r="EL21" s="108" t="s">
        <v>159</v>
      </c>
      <c r="EM21" s="107" t="s">
        <v>3</v>
      </c>
      <c r="EN21" s="62"/>
      <c r="EO21" s="95"/>
      <c r="EP21" s="95"/>
      <c r="EQ21" s="96">
        <v>18841</v>
      </c>
      <c r="ER21" s="96">
        <v>18872</v>
      </c>
      <c r="ES21" s="95" t="s">
        <v>3</v>
      </c>
      <c r="ET21" s="96" t="s">
        <v>119</v>
      </c>
      <c r="EU21" s="96" t="s">
        <v>118</v>
      </c>
      <c r="EV21" s="95" t="s">
        <v>3</v>
      </c>
      <c r="EX21" s="54"/>
      <c r="EY21" s="54"/>
      <c r="EZ21" s="55">
        <v>18476</v>
      </c>
      <c r="FA21" s="55">
        <v>18507</v>
      </c>
      <c r="FB21" s="54" t="s">
        <v>3</v>
      </c>
      <c r="FC21" s="55">
        <v>18142</v>
      </c>
      <c r="FD21" s="55">
        <v>18507</v>
      </c>
      <c r="FE21" s="54" t="s">
        <v>3</v>
      </c>
      <c r="FF21" s="62"/>
    </row>
    <row r="22" spans="1:162" x14ac:dyDescent="0.5">
      <c r="A22" s="165" t="s">
        <v>0</v>
      </c>
      <c r="B22" s="165"/>
      <c r="C22" s="166">
        <v>112366</v>
      </c>
      <c r="D22" s="166">
        <v>128104</v>
      </c>
      <c r="E22" s="167">
        <f t="shared" ref="E22:E32" si="44">((D22-C22)/C22)*100</f>
        <v>14.006016054678462</v>
      </c>
      <c r="F22" s="166">
        <v>122277</v>
      </c>
      <c r="G22" s="166">
        <v>128104</v>
      </c>
      <c r="H22" s="167">
        <f t="shared" ref="H22:H30" si="45">((G22-F22)/F22)*100</f>
        <v>4.7654096845686427</v>
      </c>
      <c r="I22" s="165" t="s">
        <v>0</v>
      </c>
      <c r="J22" s="165"/>
      <c r="K22" s="166">
        <v>119680</v>
      </c>
      <c r="L22" s="166">
        <v>122277</v>
      </c>
      <c r="M22" s="167">
        <f t="shared" ref="M22:M32" si="46">((L22-K22)/K22)*100</f>
        <v>2.1699532085561497</v>
      </c>
      <c r="N22" s="166">
        <v>164093</v>
      </c>
      <c r="O22" s="166">
        <v>122277</v>
      </c>
      <c r="P22" s="167">
        <f t="shared" ref="P22:P30" si="47">((O22-N22)/N22)*100</f>
        <v>-25.483110187515617</v>
      </c>
      <c r="Q22" s="165" t="s">
        <v>0</v>
      </c>
      <c r="R22" s="165"/>
      <c r="S22" s="166">
        <v>150657</v>
      </c>
      <c r="T22" s="166">
        <v>164093</v>
      </c>
      <c r="U22" s="167">
        <f t="shared" ref="U22:U32" si="48">((T22-S22)/S22)*100</f>
        <v>8.9182713050173579</v>
      </c>
      <c r="V22" s="166">
        <v>179237</v>
      </c>
      <c r="W22" s="166">
        <v>164093</v>
      </c>
      <c r="X22" s="167">
        <f t="shared" ref="X22:X30" si="49">((W22-V22)/V22)*100</f>
        <v>-8.4491483343282923</v>
      </c>
      <c r="Y22" s="165" t="s">
        <v>0</v>
      </c>
      <c r="Z22" s="165"/>
      <c r="AA22" s="166">
        <v>171731</v>
      </c>
      <c r="AB22" s="166">
        <v>179237</v>
      </c>
      <c r="AC22" s="167">
        <f t="shared" ref="AC22:AC32" si="50">((AB22-AA22)/AA22)*100</f>
        <v>4.3707891993874144</v>
      </c>
      <c r="AD22" s="166">
        <v>140038</v>
      </c>
      <c r="AE22" s="166">
        <v>179237</v>
      </c>
      <c r="AF22" s="167">
        <f t="shared" ref="AF22:AF30" si="51">((AE22-AD22)/AD22)*100</f>
        <v>27.99168797040803</v>
      </c>
      <c r="AG22" s="165" t="s">
        <v>0</v>
      </c>
      <c r="AH22" s="165"/>
      <c r="AI22" s="166">
        <v>104144</v>
      </c>
      <c r="AJ22" s="166">
        <v>140038</v>
      </c>
      <c r="AK22" s="167">
        <f t="shared" ref="AK22:AK32" si="52">((AJ22-AI22)/AI22)*100</f>
        <v>34.465739744968502</v>
      </c>
      <c r="AL22" s="166">
        <v>149666</v>
      </c>
      <c r="AM22" s="166">
        <v>140038</v>
      </c>
      <c r="AN22" s="167">
        <f t="shared" ref="AN22:AN30" si="53">((AM22-AL22)/AL22)*100</f>
        <v>-6.4329907928320402</v>
      </c>
      <c r="AO22" s="165" t="s">
        <v>0</v>
      </c>
      <c r="AP22" s="165"/>
      <c r="AQ22" s="166">
        <v>117253</v>
      </c>
      <c r="AR22" s="166">
        <v>150345</v>
      </c>
      <c r="AS22" s="167">
        <f t="shared" ref="AS22:AS32" si="54">((AR22-AQ22)/AQ22)*100</f>
        <v>28.222732040971231</v>
      </c>
      <c r="AT22" s="166">
        <v>169474</v>
      </c>
      <c r="AU22" s="166">
        <v>150345</v>
      </c>
      <c r="AV22" s="167">
        <f t="shared" ref="AV22:AV30" si="55">((AU22-AT22)/AT22)*100</f>
        <v>-11.287277104452601</v>
      </c>
      <c r="AW22" s="165" t="s">
        <v>0</v>
      </c>
      <c r="AX22" s="165"/>
      <c r="AY22" s="166">
        <v>166361</v>
      </c>
      <c r="AZ22" s="166">
        <v>169474</v>
      </c>
      <c r="BA22" s="167">
        <f t="shared" ref="BA22:BA32" si="56">((AZ22-AY22)/AY22)*100</f>
        <v>1.8712318391930802</v>
      </c>
      <c r="BB22" s="166">
        <v>183191</v>
      </c>
      <c r="BC22" s="166">
        <v>169474</v>
      </c>
      <c r="BD22" s="167">
        <f t="shared" ref="BD22:BD30" si="57">((BC22-BB22)/BB22)*100</f>
        <v>-7.4878132659355545</v>
      </c>
      <c r="BE22" s="165" t="s">
        <v>0</v>
      </c>
      <c r="BF22" s="165"/>
      <c r="BG22" s="166">
        <v>181237</v>
      </c>
      <c r="BH22" s="166">
        <v>183191</v>
      </c>
      <c r="BI22" s="167">
        <f t="shared" ref="BI22:BI32" si="58">((BH22-BG22)/BG22)*100</f>
        <v>1.0781462946307874</v>
      </c>
      <c r="BJ22" s="166">
        <v>190272</v>
      </c>
      <c r="BK22" s="166">
        <v>183191</v>
      </c>
      <c r="BL22" s="167">
        <f t="shared" ref="BL22:BL30" si="59">((BK22-BJ22)/BJ22)*100</f>
        <v>-3.7215144635048771</v>
      </c>
      <c r="BM22" s="165" t="s">
        <v>0</v>
      </c>
      <c r="BN22" s="165"/>
      <c r="BO22" s="166">
        <v>177415</v>
      </c>
      <c r="BP22" s="166">
        <v>190272</v>
      </c>
      <c r="BQ22" s="167">
        <f>((BP22-BO22)/BO22)*100</f>
        <v>7.2468506045148384</v>
      </c>
      <c r="BR22" s="166">
        <v>173069</v>
      </c>
      <c r="BS22" s="166">
        <v>190272</v>
      </c>
      <c r="BT22" s="167">
        <f t="shared" ref="BT22:BT32" si="60">((BS22-BR22)/BR22)*100</f>
        <v>9.9399661406722171</v>
      </c>
      <c r="BU22" s="73"/>
      <c r="BV22" s="165"/>
      <c r="BW22" s="166">
        <v>156337</v>
      </c>
      <c r="BX22" s="166">
        <v>173069</v>
      </c>
      <c r="BY22" s="167">
        <f>((BX22-BW22)/BW22)*100</f>
        <v>10.702520836398294</v>
      </c>
      <c r="BZ22" s="166">
        <v>171496</v>
      </c>
      <c r="CA22" s="166">
        <v>173069</v>
      </c>
      <c r="CB22" s="167">
        <f t="shared" ref="CB22:CB32" si="61">((CA22-BZ22)/BZ22)*100</f>
        <v>0.91722255912674355</v>
      </c>
      <c r="CC22" s="73"/>
      <c r="CD22" s="165" t="s">
        <v>0</v>
      </c>
      <c r="CE22" s="165"/>
      <c r="CF22" s="166">
        <v>159149</v>
      </c>
      <c r="CG22" s="166">
        <v>171496</v>
      </c>
      <c r="CH22" s="167">
        <f>((CG22-CF22)/CF22)*100</f>
        <v>7.7581385996770322</v>
      </c>
      <c r="CI22" s="166">
        <v>164299</v>
      </c>
      <c r="CJ22" s="166">
        <v>171496</v>
      </c>
      <c r="CK22" s="167">
        <f t="shared" ref="CK22:CK32" si="62">((CJ22-CI22)/CI22)*100</f>
        <v>4.3804283653582798</v>
      </c>
      <c r="CL22" s="73"/>
      <c r="CM22" s="165" t="s">
        <v>0</v>
      </c>
      <c r="CN22" s="165"/>
      <c r="CO22" s="166">
        <f>SUM(CO23:CO25)</f>
        <v>140797</v>
      </c>
      <c r="CP22" s="166">
        <v>164299</v>
      </c>
      <c r="CQ22" s="167">
        <f>((CP22-CO22)/CO22)*100</f>
        <v>16.69211701953877</v>
      </c>
      <c r="CR22" s="166">
        <f>SUM(CR23:CR25)</f>
        <v>194744</v>
      </c>
      <c r="CS22" s="166">
        <v>164299</v>
      </c>
      <c r="CT22" s="167">
        <f t="shared" ref="CT22:CT32" si="63">((CS22-CR22)/CR22)*100</f>
        <v>-15.633344287885635</v>
      </c>
      <c r="CU22" s="73"/>
      <c r="CV22" s="224" t="s">
        <v>0</v>
      </c>
      <c r="CW22" s="224"/>
      <c r="CX22" s="238">
        <f>SUM(CX23:CX25)</f>
        <v>193074</v>
      </c>
      <c r="CY22" s="238">
        <f>SUM(CY23:CY25)</f>
        <v>194737</v>
      </c>
      <c r="CZ22" s="225">
        <f>((CY22-CX22)/CX22)*100</f>
        <v>0.86132778105803987</v>
      </c>
      <c r="DA22" s="238">
        <f>SUM(DA23:DA25)</f>
        <v>232604</v>
      </c>
      <c r="DB22" s="238">
        <v>194737</v>
      </c>
      <c r="DC22" s="225">
        <f>((DB22-DA22)/DA22)*100</f>
        <v>-16.279599662946467</v>
      </c>
      <c r="DD22" s="73"/>
      <c r="DE22" s="150" t="s">
        <v>0</v>
      </c>
      <c r="DF22" s="150"/>
      <c r="DG22" s="147">
        <f>SUM(DG23:DG25)</f>
        <v>210334</v>
      </c>
      <c r="DH22" s="147">
        <f>SUM(DH23:DH25)</f>
        <v>228500</v>
      </c>
      <c r="DI22" s="151">
        <f>((DH22-DG22)/DG22)*100</f>
        <v>8.6367396616809451</v>
      </c>
      <c r="DJ22" s="147">
        <f>SUM(DJ23:DJ25)</f>
        <v>174212</v>
      </c>
      <c r="DK22" s="147">
        <f>SUM(DK23:DK25)</f>
        <v>228500</v>
      </c>
      <c r="DL22" s="151">
        <f>((DK22-DJ22)/DJ22)*100</f>
        <v>31.16203246619062</v>
      </c>
      <c r="DM22" s="73"/>
      <c r="DN22" s="150" t="s">
        <v>0</v>
      </c>
      <c r="DO22" s="150"/>
      <c r="DP22" s="147">
        <f>SUM(DP23:DP25)</f>
        <v>153180</v>
      </c>
      <c r="DQ22" s="147">
        <f>SUM(DQ23:DQ25)</f>
        <v>174212</v>
      </c>
      <c r="DR22" s="151">
        <f>((DQ22-DP22)/DP22)*100</f>
        <v>13.730251991121555</v>
      </c>
      <c r="DS22" s="147">
        <v>141416</v>
      </c>
      <c r="DT22" s="147">
        <f>SUM(DT23:DT25)</f>
        <v>174212</v>
      </c>
      <c r="DU22" s="151">
        <f>((DT22-DS22)/DS22)*100</f>
        <v>23.191152344854896</v>
      </c>
      <c r="DV22" s="73"/>
      <c r="DW22" s="86" t="s">
        <v>0</v>
      </c>
      <c r="DX22" s="86"/>
      <c r="DY22" s="87">
        <f>SUM(DY23:DY25)</f>
        <v>141049</v>
      </c>
      <c r="DZ22" s="87">
        <f>SUM(DZ23:DZ25)</f>
        <v>141416</v>
      </c>
      <c r="EA22" s="126">
        <f>((DZ22-DY22)/DY22)*100</f>
        <v>0.26019326616991262</v>
      </c>
      <c r="EB22" s="87">
        <v>103390</v>
      </c>
      <c r="EC22" s="87">
        <f>SUM(EC23:EC25)</f>
        <v>141416</v>
      </c>
      <c r="ED22" s="126">
        <f>((EC22-EB22)/EB22)*100</f>
        <v>36.779185607892444</v>
      </c>
      <c r="EE22" s="127"/>
      <c r="EF22" s="63" t="s">
        <v>0</v>
      </c>
      <c r="EG22" s="63"/>
      <c r="EH22" s="68">
        <f>SUM(EH23:EH25)</f>
        <v>84170</v>
      </c>
      <c r="EI22" s="68">
        <f>SUM(EI23:EI25)</f>
        <v>103390</v>
      </c>
      <c r="EJ22" s="65">
        <f t="shared" ref="EJ22:EJ32" si="64">(EI22-EH22)/EH22*100</f>
        <v>22.834739218248782</v>
      </c>
      <c r="EK22" s="68">
        <v>123834</v>
      </c>
      <c r="EL22" s="68">
        <f>SUM(EL23:EL25)</f>
        <v>103390</v>
      </c>
      <c r="EM22" s="65">
        <f t="shared" ref="EM22:EM32" si="65">(EL22-EK22)/EK22*100</f>
        <v>-16.509197797050888</v>
      </c>
      <c r="EN22" s="73"/>
      <c r="EO22" s="86" t="s">
        <v>0</v>
      </c>
      <c r="EP22" s="86"/>
      <c r="EQ22" s="87">
        <v>103737</v>
      </c>
      <c r="ER22" s="87">
        <f>SUM(ER23:ER25)</f>
        <v>123834</v>
      </c>
      <c r="ES22" s="88">
        <f>((ER22-EQ22)/EQ22)*100</f>
        <v>19.37302987362272</v>
      </c>
      <c r="ET22" s="87">
        <v>117171</v>
      </c>
      <c r="EU22" s="87">
        <v>123834</v>
      </c>
      <c r="EV22" s="88">
        <f>((EU22-ET22)/ET22)*100</f>
        <v>5.6865606677420182</v>
      </c>
      <c r="EX22" s="63" t="s">
        <v>0</v>
      </c>
      <c r="EY22" s="63"/>
      <c r="EZ22" s="68">
        <v>109486</v>
      </c>
      <c r="FA22" s="68">
        <f>SUM(FA23:FA25)</f>
        <v>117171</v>
      </c>
      <c r="FB22" s="65">
        <f t="shared" ref="FB22:FB32" si="66">(FA22-EZ22)/EZ22*100</f>
        <v>7.0191622673218488</v>
      </c>
      <c r="FC22" s="68">
        <f>SUM(FC23:FC25)</f>
        <v>103219</v>
      </c>
      <c r="FD22" s="68">
        <f>SUM(FD23:FD25)</f>
        <v>117171</v>
      </c>
      <c r="FE22" s="65">
        <f t="shared" ref="FE22:FE32" si="67">(FD22-FC22)/FC22*100</f>
        <v>13.516891270018117</v>
      </c>
      <c r="FF22" s="73"/>
    </row>
    <row r="23" spans="1:162" x14ac:dyDescent="0.5">
      <c r="A23" s="168"/>
      <c r="B23" s="168" t="s">
        <v>51</v>
      </c>
      <c r="C23" s="169">
        <v>42202</v>
      </c>
      <c r="D23" s="166">
        <f>D22-D24-D25</f>
        <v>48401</v>
      </c>
      <c r="E23" s="167">
        <f t="shared" si="44"/>
        <v>14.688877304393158</v>
      </c>
      <c r="F23" s="169">
        <v>50025</v>
      </c>
      <c r="G23" s="166">
        <v>48401</v>
      </c>
      <c r="H23" s="167">
        <f t="shared" si="45"/>
        <v>-3.2463768115942031</v>
      </c>
      <c r="I23" s="168"/>
      <c r="J23" s="168" t="s">
        <v>51</v>
      </c>
      <c r="K23" s="169">
        <v>46066</v>
      </c>
      <c r="L23" s="169">
        <v>50025</v>
      </c>
      <c r="M23" s="167">
        <f t="shared" si="46"/>
        <v>8.5941909434289929</v>
      </c>
      <c r="N23" s="169">
        <v>57463</v>
      </c>
      <c r="O23" s="169">
        <v>50025</v>
      </c>
      <c r="P23" s="167">
        <f t="shared" si="47"/>
        <v>-12.943981344517342</v>
      </c>
      <c r="Q23" s="168"/>
      <c r="R23" s="168" t="s">
        <v>51</v>
      </c>
      <c r="S23" s="169">
        <v>50558</v>
      </c>
      <c r="T23" s="169">
        <v>57463</v>
      </c>
      <c r="U23" s="167">
        <f t="shared" si="48"/>
        <v>13.657581391668975</v>
      </c>
      <c r="V23" s="169">
        <v>60700</v>
      </c>
      <c r="W23" s="169">
        <v>57463</v>
      </c>
      <c r="X23" s="167">
        <f t="shared" si="49"/>
        <v>-5.3327841845140034</v>
      </c>
      <c r="Y23" s="168"/>
      <c r="Z23" s="168" t="s">
        <v>51</v>
      </c>
      <c r="AA23" s="169">
        <v>52771</v>
      </c>
      <c r="AB23" s="169">
        <v>60700</v>
      </c>
      <c r="AC23" s="167">
        <f t="shared" si="50"/>
        <v>15.025297985636049</v>
      </c>
      <c r="AD23" s="169">
        <v>53621</v>
      </c>
      <c r="AE23" s="169">
        <v>60700</v>
      </c>
      <c r="AF23" s="167">
        <f t="shared" si="51"/>
        <v>13.201917159321908</v>
      </c>
      <c r="AG23" s="168"/>
      <c r="AH23" s="168" t="s">
        <v>51</v>
      </c>
      <c r="AI23" s="169">
        <v>40796</v>
      </c>
      <c r="AJ23" s="169">
        <v>53621</v>
      </c>
      <c r="AK23" s="167">
        <f t="shared" si="52"/>
        <v>31.43690557897833</v>
      </c>
      <c r="AL23" s="169">
        <v>54664</v>
      </c>
      <c r="AM23" s="169">
        <v>53621</v>
      </c>
      <c r="AN23" s="167">
        <f t="shared" si="53"/>
        <v>-1.9080199034099226</v>
      </c>
      <c r="AO23" s="168"/>
      <c r="AP23" s="168" t="s">
        <v>51</v>
      </c>
      <c r="AQ23" s="169">
        <v>44813</v>
      </c>
      <c r="AR23" s="169">
        <v>55057</v>
      </c>
      <c r="AS23" s="167">
        <f t="shared" si="54"/>
        <v>22.859438109477161</v>
      </c>
      <c r="AT23" s="169">
        <v>68780</v>
      </c>
      <c r="AU23" s="169">
        <v>55057</v>
      </c>
      <c r="AV23" s="167">
        <f t="shared" si="55"/>
        <v>-19.9520209363187</v>
      </c>
      <c r="AW23" s="168"/>
      <c r="AX23" s="168" t="s">
        <v>51</v>
      </c>
      <c r="AY23" s="169">
        <v>65935</v>
      </c>
      <c r="AZ23" s="169">
        <v>68780</v>
      </c>
      <c r="BA23" s="167">
        <f t="shared" si="56"/>
        <v>4.3148555395465227</v>
      </c>
      <c r="BB23" s="169">
        <v>74797</v>
      </c>
      <c r="BC23" s="169">
        <v>68780</v>
      </c>
      <c r="BD23" s="167">
        <f t="shared" si="57"/>
        <v>-8.0444402850381689</v>
      </c>
      <c r="BE23" s="168"/>
      <c r="BF23" s="168" t="s">
        <v>51</v>
      </c>
      <c r="BG23" s="169">
        <v>75779</v>
      </c>
      <c r="BH23" s="169">
        <v>74797</v>
      </c>
      <c r="BI23" s="167">
        <f t="shared" si="58"/>
        <v>-1.2958735269665738</v>
      </c>
      <c r="BJ23" s="169">
        <v>77101</v>
      </c>
      <c r="BK23" s="169">
        <v>74797</v>
      </c>
      <c r="BL23" s="167">
        <f t="shared" si="59"/>
        <v>-2.9882880896486426</v>
      </c>
      <c r="BM23" s="168"/>
      <c r="BN23" s="168" t="s">
        <v>51</v>
      </c>
      <c r="BO23" s="169">
        <v>71690</v>
      </c>
      <c r="BP23" s="169">
        <v>77101</v>
      </c>
      <c r="BQ23" s="167">
        <f>((BP23-BO23)/BO23)*100</f>
        <v>7.5477751429767048</v>
      </c>
      <c r="BR23" s="169">
        <v>78352</v>
      </c>
      <c r="BS23" s="169">
        <v>77101</v>
      </c>
      <c r="BT23" s="167">
        <f t="shared" si="60"/>
        <v>-1.596640800490096</v>
      </c>
      <c r="BU23" s="73"/>
      <c r="BV23" s="168" t="s">
        <v>51</v>
      </c>
      <c r="BW23" s="169">
        <v>71241</v>
      </c>
      <c r="BX23" s="169">
        <v>78352</v>
      </c>
      <c r="BY23" s="167">
        <f>((BX23-BW23)/BW23)*100</f>
        <v>9.9816117123566492</v>
      </c>
      <c r="BZ23" s="169">
        <v>63643</v>
      </c>
      <c r="CA23" s="169">
        <v>78352</v>
      </c>
      <c r="CB23" s="167">
        <f t="shared" si="61"/>
        <v>23.11173263359678</v>
      </c>
      <c r="CC23" s="73"/>
      <c r="CD23" s="168"/>
      <c r="CE23" s="168" t="s">
        <v>51</v>
      </c>
      <c r="CF23" s="169">
        <v>63415</v>
      </c>
      <c r="CG23" s="169">
        <v>63643</v>
      </c>
      <c r="CH23" s="167">
        <f>((CG23-CF23)/CF23)*100</f>
        <v>0.35953638729007331</v>
      </c>
      <c r="CI23" s="169">
        <v>64337</v>
      </c>
      <c r="CJ23" s="169">
        <v>63643</v>
      </c>
      <c r="CK23" s="167">
        <f t="shared" si="62"/>
        <v>-1.0786949966582215</v>
      </c>
      <c r="CL23" s="73"/>
      <c r="CM23" s="168"/>
      <c r="CN23" s="168" t="s">
        <v>51</v>
      </c>
      <c r="CO23" s="169">
        <v>54177</v>
      </c>
      <c r="CP23" s="169">
        <v>64337</v>
      </c>
      <c r="CQ23" s="167">
        <f>((CP23-CO23)/CO23)*100</f>
        <v>18.753345515624712</v>
      </c>
      <c r="CR23" s="169">
        <v>88693</v>
      </c>
      <c r="CS23" s="169">
        <v>64337</v>
      </c>
      <c r="CT23" s="167">
        <f t="shared" si="63"/>
        <v>-27.461017216691285</v>
      </c>
      <c r="CU23" s="73"/>
      <c r="CV23" s="226"/>
      <c r="CW23" s="226" t="s">
        <v>51</v>
      </c>
      <c r="CX23" s="227">
        <v>82188</v>
      </c>
      <c r="CY23" s="227">
        <v>88693</v>
      </c>
      <c r="CZ23" s="225">
        <f t="shared" ref="CZ23:CZ32" si="68">((CY23-CX23)/CX23)*100</f>
        <v>7.9147807465810098</v>
      </c>
      <c r="DA23" s="227">
        <v>99926</v>
      </c>
      <c r="DB23" s="227">
        <v>88693</v>
      </c>
      <c r="DC23" s="225">
        <f t="shared" ref="DC23:DC32" si="69">((DB23-DA23)/DA23)*100</f>
        <v>-11.241318575746053</v>
      </c>
      <c r="DD23" s="73"/>
      <c r="DE23" s="152"/>
      <c r="DF23" s="152" t="s">
        <v>51</v>
      </c>
      <c r="DG23" s="148">
        <v>82960</v>
      </c>
      <c r="DH23" s="148">
        <v>95822</v>
      </c>
      <c r="DI23" s="151">
        <f t="shared" ref="DI23:DI32" si="70">((DH23-DG23)/DG23)*100</f>
        <v>15.503857280617165</v>
      </c>
      <c r="DJ23" s="148">
        <v>68878</v>
      </c>
      <c r="DK23" s="148">
        <v>95822</v>
      </c>
      <c r="DL23" s="151">
        <f t="shared" ref="DL23:DL32" si="71">((DK23-DJ23)/DJ23)*100</f>
        <v>39.118441302012251</v>
      </c>
      <c r="DM23" s="73"/>
      <c r="DN23" s="152"/>
      <c r="DO23" s="152" t="s">
        <v>51</v>
      </c>
      <c r="DP23" s="148">
        <v>57335</v>
      </c>
      <c r="DQ23" s="148">
        <v>68878</v>
      </c>
      <c r="DR23" s="151">
        <f t="shared" ref="DR23:DR32" si="72">((DQ23-DP23)/DP23)*100</f>
        <v>20.13255428621261</v>
      </c>
      <c r="DS23" s="148">
        <v>47235</v>
      </c>
      <c r="DT23" s="148">
        <v>68878</v>
      </c>
      <c r="DU23" s="151">
        <f t="shared" ref="DU23:DU32" si="73">((DT23-DS23)/DS23)*100</f>
        <v>45.819836985286329</v>
      </c>
      <c r="DV23" s="73"/>
      <c r="DW23" s="89"/>
      <c r="DX23" s="89" t="s">
        <v>51</v>
      </c>
      <c r="DY23" s="90">
        <v>49603</v>
      </c>
      <c r="DZ23" s="90">
        <v>47235</v>
      </c>
      <c r="EA23" s="129">
        <f t="shared" ref="EA23:EA32" si="74">((DZ23-DY23)/DY23)*100</f>
        <v>-4.7739048041449106</v>
      </c>
      <c r="EB23" s="90">
        <v>33167</v>
      </c>
      <c r="EC23" s="90">
        <v>47235</v>
      </c>
      <c r="ED23" s="129">
        <f t="shared" ref="ED23:ED32" si="75">((EC23-EB23)/EB23)*100</f>
        <v>42.415654114029003</v>
      </c>
      <c r="EE23" s="130"/>
      <c r="EF23" s="42"/>
      <c r="EG23" s="42" t="s">
        <v>51</v>
      </c>
      <c r="EH23" s="43">
        <v>26688</v>
      </c>
      <c r="EI23" s="43">
        <v>33167</v>
      </c>
      <c r="EJ23" s="44">
        <f>((EI23-EH23)/EH23)*100</f>
        <v>24.276828537170264</v>
      </c>
      <c r="EK23" s="43">
        <v>35499</v>
      </c>
      <c r="EL23" s="43">
        <v>33167</v>
      </c>
      <c r="EM23" s="44">
        <f t="shared" si="65"/>
        <v>-6.569199132369925</v>
      </c>
      <c r="EN23" s="61"/>
      <c r="EO23" s="89"/>
      <c r="EP23" s="89" t="s">
        <v>51</v>
      </c>
      <c r="EQ23" s="90">
        <v>33453</v>
      </c>
      <c r="ER23" s="90">
        <v>35499</v>
      </c>
      <c r="ES23" s="91">
        <f t="shared" ref="ES23:ES32" si="76">((ER23-EQ23)/EQ23)*100</f>
        <v>6.1160434041789973</v>
      </c>
      <c r="ET23" s="92">
        <v>29146</v>
      </c>
      <c r="EU23" s="90">
        <v>35499</v>
      </c>
      <c r="EV23" s="91">
        <f t="shared" ref="EV23:EV31" si="77">((EU23-ET23)/ET23)*100</f>
        <v>21.797159129897757</v>
      </c>
      <c r="EX23" s="42"/>
      <c r="EY23" s="42" t="s">
        <v>51</v>
      </c>
      <c r="EZ23" s="43">
        <v>29773</v>
      </c>
      <c r="FA23" s="43">
        <v>29146</v>
      </c>
      <c r="FB23" s="44">
        <f t="shared" si="66"/>
        <v>-2.1059349074664961</v>
      </c>
      <c r="FC23" s="45">
        <v>25362</v>
      </c>
      <c r="FD23" s="43">
        <v>29146</v>
      </c>
      <c r="FE23" s="44">
        <f t="shared" si="67"/>
        <v>14.919958993770207</v>
      </c>
      <c r="FF23" s="61"/>
    </row>
    <row r="24" spans="1:162" x14ac:dyDescent="0.5">
      <c r="A24" s="168"/>
      <c r="B24" s="168" t="s">
        <v>52</v>
      </c>
      <c r="C24" s="169">
        <v>68410</v>
      </c>
      <c r="D24" s="166">
        <v>77473</v>
      </c>
      <c r="E24" s="167">
        <f t="shared" si="44"/>
        <v>13.248063148662476</v>
      </c>
      <c r="F24" s="169">
        <v>70646</v>
      </c>
      <c r="G24" s="166">
        <v>77473</v>
      </c>
      <c r="H24" s="167">
        <f t="shared" si="45"/>
        <v>9.6636752257735754</v>
      </c>
      <c r="I24" s="168"/>
      <c r="J24" s="168" t="s">
        <v>52</v>
      </c>
      <c r="K24" s="169">
        <v>71973</v>
      </c>
      <c r="L24" s="169">
        <v>70646</v>
      </c>
      <c r="M24" s="167">
        <f t="shared" si="46"/>
        <v>-1.8437469606658052</v>
      </c>
      <c r="N24" s="169">
        <v>102180</v>
      </c>
      <c r="O24" s="169">
        <v>70646</v>
      </c>
      <c r="P24" s="167">
        <f t="shared" si="47"/>
        <v>-30.861225288706208</v>
      </c>
      <c r="Q24" s="168"/>
      <c r="R24" s="168" t="s">
        <v>52</v>
      </c>
      <c r="S24" s="169">
        <v>95538</v>
      </c>
      <c r="T24" s="169">
        <v>102180</v>
      </c>
      <c r="U24" s="167">
        <f t="shared" si="48"/>
        <v>6.95220749858695</v>
      </c>
      <c r="V24" s="169">
        <v>113652</v>
      </c>
      <c r="W24" s="169">
        <v>102180</v>
      </c>
      <c r="X24" s="167">
        <f t="shared" si="49"/>
        <v>-10.093971069580826</v>
      </c>
      <c r="Y24" s="168"/>
      <c r="Z24" s="168" t="s">
        <v>52</v>
      </c>
      <c r="AA24" s="169">
        <v>114128</v>
      </c>
      <c r="AB24" s="169">
        <v>113652</v>
      </c>
      <c r="AC24" s="167">
        <f t="shared" si="50"/>
        <v>-0.41707556427870457</v>
      </c>
      <c r="AD24" s="169">
        <v>82826</v>
      </c>
      <c r="AE24" s="169">
        <v>113652</v>
      </c>
      <c r="AF24" s="167">
        <f t="shared" si="51"/>
        <v>37.217781855938959</v>
      </c>
      <c r="AG24" s="168"/>
      <c r="AH24" s="168" t="s">
        <v>52</v>
      </c>
      <c r="AI24" s="169">
        <v>59865</v>
      </c>
      <c r="AJ24" s="169">
        <v>82826</v>
      </c>
      <c r="AK24" s="167">
        <f t="shared" si="52"/>
        <v>38.354631253654055</v>
      </c>
      <c r="AL24" s="169">
        <v>91935</v>
      </c>
      <c r="AM24" s="169">
        <v>82826</v>
      </c>
      <c r="AN24" s="167">
        <f t="shared" si="53"/>
        <v>-9.908087235546855</v>
      </c>
      <c r="AO24" s="168"/>
      <c r="AP24" s="168" t="s">
        <v>52</v>
      </c>
      <c r="AQ24" s="169">
        <v>70179</v>
      </c>
      <c r="AR24" s="169">
        <v>92221</v>
      </c>
      <c r="AS24" s="167">
        <f t="shared" si="54"/>
        <v>31.408256031006427</v>
      </c>
      <c r="AT24" s="169">
        <v>97016</v>
      </c>
      <c r="AU24" s="169">
        <v>92221</v>
      </c>
      <c r="AV24" s="167">
        <f t="shared" si="55"/>
        <v>-4.9424837140265518</v>
      </c>
      <c r="AW24" s="168"/>
      <c r="AX24" s="168" t="s">
        <v>52</v>
      </c>
      <c r="AY24" s="169">
        <v>96499</v>
      </c>
      <c r="AZ24" s="169">
        <v>97016</v>
      </c>
      <c r="BA24" s="167">
        <f t="shared" si="56"/>
        <v>0.53575684722121475</v>
      </c>
      <c r="BB24" s="169">
        <v>104968</v>
      </c>
      <c r="BC24" s="169">
        <v>97016</v>
      </c>
      <c r="BD24" s="167">
        <f t="shared" si="57"/>
        <v>-7.5756421004496604</v>
      </c>
      <c r="BE24" s="168"/>
      <c r="BF24" s="168" t="s">
        <v>52</v>
      </c>
      <c r="BG24" s="169">
        <v>101864</v>
      </c>
      <c r="BH24" s="169">
        <v>104968</v>
      </c>
      <c r="BI24" s="167">
        <f t="shared" si="58"/>
        <v>3.0472001884866096</v>
      </c>
      <c r="BJ24" s="169">
        <v>109224</v>
      </c>
      <c r="BK24" s="169">
        <v>104968</v>
      </c>
      <c r="BL24" s="167">
        <f t="shared" si="59"/>
        <v>-3.8965795063356041</v>
      </c>
      <c r="BM24" s="168"/>
      <c r="BN24" s="168" t="s">
        <v>52</v>
      </c>
      <c r="BO24" s="169">
        <v>101710</v>
      </c>
      <c r="BP24" s="169">
        <v>109224</v>
      </c>
      <c r="BQ24" s="167">
        <f>((BP24-BO24)/BO24)*100</f>
        <v>7.3876708288270576</v>
      </c>
      <c r="BR24" s="169">
        <v>91170</v>
      </c>
      <c r="BS24" s="169">
        <v>109224</v>
      </c>
      <c r="BT24" s="167">
        <f t="shared" si="60"/>
        <v>19.802566633761106</v>
      </c>
      <c r="BU24" s="73"/>
      <c r="BV24" s="168" t="s">
        <v>52</v>
      </c>
      <c r="BW24" s="169">
        <v>81758</v>
      </c>
      <c r="BX24" s="169">
        <v>91170</v>
      </c>
      <c r="BY24" s="167">
        <f>((BX24-BW24)/BW24)*100</f>
        <v>11.512023288240906</v>
      </c>
      <c r="BZ24" s="169">
        <v>104514</v>
      </c>
      <c r="CA24" s="169">
        <v>91170</v>
      </c>
      <c r="CB24" s="167">
        <f t="shared" si="61"/>
        <v>-12.767667489522935</v>
      </c>
      <c r="CC24" s="73"/>
      <c r="CD24" s="168"/>
      <c r="CE24" s="168" t="s">
        <v>52</v>
      </c>
      <c r="CF24" s="169">
        <v>92778</v>
      </c>
      <c r="CG24" s="169">
        <v>104514</v>
      </c>
      <c r="CH24" s="167">
        <f>((CG24-CF24)/CF24)*100</f>
        <v>12.649550539998708</v>
      </c>
      <c r="CI24" s="169">
        <v>98080</v>
      </c>
      <c r="CJ24" s="169">
        <v>104514</v>
      </c>
      <c r="CK24" s="167">
        <f t="shared" si="62"/>
        <v>6.5599510603588902</v>
      </c>
      <c r="CL24" s="73"/>
      <c r="CM24" s="168"/>
      <c r="CN24" s="168" t="s">
        <v>52</v>
      </c>
      <c r="CO24" s="169">
        <v>85091</v>
      </c>
      <c r="CP24" s="169">
        <v>98080</v>
      </c>
      <c r="CQ24" s="167">
        <f>((CP24-CO24)/CO24)*100</f>
        <v>15.264834118766968</v>
      </c>
      <c r="CR24" s="169">
        <v>101656</v>
      </c>
      <c r="CS24" s="169">
        <v>98080</v>
      </c>
      <c r="CT24" s="167">
        <f t="shared" si="63"/>
        <v>-3.5177461241835211</v>
      </c>
      <c r="CU24" s="73"/>
      <c r="CV24" s="226"/>
      <c r="CW24" s="226" t="s">
        <v>52</v>
      </c>
      <c r="CX24" s="227">
        <v>106010</v>
      </c>
      <c r="CY24" s="227">
        <v>101656</v>
      </c>
      <c r="CZ24" s="225">
        <f t="shared" si="68"/>
        <v>-4.1071597019149131</v>
      </c>
      <c r="DA24" s="227">
        <v>128735</v>
      </c>
      <c r="DB24" s="227">
        <v>101656</v>
      </c>
      <c r="DC24" s="225">
        <f t="shared" si="69"/>
        <v>-21.034683652464363</v>
      </c>
      <c r="DD24" s="73"/>
      <c r="DE24" s="152"/>
      <c r="DF24" s="152" t="s">
        <v>52</v>
      </c>
      <c r="DG24" s="148">
        <v>124152</v>
      </c>
      <c r="DH24" s="148">
        <v>128735</v>
      </c>
      <c r="DI24" s="151">
        <f t="shared" si="70"/>
        <v>3.6914427475997167</v>
      </c>
      <c r="DJ24" s="148">
        <v>103792</v>
      </c>
      <c r="DK24" s="148">
        <v>128735</v>
      </c>
      <c r="DL24" s="151">
        <f t="shared" si="71"/>
        <v>24.031717280715277</v>
      </c>
      <c r="DM24" s="73"/>
      <c r="DN24" s="152"/>
      <c r="DO24" s="152" t="s">
        <v>52</v>
      </c>
      <c r="DP24" s="148">
        <v>93874</v>
      </c>
      <c r="DQ24" s="148">
        <v>103792</v>
      </c>
      <c r="DR24" s="151">
        <f t="shared" si="72"/>
        <v>10.565225728103627</v>
      </c>
      <c r="DS24" s="148">
        <v>92056</v>
      </c>
      <c r="DT24" s="148">
        <v>103792</v>
      </c>
      <c r="DU24" s="151">
        <f t="shared" si="73"/>
        <v>12.748761623359695</v>
      </c>
      <c r="DV24" s="73"/>
      <c r="DW24" s="89"/>
      <c r="DX24" s="89" t="s">
        <v>52</v>
      </c>
      <c r="DY24" s="90">
        <v>89639</v>
      </c>
      <c r="DZ24" s="90">
        <v>92056</v>
      </c>
      <c r="EA24" s="129">
        <f t="shared" si="74"/>
        <v>2.6963709992302456</v>
      </c>
      <c r="EB24" s="90">
        <v>68785</v>
      </c>
      <c r="EC24" s="90">
        <v>92056</v>
      </c>
      <c r="ED24" s="129">
        <f t="shared" si="75"/>
        <v>33.831503961619539</v>
      </c>
      <c r="EE24" s="130"/>
      <c r="EF24" s="42"/>
      <c r="EG24" s="42" t="s">
        <v>52</v>
      </c>
      <c r="EH24" s="43">
        <v>56383</v>
      </c>
      <c r="EI24" s="43">
        <v>68785</v>
      </c>
      <c r="EJ24" s="44">
        <f t="shared" si="64"/>
        <v>21.995991699625776</v>
      </c>
      <c r="EK24" s="43">
        <v>87299</v>
      </c>
      <c r="EL24" s="43">
        <v>68785</v>
      </c>
      <c r="EM24" s="44">
        <f t="shared" si="65"/>
        <v>-21.207573969919473</v>
      </c>
      <c r="EN24" s="61"/>
      <c r="EO24" s="89"/>
      <c r="EP24" s="89" t="s">
        <v>52</v>
      </c>
      <c r="EQ24" s="90">
        <v>69102</v>
      </c>
      <c r="ER24" s="90">
        <v>87299</v>
      </c>
      <c r="ES24" s="91">
        <f t="shared" si="76"/>
        <v>26.3335359323898</v>
      </c>
      <c r="ET24" s="92">
        <v>86098</v>
      </c>
      <c r="EU24" s="90">
        <v>87299</v>
      </c>
      <c r="EV24" s="91">
        <f t="shared" si="77"/>
        <v>1.3949220655532069</v>
      </c>
      <c r="EX24" s="42"/>
      <c r="EY24" s="42" t="s">
        <v>52</v>
      </c>
      <c r="EZ24" s="43">
        <v>77582</v>
      </c>
      <c r="FA24" s="43">
        <v>86098</v>
      </c>
      <c r="FB24" s="44">
        <f t="shared" si="66"/>
        <v>10.97677296280065</v>
      </c>
      <c r="FC24" s="45">
        <v>76019</v>
      </c>
      <c r="FD24" s="43">
        <v>86098</v>
      </c>
      <c r="FE24" s="44">
        <f t="shared" si="67"/>
        <v>13.25852747339481</v>
      </c>
      <c r="FF24" s="61"/>
    </row>
    <row r="25" spans="1:162" x14ac:dyDescent="0.5">
      <c r="A25" s="168"/>
      <c r="B25" s="168" t="s">
        <v>53</v>
      </c>
      <c r="C25" s="169">
        <v>1754</v>
      </c>
      <c r="D25" s="166">
        <v>2230</v>
      </c>
      <c r="E25" s="167">
        <f t="shared" si="44"/>
        <v>27.137970353477765</v>
      </c>
      <c r="F25" s="169">
        <v>1606</v>
      </c>
      <c r="G25" s="166">
        <v>2230</v>
      </c>
      <c r="H25" s="167">
        <f t="shared" si="45"/>
        <v>38.854296388542963</v>
      </c>
      <c r="I25" s="168"/>
      <c r="J25" s="168" t="s">
        <v>53</v>
      </c>
      <c r="K25" s="169">
        <v>1641</v>
      </c>
      <c r="L25" s="169">
        <v>1606</v>
      </c>
      <c r="M25" s="167">
        <f t="shared" si="46"/>
        <v>-2.1328458257160268</v>
      </c>
      <c r="N25" s="169">
        <v>4450</v>
      </c>
      <c r="O25" s="169">
        <v>1606</v>
      </c>
      <c r="P25" s="167">
        <f t="shared" si="47"/>
        <v>-63.910112359550567</v>
      </c>
      <c r="Q25" s="168"/>
      <c r="R25" s="168" t="s">
        <v>53</v>
      </c>
      <c r="S25" s="169">
        <v>4561</v>
      </c>
      <c r="T25" s="169">
        <v>4450</v>
      </c>
      <c r="U25" s="167">
        <f t="shared" si="48"/>
        <v>-2.4336768252576189</v>
      </c>
      <c r="V25" s="169">
        <v>4885</v>
      </c>
      <c r="W25" s="169">
        <v>4450</v>
      </c>
      <c r="X25" s="167">
        <f t="shared" si="49"/>
        <v>-8.904810644831116</v>
      </c>
      <c r="Y25" s="168"/>
      <c r="Z25" s="168" t="s">
        <v>53</v>
      </c>
      <c r="AA25" s="169">
        <v>4832</v>
      </c>
      <c r="AB25" s="169">
        <v>4885</v>
      </c>
      <c r="AC25" s="167">
        <f t="shared" si="50"/>
        <v>1.0968543046357617</v>
      </c>
      <c r="AD25" s="169">
        <v>3591</v>
      </c>
      <c r="AE25" s="169">
        <v>4885</v>
      </c>
      <c r="AF25" s="167">
        <f t="shared" si="51"/>
        <v>36.034530771372872</v>
      </c>
      <c r="AG25" s="168"/>
      <c r="AH25" s="168" t="s">
        <v>53</v>
      </c>
      <c r="AI25" s="169">
        <v>3483</v>
      </c>
      <c r="AJ25" s="169">
        <v>3591</v>
      </c>
      <c r="AK25" s="167">
        <f t="shared" si="52"/>
        <v>3.1007751937984498</v>
      </c>
      <c r="AL25" s="169">
        <v>3067</v>
      </c>
      <c r="AM25" s="169">
        <v>3591</v>
      </c>
      <c r="AN25" s="167">
        <f t="shared" si="53"/>
        <v>17.085099445712423</v>
      </c>
      <c r="AO25" s="168"/>
      <c r="AP25" s="168" t="s">
        <v>53</v>
      </c>
      <c r="AQ25" s="169">
        <v>2261</v>
      </c>
      <c r="AR25" s="169">
        <v>3067</v>
      </c>
      <c r="AS25" s="167">
        <f t="shared" si="54"/>
        <v>35.647943387881469</v>
      </c>
      <c r="AT25" s="169">
        <v>3678</v>
      </c>
      <c r="AU25" s="169">
        <v>3067</v>
      </c>
      <c r="AV25" s="167">
        <f t="shared" si="55"/>
        <v>-16.612289287656335</v>
      </c>
      <c r="AW25" s="168"/>
      <c r="AX25" s="168" t="s">
        <v>53</v>
      </c>
      <c r="AY25" s="169">
        <v>3927</v>
      </c>
      <c r="AZ25" s="169">
        <v>3678</v>
      </c>
      <c r="BA25" s="167">
        <f t="shared" si="56"/>
        <v>-6.3407181054239885</v>
      </c>
      <c r="BB25" s="169">
        <v>3426</v>
      </c>
      <c r="BC25" s="169">
        <v>3678</v>
      </c>
      <c r="BD25" s="167">
        <f t="shared" si="57"/>
        <v>7.3555166374781082</v>
      </c>
      <c r="BE25" s="168"/>
      <c r="BF25" s="168" t="s">
        <v>53</v>
      </c>
      <c r="BG25" s="169">
        <v>3594</v>
      </c>
      <c r="BH25" s="169">
        <v>3426</v>
      </c>
      <c r="BI25" s="167">
        <f t="shared" si="58"/>
        <v>-4.674457429048414</v>
      </c>
      <c r="BJ25" s="169">
        <v>3947</v>
      </c>
      <c r="BK25" s="169">
        <v>3426</v>
      </c>
      <c r="BL25" s="167">
        <f t="shared" si="59"/>
        <v>-13.199898657208006</v>
      </c>
      <c r="BM25" s="168"/>
      <c r="BN25" s="168" t="s">
        <v>53</v>
      </c>
      <c r="BO25" s="169">
        <v>4015</v>
      </c>
      <c r="BP25" s="169">
        <v>3947</v>
      </c>
      <c r="BQ25" s="167">
        <f>((BP25-BO25)/BO25)*100</f>
        <v>-1.6936488169364883</v>
      </c>
      <c r="BR25" s="169">
        <v>3547</v>
      </c>
      <c r="BS25" s="169">
        <v>3947</v>
      </c>
      <c r="BT25" s="167">
        <f t="shared" si="60"/>
        <v>11.277135607555682</v>
      </c>
      <c r="BU25" s="73"/>
      <c r="BV25" s="168" t="s">
        <v>53</v>
      </c>
      <c r="BW25" s="169">
        <v>3338</v>
      </c>
      <c r="BX25" s="169">
        <v>3547</v>
      </c>
      <c r="BY25" s="167">
        <f>((BX25-BW25)/BW25)*100</f>
        <v>6.2612342720191725</v>
      </c>
      <c r="BZ25" s="169">
        <v>3339</v>
      </c>
      <c r="CA25" s="169">
        <v>3547</v>
      </c>
      <c r="CB25" s="167">
        <f t="shared" si="61"/>
        <v>6.2294100029949089</v>
      </c>
      <c r="CC25" s="73"/>
      <c r="CD25" s="168"/>
      <c r="CE25" s="168" t="s">
        <v>53</v>
      </c>
      <c r="CF25" s="169">
        <v>2956</v>
      </c>
      <c r="CG25" s="169">
        <v>3339</v>
      </c>
      <c r="CH25" s="167">
        <f>((CG25-CF25)/CF25)*100</f>
        <v>12.956698240866036</v>
      </c>
      <c r="CI25" s="169">
        <v>1882</v>
      </c>
      <c r="CJ25" s="169">
        <v>3339</v>
      </c>
      <c r="CK25" s="167">
        <f t="shared" si="62"/>
        <v>77.417640807651438</v>
      </c>
      <c r="CL25" s="73"/>
      <c r="CM25" s="168"/>
      <c r="CN25" s="168" t="s">
        <v>53</v>
      </c>
      <c r="CO25" s="169">
        <v>1529</v>
      </c>
      <c r="CP25" s="169">
        <v>1882</v>
      </c>
      <c r="CQ25" s="167">
        <f>((CP25-CO25)/CO25)*100</f>
        <v>23.086984957488554</v>
      </c>
      <c r="CR25" s="169">
        <v>4395</v>
      </c>
      <c r="CS25" s="169">
        <v>1882</v>
      </c>
      <c r="CT25" s="167">
        <f t="shared" si="63"/>
        <v>-57.178612059158127</v>
      </c>
      <c r="CU25" s="73"/>
      <c r="CV25" s="226"/>
      <c r="CW25" s="226" t="s">
        <v>53</v>
      </c>
      <c r="CX25" s="227">
        <v>4876</v>
      </c>
      <c r="CY25" s="227">
        <v>4388</v>
      </c>
      <c r="CZ25" s="225">
        <f t="shared" si="68"/>
        <v>-10.008203445447087</v>
      </c>
      <c r="DA25" s="227">
        <v>3943</v>
      </c>
      <c r="DB25" s="227">
        <v>4388</v>
      </c>
      <c r="DC25" s="225">
        <f t="shared" si="69"/>
        <v>11.285822977428355</v>
      </c>
      <c r="DD25" s="73"/>
      <c r="DE25" s="152"/>
      <c r="DF25" s="152" t="s">
        <v>53</v>
      </c>
      <c r="DG25" s="148">
        <v>3222</v>
      </c>
      <c r="DH25" s="148">
        <v>3943</v>
      </c>
      <c r="DI25" s="151">
        <f t="shared" si="70"/>
        <v>22.377405338299194</v>
      </c>
      <c r="DJ25" s="148">
        <v>1542</v>
      </c>
      <c r="DK25" s="148">
        <v>3943</v>
      </c>
      <c r="DL25" s="151">
        <f t="shared" si="71"/>
        <v>155.70687418936447</v>
      </c>
      <c r="DM25" s="73"/>
      <c r="DN25" s="152"/>
      <c r="DO25" s="152" t="s">
        <v>53</v>
      </c>
      <c r="DP25" s="148">
        <v>1971</v>
      </c>
      <c r="DQ25" s="148">
        <v>1542</v>
      </c>
      <c r="DR25" s="151">
        <f t="shared" si="72"/>
        <v>-21.765601217656013</v>
      </c>
      <c r="DS25" s="148">
        <v>2125</v>
      </c>
      <c r="DT25" s="148">
        <v>1542</v>
      </c>
      <c r="DU25" s="151">
        <f t="shared" si="73"/>
        <v>-27.435294117647057</v>
      </c>
      <c r="DV25" s="73"/>
      <c r="DW25" s="89"/>
      <c r="DX25" s="89" t="s">
        <v>53</v>
      </c>
      <c r="DY25" s="90">
        <v>1807</v>
      </c>
      <c r="DZ25" s="90">
        <v>2125</v>
      </c>
      <c r="EA25" s="129">
        <f t="shared" si="74"/>
        <v>17.598229109020476</v>
      </c>
      <c r="EB25" s="90">
        <v>1438</v>
      </c>
      <c r="EC25" s="90">
        <v>2125</v>
      </c>
      <c r="ED25" s="129">
        <f t="shared" si="75"/>
        <v>47.774687065368568</v>
      </c>
      <c r="EE25" s="130"/>
      <c r="EF25" s="42"/>
      <c r="EG25" s="42" t="s">
        <v>53</v>
      </c>
      <c r="EH25" s="43">
        <v>1099</v>
      </c>
      <c r="EI25" s="43">
        <v>1438</v>
      </c>
      <c r="EJ25" s="44">
        <f t="shared" si="64"/>
        <v>30.846223839854414</v>
      </c>
      <c r="EK25" s="43">
        <v>1036</v>
      </c>
      <c r="EL25" s="43">
        <v>1438</v>
      </c>
      <c r="EM25" s="44">
        <f t="shared" si="65"/>
        <v>38.803088803088805</v>
      </c>
      <c r="EN25" s="61"/>
      <c r="EO25" s="89"/>
      <c r="EP25" s="89" t="s">
        <v>53</v>
      </c>
      <c r="EQ25" s="90">
        <v>1182</v>
      </c>
      <c r="ER25" s="90">
        <v>1036</v>
      </c>
      <c r="ES25" s="91">
        <f t="shared" si="76"/>
        <v>-12.351945854483926</v>
      </c>
      <c r="ET25" s="92">
        <v>1927</v>
      </c>
      <c r="EU25" s="90">
        <v>1036</v>
      </c>
      <c r="EV25" s="91">
        <f t="shared" si="77"/>
        <v>-46.237675142708873</v>
      </c>
      <c r="EX25" s="42"/>
      <c r="EY25" s="42" t="s">
        <v>53</v>
      </c>
      <c r="EZ25" s="43">
        <v>2131</v>
      </c>
      <c r="FA25" s="43">
        <v>1927</v>
      </c>
      <c r="FB25" s="44">
        <f t="shared" si="66"/>
        <v>-9.5729704364148294</v>
      </c>
      <c r="FC25" s="45">
        <v>1838</v>
      </c>
      <c r="FD25" s="43">
        <v>1927</v>
      </c>
      <c r="FE25" s="44">
        <f t="shared" si="67"/>
        <v>4.8422198041349294</v>
      </c>
      <c r="FF25" s="61"/>
    </row>
    <row r="26" spans="1:162" x14ac:dyDescent="0.5">
      <c r="A26" s="165" t="s">
        <v>1</v>
      </c>
      <c r="B26" s="165"/>
      <c r="C26" s="166">
        <v>47622</v>
      </c>
      <c r="D26" s="166">
        <v>48350</v>
      </c>
      <c r="E26" s="167">
        <f t="shared" si="44"/>
        <v>1.5287052202763429</v>
      </c>
      <c r="F26" s="166">
        <v>39048</v>
      </c>
      <c r="G26" s="166">
        <v>48350</v>
      </c>
      <c r="H26" s="167">
        <f t="shared" si="45"/>
        <v>23.821962712558904</v>
      </c>
      <c r="I26" s="165" t="s">
        <v>1</v>
      </c>
      <c r="J26" s="165"/>
      <c r="K26" s="166">
        <v>45190</v>
      </c>
      <c r="L26" s="166">
        <v>39048</v>
      </c>
      <c r="M26" s="167">
        <f t="shared" si="46"/>
        <v>-13.591502544810799</v>
      </c>
      <c r="N26" s="166">
        <v>62086</v>
      </c>
      <c r="O26" s="166">
        <v>39048</v>
      </c>
      <c r="P26" s="167">
        <f t="shared" si="47"/>
        <v>-37.106594079180496</v>
      </c>
      <c r="Q26" s="165" t="s">
        <v>1</v>
      </c>
      <c r="R26" s="165"/>
      <c r="S26" s="166">
        <v>60234</v>
      </c>
      <c r="T26" s="166">
        <v>62086</v>
      </c>
      <c r="U26" s="167">
        <f t="shared" si="48"/>
        <v>3.074675432479995</v>
      </c>
      <c r="V26" s="166">
        <v>74150</v>
      </c>
      <c r="W26" s="166">
        <v>62086</v>
      </c>
      <c r="X26" s="167">
        <f t="shared" si="49"/>
        <v>-16.26972353337829</v>
      </c>
      <c r="Y26" s="165" t="s">
        <v>1</v>
      </c>
      <c r="Z26" s="165"/>
      <c r="AA26" s="166">
        <v>68208</v>
      </c>
      <c r="AB26" s="166">
        <v>74150</v>
      </c>
      <c r="AC26" s="167">
        <f t="shared" si="50"/>
        <v>8.7115880835092661</v>
      </c>
      <c r="AD26" s="357">
        <f>56871+1950</f>
        <v>58821</v>
      </c>
      <c r="AE26" s="166">
        <f>74150</f>
        <v>74150</v>
      </c>
      <c r="AF26" s="167">
        <f t="shared" si="51"/>
        <v>26.060420598085717</v>
      </c>
      <c r="AG26" s="165" t="s">
        <v>1</v>
      </c>
      <c r="AH26" s="165"/>
      <c r="AI26" s="166">
        <v>42176</v>
      </c>
      <c r="AJ26" s="166">
        <f>56871</f>
        <v>56871</v>
      </c>
      <c r="AK26" s="167">
        <f t="shared" si="52"/>
        <v>34.842090288315632</v>
      </c>
      <c r="AL26" s="166">
        <f>AL27+AL28+AL29+AL30</f>
        <v>70311</v>
      </c>
      <c r="AM26" s="166">
        <f>56871</f>
        <v>56871</v>
      </c>
      <c r="AN26" s="167">
        <f t="shared" si="53"/>
        <v>-19.115074454921704</v>
      </c>
      <c r="AO26" s="165" t="s">
        <v>1</v>
      </c>
      <c r="AP26" s="165"/>
      <c r="AQ26" s="166">
        <v>68883</v>
      </c>
      <c r="AR26" s="166">
        <v>77907</v>
      </c>
      <c r="AS26" s="167">
        <f t="shared" si="54"/>
        <v>13.100474718000088</v>
      </c>
      <c r="AT26" s="166">
        <v>76195</v>
      </c>
      <c r="AU26" s="166">
        <v>77907</v>
      </c>
      <c r="AV26" s="167">
        <f t="shared" si="55"/>
        <v>2.2468665922960827</v>
      </c>
      <c r="AW26" s="165" t="s">
        <v>1</v>
      </c>
      <c r="AX26" s="165"/>
      <c r="AY26" s="166">
        <v>80838</v>
      </c>
      <c r="AZ26" s="166">
        <v>76195</v>
      </c>
      <c r="BA26" s="167">
        <f t="shared" si="56"/>
        <v>-5.7435859373067126</v>
      </c>
      <c r="BB26" s="166">
        <v>88706</v>
      </c>
      <c r="BC26" s="166">
        <v>76195</v>
      </c>
      <c r="BD26" s="167">
        <f t="shared" si="57"/>
        <v>-14.10389376141411</v>
      </c>
      <c r="BE26" s="165" t="s">
        <v>1</v>
      </c>
      <c r="BF26" s="165"/>
      <c r="BG26" s="166">
        <v>86814</v>
      </c>
      <c r="BH26" s="166">
        <v>88706</v>
      </c>
      <c r="BI26" s="167">
        <f t="shared" si="58"/>
        <v>2.1793719906927453</v>
      </c>
      <c r="BJ26" s="166">
        <v>77592</v>
      </c>
      <c r="BK26" s="166">
        <v>88706</v>
      </c>
      <c r="BL26" s="167">
        <f t="shared" si="59"/>
        <v>14.323641612537374</v>
      </c>
      <c r="BM26" s="165" t="s">
        <v>1</v>
      </c>
      <c r="BN26" s="165"/>
      <c r="BO26" s="166">
        <v>67965</v>
      </c>
      <c r="BP26" s="166">
        <v>77592</v>
      </c>
      <c r="BQ26" s="167">
        <f t="shared" ref="BQ26:BQ32" si="78">((BP26-BO26)/BO26)*100</f>
        <v>14.164643566541601</v>
      </c>
      <c r="BR26" s="166">
        <v>63641</v>
      </c>
      <c r="BS26" s="166">
        <v>77592</v>
      </c>
      <c r="BT26" s="167">
        <f t="shared" si="60"/>
        <v>21.921402869219527</v>
      </c>
      <c r="BU26" s="73"/>
      <c r="BV26" s="165"/>
      <c r="BW26" s="166">
        <v>63619</v>
      </c>
      <c r="BX26" s="166">
        <v>63641</v>
      </c>
      <c r="BY26" s="167">
        <f t="shared" ref="BY26:BY32" si="79">((BX26-BW26)/BW26)*100</f>
        <v>3.4580864207233691E-2</v>
      </c>
      <c r="BZ26" s="166">
        <v>61869</v>
      </c>
      <c r="CA26" s="166">
        <v>63641</v>
      </c>
      <c r="CB26" s="167">
        <f t="shared" si="61"/>
        <v>2.8641161163102686</v>
      </c>
      <c r="CC26" s="73"/>
      <c r="CD26" s="165" t="s">
        <v>1</v>
      </c>
      <c r="CE26" s="165"/>
      <c r="CF26" s="166">
        <v>61991</v>
      </c>
      <c r="CG26" s="166">
        <v>61869</v>
      </c>
      <c r="CH26" s="167">
        <f t="shared" ref="CH26:CH32" si="80">((CG26-CF26)/CF26)*100</f>
        <v>-0.19680276169121322</v>
      </c>
      <c r="CI26" s="166">
        <v>69137</v>
      </c>
      <c r="CJ26" s="166">
        <v>61869</v>
      </c>
      <c r="CK26" s="167">
        <f t="shared" si="62"/>
        <v>-10.512460766304583</v>
      </c>
      <c r="CL26" s="73"/>
      <c r="CM26" s="165" t="s">
        <v>1</v>
      </c>
      <c r="CN26" s="165"/>
      <c r="CO26" s="166">
        <f>SUM(CO27:CO30)</f>
        <v>68835</v>
      </c>
      <c r="CP26" s="166">
        <f>SUM(CP27:CP30)</f>
        <v>69137</v>
      </c>
      <c r="CQ26" s="167">
        <f t="shared" ref="CQ26:CQ32" si="81">((CP26-CO26)/CO26)*100</f>
        <v>0.43873029708723754</v>
      </c>
      <c r="CR26" s="166">
        <v>94945</v>
      </c>
      <c r="CS26" s="166">
        <v>69137</v>
      </c>
      <c r="CT26" s="167">
        <f t="shared" si="63"/>
        <v>-27.182052767391646</v>
      </c>
      <c r="CU26" s="73"/>
      <c r="CV26" s="224" t="s">
        <v>1</v>
      </c>
      <c r="CW26" s="224"/>
      <c r="CX26" s="238">
        <f>SUM(CX27:CX30)</f>
        <v>100289</v>
      </c>
      <c r="CY26" s="238">
        <f>SUM(CY27:CY30)</f>
        <v>94945</v>
      </c>
      <c r="CZ26" s="225">
        <f t="shared" si="68"/>
        <v>-5.3286003450029416</v>
      </c>
      <c r="DA26" s="238">
        <v>132874</v>
      </c>
      <c r="DB26" s="238">
        <v>94945</v>
      </c>
      <c r="DC26" s="225">
        <f t="shared" si="69"/>
        <v>-28.545087827565961</v>
      </c>
      <c r="DD26" s="73"/>
      <c r="DE26" s="150" t="s">
        <v>1</v>
      </c>
      <c r="DF26" s="150"/>
      <c r="DG26" s="147">
        <f>SUM(DG27:DG30)</f>
        <v>128306</v>
      </c>
      <c r="DH26" s="147">
        <f>SUM(DH27:DH30)</f>
        <v>132874</v>
      </c>
      <c r="DI26" s="151">
        <f t="shared" si="70"/>
        <v>3.560238804108927</v>
      </c>
      <c r="DJ26" s="147">
        <f>SUM(DJ27:DJ30)</f>
        <v>87012</v>
      </c>
      <c r="DK26" s="147">
        <f>SUM(DK27:DK30)</f>
        <v>132874</v>
      </c>
      <c r="DL26" s="151">
        <f t="shared" si="71"/>
        <v>52.707672504941847</v>
      </c>
      <c r="DM26" s="73"/>
      <c r="DN26" s="150" t="s">
        <v>1</v>
      </c>
      <c r="DO26" s="150"/>
      <c r="DP26" s="147">
        <f>SUM(DP27:DP30)</f>
        <v>79043</v>
      </c>
      <c r="DQ26" s="147">
        <f>SUM(DQ27:DQ30)</f>
        <v>87012</v>
      </c>
      <c r="DR26" s="151">
        <f t="shared" si="72"/>
        <v>10.081854180635856</v>
      </c>
      <c r="DS26" s="147">
        <v>68261</v>
      </c>
      <c r="DT26" s="147">
        <f>SUM(DT27:DT30)</f>
        <v>87012</v>
      </c>
      <c r="DU26" s="151">
        <f t="shared" si="73"/>
        <v>27.469565344779596</v>
      </c>
      <c r="DV26" s="73"/>
      <c r="DW26" s="86" t="s">
        <v>1</v>
      </c>
      <c r="DX26" s="86"/>
      <c r="DY26" s="87">
        <f>SUM(DY27:DY30)</f>
        <v>65724</v>
      </c>
      <c r="DZ26" s="87">
        <f>SUM(DZ27:DZ30)</f>
        <v>68261</v>
      </c>
      <c r="EA26" s="126">
        <f t="shared" si="74"/>
        <v>3.8600815531617068</v>
      </c>
      <c r="EB26" s="87">
        <v>48649</v>
      </c>
      <c r="EC26" s="87">
        <f>SUM(EC27:EC30)</f>
        <v>68261</v>
      </c>
      <c r="ED26" s="126">
        <f t="shared" si="75"/>
        <v>40.313264404201526</v>
      </c>
      <c r="EE26" s="127"/>
      <c r="EF26" s="63" t="s">
        <v>1</v>
      </c>
      <c r="EG26" s="63"/>
      <c r="EH26" s="68">
        <f>SUM(EH27:EH30)</f>
        <v>43251</v>
      </c>
      <c r="EI26" s="68">
        <f>SUM(EI27:EI30)</f>
        <v>48649</v>
      </c>
      <c r="EJ26" s="65">
        <f t="shared" si="64"/>
        <v>12.480636285866224</v>
      </c>
      <c r="EK26" s="68">
        <v>47881</v>
      </c>
      <c r="EL26" s="68">
        <f>SUM(EL27:EL30)</f>
        <v>48649</v>
      </c>
      <c r="EM26" s="65">
        <f t="shared" si="65"/>
        <v>1.6039765251352311</v>
      </c>
      <c r="EN26" s="73"/>
      <c r="EO26" s="86" t="s">
        <v>1</v>
      </c>
      <c r="EP26" s="86"/>
      <c r="EQ26" s="87">
        <v>47130</v>
      </c>
      <c r="ER26" s="87">
        <f>SUM(ER27:ER30)</f>
        <v>47881</v>
      </c>
      <c r="ES26" s="88">
        <f t="shared" si="76"/>
        <v>1.5934648843624017</v>
      </c>
      <c r="ET26" s="87">
        <v>53491</v>
      </c>
      <c r="EU26" s="87">
        <v>47881</v>
      </c>
      <c r="EV26" s="88">
        <f t="shared" si="77"/>
        <v>-10.487745602063898</v>
      </c>
      <c r="EX26" s="63" t="s">
        <v>1</v>
      </c>
      <c r="EY26" s="63"/>
      <c r="EZ26" s="68">
        <v>54163</v>
      </c>
      <c r="FA26" s="68">
        <f>SUM(FA27:FA30)</f>
        <v>53491</v>
      </c>
      <c r="FB26" s="65">
        <f t="shared" si="66"/>
        <v>-1.2406993704189206</v>
      </c>
      <c r="FC26" s="68">
        <f>SUM(FC27:FC30)</f>
        <v>49383</v>
      </c>
      <c r="FD26" s="68">
        <f>SUM(FD27:FD30)</f>
        <v>53491</v>
      </c>
      <c r="FE26" s="65">
        <f t="shared" si="67"/>
        <v>8.3186521677500362</v>
      </c>
      <c r="FF26" s="73"/>
    </row>
    <row r="27" spans="1:162" x14ac:dyDescent="0.5">
      <c r="A27" s="168"/>
      <c r="B27" s="168" t="s">
        <v>51</v>
      </c>
      <c r="C27" s="169">
        <v>19559</v>
      </c>
      <c r="D27" s="166">
        <f>D26-D28-D29-D30</f>
        <v>19722</v>
      </c>
      <c r="E27" s="167">
        <f t="shared" si="44"/>
        <v>0.83337593946520783</v>
      </c>
      <c r="F27" s="169">
        <v>15668</v>
      </c>
      <c r="G27" s="166">
        <v>19722</v>
      </c>
      <c r="H27" s="167">
        <f t="shared" si="45"/>
        <v>25.874393668623945</v>
      </c>
      <c r="I27" s="168"/>
      <c r="J27" s="168" t="s">
        <v>51</v>
      </c>
      <c r="K27" s="169">
        <v>18305</v>
      </c>
      <c r="L27" s="169">
        <v>15668</v>
      </c>
      <c r="M27" s="167">
        <f t="shared" si="46"/>
        <v>-14.40590002731494</v>
      </c>
      <c r="N27" s="169">
        <v>25425</v>
      </c>
      <c r="O27" s="169">
        <v>15668</v>
      </c>
      <c r="P27" s="167">
        <f t="shared" si="47"/>
        <v>-38.375614552605704</v>
      </c>
      <c r="Q27" s="168"/>
      <c r="R27" s="168" t="s">
        <v>51</v>
      </c>
      <c r="S27" s="169">
        <v>23645</v>
      </c>
      <c r="T27" s="169">
        <v>25425</v>
      </c>
      <c r="U27" s="167">
        <f t="shared" si="48"/>
        <v>7.5280186085853238</v>
      </c>
      <c r="V27" s="169">
        <v>23074</v>
      </c>
      <c r="W27" s="169">
        <v>25425</v>
      </c>
      <c r="X27" s="167">
        <f t="shared" si="49"/>
        <v>10.188957267920603</v>
      </c>
      <c r="Y27" s="168"/>
      <c r="Z27" s="168" t="s">
        <v>51</v>
      </c>
      <c r="AA27" s="169">
        <v>22530</v>
      </c>
      <c r="AB27" s="169">
        <v>23074</v>
      </c>
      <c r="AC27" s="167">
        <f t="shared" si="50"/>
        <v>2.4145583666222814</v>
      </c>
      <c r="AD27" s="352">
        <f>18004+1950</f>
        <v>19954</v>
      </c>
      <c r="AE27" s="169">
        <v>23074</v>
      </c>
      <c r="AF27" s="167">
        <f t="shared" si="51"/>
        <v>15.635962714242757</v>
      </c>
      <c r="AG27" s="168"/>
      <c r="AH27" s="168" t="s">
        <v>51</v>
      </c>
      <c r="AI27" s="169">
        <v>13845</v>
      </c>
      <c r="AJ27" s="169">
        <v>18004</v>
      </c>
      <c r="AK27" s="167">
        <f t="shared" si="52"/>
        <v>30.039725532683281</v>
      </c>
      <c r="AL27" s="169">
        <f>29209-7596</f>
        <v>21613</v>
      </c>
      <c r="AM27" s="169">
        <v>18004</v>
      </c>
      <c r="AN27" s="167">
        <f t="shared" si="53"/>
        <v>-16.698283440521909</v>
      </c>
      <c r="AO27" s="168"/>
      <c r="AP27" s="168" t="s">
        <v>51</v>
      </c>
      <c r="AQ27" s="169">
        <v>21300</v>
      </c>
      <c r="AR27" s="169">
        <v>29209</v>
      </c>
      <c r="AS27" s="167">
        <f t="shared" si="54"/>
        <v>37.131455399061032</v>
      </c>
      <c r="AT27" s="169">
        <v>33277</v>
      </c>
      <c r="AU27" s="169">
        <v>29209</v>
      </c>
      <c r="AV27" s="167">
        <f t="shared" si="55"/>
        <v>-12.224659674850498</v>
      </c>
      <c r="AW27" s="168"/>
      <c r="AX27" s="168" t="s">
        <v>51</v>
      </c>
      <c r="AY27" s="169">
        <v>33036</v>
      </c>
      <c r="AZ27" s="169">
        <v>33277</v>
      </c>
      <c r="BA27" s="167">
        <f t="shared" si="56"/>
        <v>0.72950720426201721</v>
      </c>
      <c r="BB27" s="169">
        <v>34086</v>
      </c>
      <c r="BC27" s="169">
        <v>33277</v>
      </c>
      <c r="BD27" s="167">
        <f t="shared" si="57"/>
        <v>-2.3734084374816637</v>
      </c>
      <c r="BE27" s="168"/>
      <c r="BF27" s="168" t="s">
        <v>51</v>
      </c>
      <c r="BG27" s="169">
        <v>34164</v>
      </c>
      <c r="BH27" s="169">
        <v>34086</v>
      </c>
      <c r="BI27" s="167">
        <f t="shared" si="58"/>
        <v>-0.22831050228310501</v>
      </c>
      <c r="BJ27" s="169">
        <v>29474</v>
      </c>
      <c r="BK27" s="169">
        <v>34086</v>
      </c>
      <c r="BL27" s="167">
        <f t="shared" si="59"/>
        <v>15.64768948904119</v>
      </c>
      <c r="BM27" s="168"/>
      <c r="BN27" s="168" t="s">
        <v>51</v>
      </c>
      <c r="BO27" s="169">
        <v>26871</v>
      </c>
      <c r="BP27" s="169"/>
      <c r="BQ27" s="167"/>
      <c r="BR27" s="169">
        <v>25641</v>
      </c>
      <c r="BS27" s="169"/>
      <c r="BT27" s="167"/>
      <c r="BU27" s="73"/>
      <c r="BV27" s="168" t="s">
        <v>51</v>
      </c>
      <c r="BW27" s="169">
        <v>24768</v>
      </c>
      <c r="BX27" s="169">
        <v>25641</v>
      </c>
      <c r="BY27" s="167">
        <f t="shared" si="79"/>
        <v>3.5247093023255816</v>
      </c>
      <c r="BZ27" s="169">
        <v>22581</v>
      </c>
      <c r="CA27" s="169">
        <v>25641</v>
      </c>
      <c r="CB27" s="167">
        <f t="shared" si="61"/>
        <v>13.551215623754484</v>
      </c>
      <c r="CC27" s="73"/>
      <c r="CD27" s="168"/>
      <c r="CE27" s="168" t="s">
        <v>51</v>
      </c>
      <c r="CF27" s="169">
        <v>22790</v>
      </c>
      <c r="CG27" s="169">
        <v>22581</v>
      </c>
      <c r="CH27" s="167">
        <f t="shared" si="80"/>
        <v>-0.91706888986397539</v>
      </c>
      <c r="CI27" s="169">
        <v>30313</v>
      </c>
      <c r="CJ27" s="169">
        <v>22581</v>
      </c>
      <c r="CK27" s="167">
        <f t="shared" si="62"/>
        <v>-25.507208128525715</v>
      </c>
      <c r="CL27" s="73"/>
      <c r="CM27" s="168"/>
      <c r="CN27" s="168" t="s">
        <v>51</v>
      </c>
      <c r="CO27" s="169">
        <v>29990</v>
      </c>
      <c r="CP27" s="169">
        <v>30313</v>
      </c>
      <c r="CQ27" s="167">
        <f t="shared" si="81"/>
        <v>1.0770256752250751</v>
      </c>
      <c r="CR27" s="169">
        <v>47304</v>
      </c>
      <c r="CS27" s="169">
        <v>30313</v>
      </c>
      <c r="CT27" s="167">
        <f t="shared" si="63"/>
        <v>-35.918738373076273</v>
      </c>
      <c r="CU27" s="73"/>
      <c r="CV27" s="226"/>
      <c r="CW27" s="226" t="s">
        <v>51</v>
      </c>
      <c r="CX27" s="227">
        <v>51006</v>
      </c>
      <c r="CY27" s="227">
        <v>47304</v>
      </c>
      <c r="CZ27" s="225">
        <f t="shared" si="68"/>
        <v>-7.2579696506293381</v>
      </c>
      <c r="DA27" s="227">
        <v>68282</v>
      </c>
      <c r="DB27" s="227">
        <v>47304</v>
      </c>
      <c r="DC27" s="225">
        <f t="shared" si="69"/>
        <v>-30.722591605401128</v>
      </c>
      <c r="DD27" s="73"/>
      <c r="DE27" s="152"/>
      <c r="DF27" s="152" t="s">
        <v>51</v>
      </c>
      <c r="DG27" s="148">
        <v>59885</v>
      </c>
      <c r="DH27" s="148">
        <v>68282</v>
      </c>
      <c r="DI27" s="151">
        <f t="shared" si="70"/>
        <v>14.021875260916758</v>
      </c>
      <c r="DJ27" s="148">
        <v>40685</v>
      </c>
      <c r="DK27" s="148">
        <v>68282</v>
      </c>
      <c r="DL27" s="151">
        <f t="shared" si="71"/>
        <v>67.830895907582644</v>
      </c>
      <c r="DM27" s="73"/>
      <c r="DN27" s="152"/>
      <c r="DO27" s="152" t="s">
        <v>51</v>
      </c>
      <c r="DP27" s="148">
        <v>35545</v>
      </c>
      <c r="DQ27" s="148">
        <v>40685</v>
      </c>
      <c r="DR27" s="151">
        <f t="shared" si="72"/>
        <v>14.460542973695315</v>
      </c>
      <c r="DS27" s="148">
        <v>31401</v>
      </c>
      <c r="DT27" s="148">
        <v>40685</v>
      </c>
      <c r="DU27" s="151">
        <f t="shared" si="73"/>
        <v>29.565937390528962</v>
      </c>
      <c r="DV27" s="73"/>
      <c r="DW27" s="89"/>
      <c r="DX27" s="89" t="s">
        <v>51</v>
      </c>
      <c r="DY27" s="90">
        <v>28118</v>
      </c>
      <c r="DZ27" s="90">
        <v>31401</v>
      </c>
      <c r="EA27" s="129">
        <f t="shared" si="74"/>
        <v>11.675794864499608</v>
      </c>
      <c r="EB27" s="90">
        <v>21426</v>
      </c>
      <c r="EC27" s="90">
        <v>31401</v>
      </c>
      <c r="ED27" s="129">
        <f t="shared" si="75"/>
        <v>46.555586670400452</v>
      </c>
      <c r="EE27" s="130"/>
      <c r="EF27" s="42"/>
      <c r="EG27" s="42" t="s">
        <v>51</v>
      </c>
      <c r="EH27" s="43">
        <v>17790</v>
      </c>
      <c r="EI27" s="43">
        <v>21426</v>
      </c>
      <c r="EJ27" s="44">
        <f t="shared" si="64"/>
        <v>20.438448566610457</v>
      </c>
      <c r="EK27" s="43">
        <v>18687</v>
      </c>
      <c r="EL27" s="43">
        <v>21426</v>
      </c>
      <c r="EM27" s="44">
        <f t="shared" si="65"/>
        <v>14.657248354471022</v>
      </c>
      <c r="EN27" s="61"/>
      <c r="EO27" s="89"/>
      <c r="EP27" s="89" t="s">
        <v>51</v>
      </c>
      <c r="EQ27" s="90">
        <v>17991</v>
      </c>
      <c r="ER27" s="90">
        <v>18687</v>
      </c>
      <c r="ES27" s="91">
        <f t="shared" si="76"/>
        <v>3.8686009671502415</v>
      </c>
      <c r="ET27" s="92">
        <v>15686</v>
      </c>
      <c r="EU27" s="90">
        <v>18687</v>
      </c>
      <c r="EV27" s="91">
        <f t="shared" si="77"/>
        <v>19.131709804921588</v>
      </c>
      <c r="EX27" s="42"/>
      <c r="EY27" s="42" t="s">
        <v>51</v>
      </c>
      <c r="EZ27" s="43">
        <v>14954</v>
      </c>
      <c r="FA27" s="43">
        <v>15686</v>
      </c>
      <c r="FB27" s="44">
        <f t="shared" si="66"/>
        <v>4.8950113681958012</v>
      </c>
      <c r="FC27" s="45">
        <v>16020</v>
      </c>
      <c r="FD27" s="43">
        <v>15686</v>
      </c>
      <c r="FE27" s="44">
        <f t="shared" si="67"/>
        <v>-2.0848938826466918</v>
      </c>
      <c r="FF27" s="61"/>
    </row>
    <row r="28" spans="1:162" x14ac:dyDescent="0.5">
      <c r="A28" s="168"/>
      <c r="B28" s="168" t="s">
        <v>52</v>
      </c>
      <c r="C28" s="169">
        <v>11023</v>
      </c>
      <c r="D28" s="166">
        <v>11104</v>
      </c>
      <c r="E28" s="167">
        <f t="shared" si="44"/>
        <v>0.73482717953370225</v>
      </c>
      <c r="F28" s="169">
        <v>11509</v>
      </c>
      <c r="G28" s="166">
        <v>11104</v>
      </c>
      <c r="H28" s="167">
        <f t="shared" si="45"/>
        <v>-3.5189851420627334</v>
      </c>
      <c r="I28" s="168"/>
      <c r="J28" s="168" t="s">
        <v>52</v>
      </c>
      <c r="K28" s="169">
        <v>12303</v>
      </c>
      <c r="L28" s="169">
        <v>11509</v>
      </c>
      <c r="M28" s="167">
        <f t="shared" si="46"/>
        <v>-6.4537104771194027</v>
      </c>
      <c r="N28" s="169">
        <v>19114</v>
      </c>
      <c r="O28" s="169">
        <v>11509</v>
      </c>
      <c r="P28" s="167">
        <f t="shared" si="47"/>
        <v>-39.787590247985769</v>
      </c>
      <c r="Q28" s="168"/>
      <c r="R28" s="168" t="s">
        <v>52</v>
      </c>
      <c r="S28" s="169">
        <v>19561</v>
      </c>
      <c r="T28" s="169">
        <v>19114</v>
      </c>
      <c r="U28" s="167">
        <f t="shared" si="48"/>
        <v>-2.2851592454373497</v>
      </c>
      <c r="V28" s="169">
        <v>34749</v>
      </c>
      <c r="W28" s="169">
        <v>19114</v>
      </c>
      <c r="X28" s="167">
        <f t="shared" si="49"/>
        <v>-44.99410054965611</v>
      </c>
      <c r="Y28" s="168"/>
      <c r="Z28" s="168" t="s">
        <v>52</v>
      </c>
      <c r="AA28" s="169">
        <v>30720</v>
      </c>
      <c r="AB28" s="169">
        <v>34749</v>
      </c>
      <c r="AC28" s="167">
        <f t="shared" si="50"/>
        <v>13.115234375000002</v>
      </c>
      <c r="AD28" s="169">
        <v>27127</v>
      </c>
      <c r="AE28" s="169">
        <v>34749</v>
      </c>
      <c r="AF28" s="167">
        <f t="shared" si="51"/>
        <v>28.097467467836474</v>
      </c>
      <c r="AG28" s="168"/>
      <c r="AH28" s="168" t="s">
        <v>52</v>
      </c>
      <c r="AI28" s="169">
        <v>19388</v>
      </c>
      <c r="AJ28" s="169">
        <v>27127</v>
      </c>
      <c r="AK28" s="167">
        <f t="shared" si="52"/>
        <v>39.916443160717968</v>
      </c>
      <c r="AL28" s="169">
        <v>34293</v>
      </c>
      <c r="AM28" s="169">
        <v>27127</v>
      </c>
      <c r="AN28" s="167">
        <f t="shared" si="53"/>
        <v>-20.896392849852742</v>
      </c>
      <c r="AO28" s="168"/>
      <c r="AP28" s="168" t="s">
        <v>52</v>
      </c>
      <c r="AQ28" s="169">
        <v>33283</v>
      </c>
      <c r="AR28" s="169">
        <v>34293</v>
      </c>
      <c r="AS28" s="167">
        <f t="shared" si="54"/>
        <v>3.0345822191509177</v>
      </c>
      <c r="AT28" s="169">
        <v>29635</v>
      </c>
      <c r="AU28" s="169">
        <v>34293</v>
      </c>
      <c r="AV28" s="167">
        <f t="shared" si="55"/>
        <v>15.717901130420111</v>
      </c>
      <c r="AW28" s="168"/>
      <c r="AX28" s="168" t="s">
        <v>52</v>
      </c>
      <c r="AY28" s="169">
        <v>33266</v>
      </c>
      <c r="AZ28" s="169">
        <v>29635</v>
      </c>
      <c r="BA28" s="167">
        <f t="shared" si="56"/>
        <v>-10.915048397763483</v>
      </c>
      <c r="BB28" s="169">
        <v>37741</v>
      </c>
      <c r="BC28" s="169">
        <v>29635</v>
      </c>
      <c r="BD28" s="167">
        <f t="shared" si="57"/>
        <v>-21.477968257332876</v>
      </c>
      <c r="BE28" s="168"/>
      <c r="BF28" s="168" t="s">
        <v>52</v>
      </c>
      <c r="BG28" s="169">
        <v>35468</v>
      </c>
      <c r="BH28" s="169">
        <v>37741</v>
      </c>
      <c r="BI28" s="167">
        <f t="shared" si="58"/>
        <v>6.40859366189241</v>
      </c>
      <c r="BJ28" s="169">
        <v>33258</v>
      </c>
      <c r="BK28" s="169">
        <v>37741</v>
      </c>
      <c r="BL28" s="167">
        <f t="shared" si="59"/>
        <v>13.479463587708221</v>
      </c>
      <c r="BM28" s="168"/>
      <c r="BN28" s="168" t="s">
        <v>52</v>
      </c>
      <c r="BO28" s="169">
        <v>29175</v>
      </c>
      <c r="BP28" s="169"/>
      <c r="BQ28" s="167"/>
      <c r="BR28" s="169">
        <v>26454</v>
      </c>
      <c r="BS28" s="169"/>
      <c r="BT28" s="167"/>
      <c r="BU28" s="73"/>
      <c r="BV28" s="168" t="s">
        <v>52</v>
      </c>
      <c r="BW28" s="169">
        <v>25502</v>
      </c>
      <c r="BX28" s="169">
        <v>26454</v>
      </c>
      <c r="BY28" s="167">
        <f t="shared" si="79"/>
        <v>3.7330405458395424</v>
      </c>
      <c r="BZ28" s="169">
        <v>25300</v>
      </c>
      <c r="CA28" s="169">
        <v>26454</v>
      </c>
      <c r="CB28" s="167">
        <f t="shared" si="61"/>
        <v>4.5612648221343877</v>
      </c>
      <c r="CC28" s="73"/>
      <c r="CD28" s="168"/>
      <c r="CE28" s="168" t="s">
        <v>52</v>
      </c>
      <c r="CF28" s="169">
        <v>26018</v>
      </c>
      <c r="CG28" s="169">
        <v>25300</v>
      </c>
      <c r="CH28" s="167">
        <f t="shared" si="80"/>
        <v>-2.7596279498808518</v>
      </c>
      <c r="CI28" s="169">
        <v>29130</v>
      </c>
      <c r="CJ28" s="169">
        <v>25300</v>
      </c>
      <c r="CK28" s="167">
        <f t="shared" si="62"/>
        <v>-13.14795743220048</v>
      </c>
      <c r="CL28" s="73"/>
      <c r="CM28" s="168"/>
      <c r="CN28" s="168" t="s">
        <v>52</v>
      </c>
      <c r="CO28" s="169">
        <v>28152</v>
      </c>
      <c r="CP28" s="169">
        <f>32279-3149</f>
        <v>29130</v>
      </c>
      <c r="CQ28" s="167">
        <f t="shared" si="81"/>
        <v>3.473998294970162</v>
      </c>
      <c r="CR28" s="169">
        <v>36068</v>
      </c>
      <c r="CS28" s="169">
        <v>29130</v>
      </c>
      <c r="CT28" s="167">
        <f t="shared" si="63"/>
        <v>-19.235887767550182</v>
      </c>
      <c r="CU28" s="73"/>
      <c r="CV28" s="226"/>
      <c r="CW28" s="226" t="s">
        <v>52</v>
      </c>
      <c r="CX28" s="227">
        <v>36828</v>
      </c>
      <c r="CY28" s="227">
        <v>36068</v>
      </c>
      <c r="CZ28" s="225">
        <f t="shared" si="68"/>
        <v>-2.0636472249375473</v>
      </c>
      <c r="DA28" s="227">
        <v>49569</v>
      </c>
      <c r="DB28" s="227">
        <v>36068</v>
      </c>
      <c r="DC28" s="225">
        <f t="shared" si="69"/>
        <v>-27.236781052674054</v>
      </c>
      <c r="DD28" s="73"/>
      <c r="DE28" s="152"/>
      <c r="DF28" s="152" t="s">
        <v>52</v>
      </c>
      <c r="DG28" s="148">
        <v>53180</v>
      </c>
      <c r="DH28" s="148">
        <v>49569</v>
      </c>
      <c r="DI28" s="151">
        <f t="shared" si="70"/>
        <v>-6.7901466716810823</v>
      </c>
      <c r="DJ28" s="148">
        <v>35714</v>
      </c>
      <c r="DK28" s="148">
        <v>49569</v>
      </c>
      <c r="DL28" s="151">
        <f t="shared" si="71"/>
        <v>38.794310354482839</v>
      </c>
      <c r="DM28" s="73"/>
      <c r="DN28" s="152"/>
      <c r="DO28" s="152" t="s">
        <v>52</v>
      </c>
      <c r="DP28" s="148">
        <v>32950</v>
      </c>
      <c r="DQ28" s="148">
        <v>35714</v>
      </c>
      <c r="DR28" s="151">
        <f t="shared" si="72"/>
        <v>8.3884673748103182</v>
      </c>
      <c r="DS28" s="148">
        <v>28113</v>
      </c>
      <c r="DT28" s="148">
        <v>35714</v>
      </c>
      <c r="DU28" s="151">
        <f t="shared" si="73"/>
        <v>27.037313698289051</v>
      </c>
      <c r="DV28" s="73"/>
      <c r="DW28" s="89"/>
      <c r="DX28" s="89" t="s">
        <v>52</v>
      </c>
      <c r="DY28" s="90">
        <v>29307</v>
      </c>
      <c r="DZ28" s="90">
        <v>28113</v>
      </c>
      <c r="EA28" s="129">
        <f t="shared" si="74"/>
        <v>-4.0741119868973286</v>
      </c>
      <c r="EB28" s="90">
        <v>20813</v>
      </c>
      <c r="EC28" s="90">
        <v>28113</v>
      </c>
      <c r="ED28" s="129">
        <f t="shared" si="75"/>
        <v>35.074232450872053</v>
      </c>
      <c r="EE28" s="130"/>
      <c r="EF28" s="42"/>
      <c r="EG28" s="42" t="s">
        <v>52</v>
      </c>
      <c r="EH28" s="43">
        <v>19751</v>
      </c>
      <c r="EI28" s="43">
        <v>20813</v>
      </c>
      <c r="EJ28" s="44">
        <f t="shared" si="64"/>
        <v>5.3769429395979955</v>
      </c>
      <c r="EK28" s="43">
        <v>22741</v>
      </c>
      <c r="EL28" s="43">
        <v>20813</v>
      </c>
      <c r="EM28" s="44">
        <f t="shared" si="65"/>
        <v>-8.4780792401389551</v>
      </c>
      <c r="EN28" s="61"/>
      <c r="EO28" s="89"/>
      <c r="EP28" s="89" t="s">
        <v>52</v>
      </c>
      <c r="EQ28" s="90">
        <v>23371</v>
      </c>
      <c r="ER28" s="90">
        <v>22741</v>
      </c>
      <c r="ES28" s="91">
        <f t="shared" si="76"/>
        <v>-2.6956484532112448</v>
      </c>
      <c r="ET28" s="92">
        <v>30862</v>
      </c>
      <c r="EU28" s="90">
        <v>22741</v>
      </c>
      <c r="EV28" s="91">
        <f t="shared" si="77"/>
        <v>-26.313913550644806</v>
      </c>
      <c r="EX28" s="42"/>
      <c r="EY28" s="42" t="s">
        <v>52</v>
      </c>
      <c r="EZ28" s="43">
        <v>32783</v>
      </c>
      <c r="FA28" s="43">
        <v>30862</v>
      </c>
      <c r="FB28" s="44">
        <f t="shared" si="66"/>
        <v>-5.8597443797089959</v>
      </c>
      <c r="FC28" s="45">
        <v>28514</v>
      </c>
      <c r="FD28" s="43">
        <v>30862</v>
      </c>
      <c r="FE28" s="44">
        <f t="shared" si="67"/>
        <v>8.234551448411306</v>
      </c>
      <c r="FF28" s="61"/>
    </row>
    <row r="29" spans="1:162" x14ac:dyDescent="0.5">
      <c r="A29" s="168"/>
      <c r="B29" s="168" t="s">
        <v>53</v>
      </c>
      <c r="C29" s="169">
        <v>2150</v>
      </c>
      <c r="D29" s="166">
        <v>2223</v>
      </c>
      <c r="E29" s="167">
        <f t="shared" si="44"/>
        <v>3.3953488372093021</v>
      </c>
      <c r="F29" s="169">
        <v>2557</v>
      </c>
      <c r="G29" s="166">
        <v>2223</v>
      </c>
      <c r="H29" s="167">
        <f t="shared" si="45"/>
        <v>-13.062182244818146</v>
      </c>
      <c r="I29" s="168"/>
      <c r="J29" s="168" t="s">
        <v>53</v>
      </c>
      <c r="K29" s="169">
        <v>2466</v>
      </c>
      <c r="L29" s="169">
        <v>2557</v>
      </c>
      <c r="M29" s="167">
        <f t="shared" si="46"/>
        <v>3.6901865369018654</v>
      </c>
      <c r="N29" s="169">
        <v>3738</v>
      </c>
      <c r="O29" s="169">
        <v>2557</v>
      </c>
      <c r="P29" s="167">
        <f t="shared" si="47"/>
        <v>-31.594435527019797</v>
      </c>
      <c r="Q29" s="168"/>
      <c r="R29" s="168" t="s">
        <v>53</v>
      </c>
      <c r="S29" s="169">
        <v>3703</v>
      </c>
      <c r="T29" s="169">
        <v>3738</v>
      </c>
      <c r="U29" s="167">
        <f t="shared" si="48"/>
        <v>0.94517958412098302</v>
      </c>
      <c r="V29" s="169">
        <v>3522</v>
      </c>
      <c r="W29" s="169">
        <v>3738</v>
      </c>
      <c r="X29" s="167">
        <f t="shared" si="49"/>
        <v>6.1328790459965932</v>
      </c>
      <c r="Y29" s="168"/>
      <c r="Z29" s="168" t="s">
        <v>53</v>
      </c>
      <c r="AA29" s="169">
        <v>3388</v>
      </c>
      <c r="AB29" s="169">
        <v>3522</v>
      </c>
      <c r="AC29" s="167">
        <f t="shared" si="50"/>
        <v>3.9551357733175916</v>
      </c>
      <c r="AD29" s="169">
        <v>3508</v>
      </c>
      <c r="AE29" s="169">
        <v>3522</v>
      </c>
      <c r="AF29" s="167">
        <f t="shared" si="51"/>
        <v>0.39908779931584948</v>
      </c>
      <c r="AG29" s="168"/>
      <c r="AH29" s="168" t="s">
        <v>53</v>
      </c>
      <c r="AI29" s="169">
        <v>3217</v>
      </c>
      <c r="AJ29" s="169">
        <v>3508</v>
      </c>
      <c r="AK29" s="167">
        <f t="shared" si="52"/>
        <v>9.045694746658377</v>
      </c>
      <c r="AL29" s="169">
        <v>3551</v>
      </c>
      <c r="AM29" s="169">
        <v>3508</v>
      </c>
      <c r="AN29" s="167">
        <f t="shared" si="53"/>
        <v>-1.2109264995775839</v>
      </c>
      <c r="AO29" s="168"/>
      <c r="AP29" s="168" t="s">
        <v>53</v>
      </c>
      <c r="AQ29" s="169">
        <v>3165</v>
      </c>
      <c r="AR29" s="169">
        <v>3551</v>
      </c>
      <c r="AS29" s="167">
        <f t="shared" si="54"/>
        <v>12.195892575039496</v>
      </c>
      <c r="AT29" s="169">
        <v>3824</v>
      </c>
      <c r="AU29" s="169">
        <v>3551</v>
      </c>
      <c r="AV29" s="167">
        <f t="shared" si="55"/>
        <v>-7.1391213389121342</v>
      </c>
      <c r="AW29" s="168"/>
      <c r="AX29" s="168" t="s">
        <v>53</v>
      </c>
      <c r="AY29" s="169">
        <v>3929</v>
      </c>
      <c r="AZ29" s="169">
        <v>3824</v>
      </c>
      <c r="BA29" s="167">
        <f t="shared" si="56"/>
        <v>-2.6724357342835328</v>
      </c>
      <c r="BB29" s="169">
        <v>4424</v>
      </c>
      <c r="BC29" s="169">
        <v>3824</v>
      </c>
      <c r="BD29" s="167">
        <f t="shared" si="57"/>
        <v>-13.562386980108499</v>
      </c>
      <c r="BE29" s="168"/>
      <c r="BF29" s="168" t="s">
        <v>53</v>
      </c>
      <c r="BG29" s="169">
        <v>4005</v>
      </c>
      <c r="BH29" s="169">
        <v>4424</v>
      </c>
      <c r="BI29" s="167">
        <f t="shared" si="58"/>
        <v>10.461922596754057</v>
      </c>
      <c r="BJ29" s="169">
        <v>5572</v>
      </c>
      <c r="BK29" s="169">
        <v>4424</v>
      </c>
      <c r="BL29" s="167">
        <f t="shared" si="59"/>
        <v>-20.603015075376884</v>
      </c>
      <c r="BM29" s="168"/>
      <c r="BN29" s="168" t="s">
        <v>53</v>
      </c>
      <c r="BO29" s="169">
        <v>3424</v>
      </c>
      <c r="BP29" s="169"/>
      <c r="BQ29" s="167"/>
      <c r="BR29" s="169">
        <v>3818</v>
      </c>
      <c r="BS29" s="169"/>
      <c r="BT29" s="167"/>
      <c r="BU29" s="73"/>
      <c r="BV29" s="168" t="s">
        <v>53</v>
      </c>
      <c r="BW29" s="169">
        <v>4476</v>
      </c>
      <c r="BX29" s="169">
        <v>3818</v>
      </c>
      <c r="BY29" s="167">
        <f t="shared" si="79"/>
        <v>-14.700625558534405</v>
      </c>
      <c r="BZ29" s="169">
        <v>3586</v>
      </c>
      <c r="CA29" s="169">
        <v>3818</v>
      </c>
      <c r="CB29" s="167">
        <f t="shared" si="61"/>
        <v>6.4696040156162855</v>
      </c>
      <c r="CC29" s="73"/>
      <c r="CD29" s="168"/>
      <c r="CE29" s="168" t="s">
        <v>53</v>
      </c>
      <c r="CF29" s="169">
        <v>3695</v>
      </c>
      <c r="CG29" s="169">
        <v>3586</v>
      </c>
      <c r="CH29" s="167">
        <f t="shared" si="80"/>
        <v>-2.9499323410013529</v>
      </c>
      <c r="CI29" s="169">
        <v>4360</v>
      </c>
      <c r="CJ29" s="169">
        <v>3586</v>
      </c>
      <c r="CK29" s="167">
        <f t="shared" si="62"/>
        <v>-17.75229357798165</v>
      </c>
      <c r="CL29" s="73"/>
      <c r="CM29" s="168"/>
      <c r="CN29" s="168" t="s">
        <v>53</v>
      </c>
      <c r="CO29" s="169">
        <v>4155</v>
      </c>
      <c r="CP29" s="169">
        <f>38824-CP28-CP30</f>
        <v>4360</v>
      </c>
      <c r="CQ29" s="167">
        <f t="shared" si="81"/>
        <v>4.9338146811071004</v>
      </c>
      <c r="CR29" s="169">
        <v>6007</v>
      </c>
      <c r="CS29" s="169">
        <v>4360</v>
      </c>
      <c r="CT29" s="167">
        <f t="shared" si="63"/>
        <v>-27.41801231896121</v>
      </c>
      <c r="CU29" s="73"/>
      <c r="CV29" s="226"/>
      <c r="CW29" s="226" t="s">
        <v>53</v>
      </c>
      <c r="CX29" s="227">
        <v>6477</v>
      </c>
      <c r="CY29" s="227">
        <v>6007</v>
      </c>
      <c r="CZ29" s="225">
        <f t="shared" si="68"/>
        <v>-7.2564458854407903</v>
      </c>
      <c r="DA29" s="227">
        <v>6241</v>
      </c>
      <c r="DB29" s="227">
        <v>6007</v>
      </c>
      <c r="DC29" s="225">
        <f t="shared" si="69"/>
        <v>-3.7493991347540461</v>
      </c>
      <c r="DD29" s="73"/>
      <c r="DE29" s="152"/>
      <c r="DF29" s="152" t="s">
        <v>53</v>
      </c>
      <c r="DG29" s="148">
        <v>6437</v>
      </c>
      <c r="DH29" s="148">
        <v>6241</v>
      </c>
      <c r="DI29" s="151">
        <f t="shared" si="70"/>
        <v>-3.0448966910051265</v>
      </c>
      <c r="DJ29" s="148">
        <v>4704</v>
      </c>
      <c r="DK29" s="148">
        <v>6241</v>
      </c>
      <c r="DL29" s="151">
        <f t="shared" si="71"/>
        <v>32.674319727891152</v>
      </c>
      <c r="DM29" s="73"/>
      <c r="DN29" s="152"/>
      <c r="DO29" s="152" t="s">
        <v>53</v>
      </c>
      <c r="DP29" s="148">
        <v>4962</v>
      </c>
      <c r="DQ29" s="148">
        <v>4704</v>
      </c>
      <c r="DR29" s="151">
        <f t="shared" si="72"/>
        <v>-5.1995163240628779</v>
      </c>
      <c r="DS29" s="148">
        <v>4304</v>
      </c>
      <c r="DT29" s="148">
        <v>4704</v>
      </c>
      <c r="DU29" s="151">
        <f t="shared" si="73"/>
        <v>9.2936802973977688</v>
      </c>
      <c r="DV29" s="73"/>
      <c r="DW29" s="89"/>
      <c r="DX29" s="89" t="s">
        <v>53</v>
      </c>
      <c r="DY29" s="90">
        <v>3743</v>
      </c>
      <c r="DZ29" s="90">
        <v>4304</v>
      </c>
      <c r="EA29" s="129">
        <f t="shared" si="74"/>
        <v>14.98797755810847</v>
      </c>
      <c r="EB29" s="90">
        <v>3038</v>
      </c>
      <c r="EC29" s="90">
        <v>4304</v>
      </c>
      <c r="ED29" s="129">
        <f t="shared" si="75"/>
        <v>41.672152732060567</v>
      </c>
      <c r="EE29" s="130"/>
      <c r="EF29" s="42"/>
      <c r="EG29" s="42" t="s">
        <v>53</v>
      </c>
      <c r="EH29" s="43">
        <v>2979</v>
      </c>
      <c r="EI29" s="43">
        <v>3038</v>
      </c>
      <c r="EJ29" s="44">
        <f t="shared" si="64"/>
        <v>1.9805303793219202</v>
      </c>
      <c r="EK29" s="43">
        <v>3547</v>
      </c>
      <c r="EL29" s="43">
        <v>3038</v>
      </c>
      <c r="EM29" s="44">
        <f t="shared" si="65"/>
        <v>-14.350155060614602</v>
      </c>
      <c r="EN29" s="61"/>
      <c r="EO29" s="89"/>
      <c r="EP29" s="89" t="s">
        <v>53</v>
      </c>
      <c r="EQ29" s="90">
        <v>3589</v>
      </c>
      <c r="ER29" s="90">
        <v>3547</v>
      </c>
      <c r="ES29" s="91">
        <f t="shared" si="76"/>
        <v>-1.1702424073558095</v>
      </c>
      <c r="ET29" s="92">
        <v>3582</v>
      </c>
      <c r="EU29" s="90">
        <v>3547</v>
      </c>
      <c r="EV29" s="91">
        <f t="shared" si="77"/>
        <v>-0.97710776102735897</v>
      </c>
      <c r="EX29" s="42"/>
      <c r="EY29" s="42" t="s">
        <v>53</v>
      </c>
      <c r="EZ29" s="43">
        <v>3569</v>
      </c>
      <c r="FA29" s="43">
        <v>3361</v>
      </c>
      <c r="FB29" s="44">
        <f t="shared" si="66"/>
        <v>-5.8279630148500985</v>
      </c>
      <c r="FC29" s="45">
        <v>3133</v>
      </c>
      <c r="FD29" s="43">
        <v>3361</v>
      </c>
      <c r="FE29" s="44">
        <f t="shared" si="67"/>
        <v>7.2773699329715935</v>
      </c>
      <c r="FF29" s="61"/>
    </row>
    <row r="30" spans="1:162" x14ac:dyDescent="0.5">
      <c r="A30" s="168"/>
      <c r="B30" s="168" t="s">
        <v>54</v>
      </c>
      <c r="C30" s="169">
        <v>14890</v>
      </c>
      <c r="D30" s="166">
        <f>3250+12051</f>
        <v>15301</v>
      </c>
      <c r="E30" s="167">
        <f t="shared" si="44"/>
        <v>2.760241773002015</v>
      </c>
      <c r="F30" s="169">
        <v>9314</v>
      </c>
      <c r="G30" s="166">
        <v>15301</v>
      </c>
      <c r="H30" s="167">
        <f t="shared" si="45"/>
        <v>64.279579128194115</v>
      </c>
      <c r="I30" s="168"/>
      <c r="J30" s="168" t="s">
        <v>54</v>
      </c>
      <c r="K30" s="169">
        <v>12116</v>
      </c>
      <c r="L30" s="169">
        <v>9314</v>
      </c>
      <c r="M30" s="167">
        <f t="shared" si="46"/>
        <v>-23.126444371079565</v>
      </c>
      <c r="N30" s="169">
        <v>13809</v>
      </c>
      <c r="O30" s="169">
        <v>9314</v>
      </c>
      <c r="P30" s="167">
        <f t="shared" si="47"/>
        <v>-32.551234702005935</v>
      </c>
      <c r="Q30" s="168"/>
      <c r="R30" s="168" t="s">
        <v>54</v>
      </c>
      <c r="S30" s="169">
        <v>13325</v>
      </c>
      <c r="T30" s="169">
        <v>13809</v>
      </c>
      <c r="U30" s="167">
        <f t="shared" si="48"/>
        <v>3.632270168855535</v>
      </c>
      <c r="V30" s="169">
        <v>12805</v>
      </c>
      <c r="W30" s="169">
        <v>13809</v>
      </c>
      <c r="X30" s="167">
        <f t="shared" si="49"/>
        <v>7.8406872315501754</v>
      </c>
      <c r="Y30" s="168"/>
      <c r="Z30" s="168" t="s">
        <v>54</v>
      </c>
      <c r="AA30" s="169">
        <v>11570</v>
      </c>
      <c r="AB30" s="169">
        <v>12805</v>
      </c>
      <c r="AC30" s="167">
        <f t="shared" si="50"/>
        <v>10.674157303370785</v>
      </c>
      <c r="AD30" s="169">
        <v>8232</v>
      </c>
      <c r="AE30" s="169">
        <v>12805</v>
      </c>
      <c r="AF30" s="167">
        <f t="shared" si="51"/>
        <v>55.551506316812436</v>
      </c>
      <c r="AG30" s="168"/>
      <c r="AH30" s="168" t="s">
        <v>54</v>
      </c>
      <c r="AI30" s="169">
        <v>5726</v>
      </c>
      <c r="AJ30" s="169">
        <v>8232</v>
      </c>
      <c r="AK30" s="167">
        <f t="shared" si="52"/>
        <v>43.765281173594133</v>
      </c>
      <c r="AL30" s="169">
        <v>10854</v>
      </c>
      <c r="AM30" s="169">
        <v>8232</v>
      </c>
      <c r="AN30" s="167">
        <f t="shared" si="53"/>
        <v>-24.156992813709234</v>
      </c>
      <c r="AO30" s="168"/>
      <c r="AP30" s="168" t="s">
        <v>54</v>
      </c>
      <c r="AQ30" s="169">
        <v>11135</v>
      </c>
      <c r="AR30" s="169">
        <v>10854</v>
      </c>
      <c r="AS30" s="167">
        <f t="shared" si="54"/>
        <v>-2.5235743152222723</v>
      </c>
      <c r="AT30" s="169">
        <v>9459</v>
      </c>
      <c r="AU30" s="169">
        <v>10854</v>
      </c>
      <c r="AV30" s="167">
        <f t="shared" si="55"/>
        <v>14.747859181731684</v>
      </c>
      <c r="AW30" s="168"/>
      <c r="AX30" s="168" t="s">
        <v>54</v>
      </c>
      <c r="AY30" s="169">
        <v>10607</v>
      </c>
      <c r="AZ30" s="169">
        <v>9459</v>
      </c>
      <c r="BA30" s="167">
        <f t="shared" si="56"/>
        <v>-10.823041387762798</v>
      </c>
      <c r="BB30" s="169">
        <v>12455</v>
      </c>
      <c r="BC30" s="169">
        <v>9459</v>
      </c>
      <c r="BD30" s="167">
        <f t="shared" si="57"/>
        <v>-24.054596547571254</v>
      </c>
      <c r="BE30" s="168"/>
      <c r="BF30" s="168" t="s">
        <v>54</v>
      </c>
      <c r="BG30" s="169">
        <v>13177</v>
      </c>
      <c r="BH30" s="169">
        <v>12455</v>
      </c>
      <c r="BI30" s="167">
        <f t="shared" si="58"/>
        <v>-5.4792441375123317</v>
      </c>
      <c r="BJ30" s="169">
        <v>9288</v>
      </c>
      <c r="BK30" s="169">
        <v>12455</v>
      </c>
      <c r="BL30" s="167">
        <f t="shared" si="59"/>
        <v>34.097760551248925</v>
      </c>
      <c r="BM30" s="168"/>
      <c r="BN30" s="168" t="s">
        <v>54</v>
      </c>
      <c r="BO30" s="169">
        <v>8495</v>
      </c>
      <c r="BP30" s="169"/>
      <c r="BQ30" s="167"/>
      <c r="BR30" s="169">
        <v>7728</v>
      </c>
      <c r="BS30" s="169"/>
      <c r="BT30" s="167"/>
      <c r="BU30" s="73"/>
      <c r="BV30" s="168" t="s">
        <v>54</v>
      </c>
      <c r="BW30" s="169">
        <v>8873</v>
      </c>
      <c r="BX30" s="169">
        <v>7728</v>
      </c>
      <c r="BY30" s="167">
        <f t="shared" si="79"/>
        <v>-12.904316465682408</v>
      </c>
      <c r="BZ30" s="169">
        <v>10402</v>
      </c>
      <c r="CA30" s="169">
        <v>7728</v>
      </c>
      <c r="CB30" s="167">
        <f t="shared" si="61"/>
        <v>-25.706594885598921</v>
      </c>
      <c r="CC30" s="73"/>
      <c r="CD30" s="168"/>
      <c r="CE30" s="168" t="s">
        <v>54</v>
      </c>
      <c r="CF30" s="169">
        <v>9488</v>
      </c>
      <c r="CG30" s="169">
        <v>10402</v>
      </c>
      <c r="CH30" s="167">
        <f t="shared" si="80"/>
        <v>9.6332209106239457</v>
      </c>
      <c r="CI30" s="169">
        <v>5334</v>
      </c>
      <c r="CJ30" s="169">
        <v>10402</v>
      </c>
      <c r="CK30" s="167">
        <f t="shared" si="62"/>
        <v>95.01312335958005</v>
      </c>
      <c r="CL30" s="73"/>
      <c r="CM30" s="168"/>
      <c r="CN30" s="168" t="s">
        <v>54</v>
      </c>
      <c r="CO30" s="169">
        <v>6538</v>
      </c>
      <c r="CP30" s="169">
        <f>3146+2188</f>
        <v>5334</v>
      </c>
      <c r="CQ30" s="167">
        <f t="shared" si="81"/>
        <v>-18.41541755888651</v>
      </c>
      <c r="CR30" s="169">
        <v>5566</v>
      </c>
      <c r="CS30" s="169">
        <v>5334</v>
      </c>
      <c r="CT30" s="167">
        <f t="shared" si="63"/>
        <v>-4.168163851958318</v>
      </c>
      <c r="CU30" s="73"/>
      <c r="CV30" s="226"/>
      <c r="CW30" s="226" t="s">
        <v>54</v>
      </c>
      <c r="CX30" s="227">
        <v>5978</v>
      </c>
      <c r="CY30" s="227">
        <v>5566</v>
      </c>
      <c r="CZ30" s="225">
        <f t="shared" si="68"/>
        <v>-6.8919371027099361</v>
      </c>
      <c r="DA30" s="227">
        <v>8782</v>
      </c>
      <c r="DB30" s="227">
        <v>5566</v>
      </c>
      <c r="DC30" s="225">
        <f t="shared" si="69"/>
        <v>-36.620359826918694</v>
      </c>
      <c r="DD30" s="73"/>
      <c r="DE30" s="152"/>
      <c r="DF30" s="152" t="s">
        <v>54</v>
      </c>
      <c r="DG30" s="148">
        <v>8804</v>
      </c>
      <c r="DH30" s="148">
        <v>8782</v>
      </c>
      <c r="DI30" s="151">
        <f t="shared" si="70"/>
        <v>-0.24988641526578828</v>
      </c>
      <c r="DJ30" s="148">
        <v>5909</v>
      </c>
      <c r="DK30" s="148">
        <v>8782</v>
      </c>
      <c r="DL30" s="151">
        <f t="shared" si="71"/>
        <v>48.620748011507871</v>
      </c>
      <c r="DM30" s="73"/>
      <c r="DN30" s="152"/>
      <c r="DO30" s="152" t="s">
        <v>54</v>
      </c>
      <c r="DP30" s="148">
        <v>5586</v>
      </c>
      <c r="DQ30" s="148">
        <v>5909</v>
      </c>
      <c r="DR30" s="151">
        <f t="shared" si="72"/>
        <v>5.7823129251700678</v>
      </c>
      <c r="DS30" s="148">
        <v>4443</v>
      </c>
      <c r="DT30" s="148">
        <v>5909</v>
      </c>
      <c r="DU30" s="151">
        <f t="shared" si="73"/>
        <v>32.995723610173307</v>
      </c>
      <c r="DV30" s="73"/>
      <c r="DW30" s="89"/>
      <c r="DX30" s="89" t="s">
        <v>54</v>
      </c>
      <c r="DY30" s="90">
        <v>4556</v>
      </c>
      <c r="DZ30" s="90">
        <v>4443</v>
      </c>
      <c r="EA30" s="129">
        <f t="shared" si="74"/>
        <v>-2.4802458296751535</v>
      </c>
      <c r="EB30" s="90">
        <v>3372</v>
      </c>
      <c r="EC30" s="90">
        <v>4443</v>
      </c>
      <c r="ED30" s="129">
        <f t="shared" si="75"/>
        <v>31.761565836298931</v>
      </c>
      <c r="EE30" s="130"/>
      <c r="EF30" s="42"/>
      <c r="EG30" s="42" t="s">
        <v>54</v>
      </c>
      <c r="EH30" s="43">
        <v>2731</v>
      </c>
      <c r="EI30" s="43">
        <v>3372</v>
      </c>
      <c r="EJ30" s="44">
        <f t="shared" si="64"/>
        <v>23.471255950201392</v>
      </c>
      <c r="EK30" s="43">
        <v>2906</v>
      </c>
      <c r="EL30" s="43">
        <v>3372</v>
      </c>
      <c r="EM30" s="44">
        <f t="shared" si="65"/>
        <v>16.035788024776323</v>
      </c>
      <c r="EN30" s="61"/>
      <c r="EO30" s="89"/>
      <c r="EP30" s="89" t="s">
        <v>54</v>
      </c>
      <c r="EQ30" s="90">
        <v>2179</v>
      </c>
      <c r="ER30" s="90">
        <v>2906</v>
      </c>
      <c r="ES30" s="91">
        <f t="shared" si="76"/>
        <v>33.363928407526387</v>
      </c>
      <c r="ET30" s="92">
        <v>3361</v>
      </c>
      <c r="EU30" s="90">
        <v>2906</v>
      </c>
      <c r="EV30" s="91">
        <f t="shared" si="77"/>
        <v>-13.537637607854805</v>
      </c>
      <c r="EX30" s="42"/>
      <c r="EY30" s="42" t="s">
        <v>54</v>
      </c>
      <c r="EZ30" s="43">
        <v>2857</v>
      </c>
      <c r="FA30" s="43">
        <v>3582</v>
      </c>
      <c r="FB30" s="44">
        <f t="shared" si="66"/>
        <v>25.376268813440671</v>
      </c>
      <c r="FC30" s="45">
        <v>1716</v>
      </c>
      <c r="FD30" s="43">
        <v>3582</v>
      </c>
      <c r="FE30" s="44">
        <f t="shared" si="67"/>
        <v>108.74125874125875</v>
      </c>
      <c r="FF30" s="61"/>
    </row>
    <row r="31" spans="1:162" x14ac:dyDescent="0.5">
      <c r="A31" s="165" t="s">
        <v>2</v>
      </c>
      <c r="B31" s="165" t="s">
        <v>55</v>
      </c>
      <c r="C31" s="166">
        <v>71179</v>
      </c>
      <c r="D31" s="166">
        <v>86056</v>
      </c>
      <c r="E31" s="167">
        <f t="shared" si="44"/>
        <v>20.900827491254443</v>
      </c>
      <c r="F31" s="166">
        <v>80254</v>
      </c>
      <c r="G31" s="166">
        <v>86056</v>
      </c>
      <c r="H31" s="167">
        <f>((G31-F31)/F31)*100</f>
        <v>7.2295461908440704</v>
      </c>
      <c r="I31" s="165" t="s">
        <v>2</v>
      </c>
      <c r="J31" s="165" t="s">
        <v>55</v>
      </c>
      <c r="K31" s="166">
        <v>86066</v>
      </c>
      <c r="L31" s="166">
        <v>80254</v>
      </c>
      <c r="M31" s="167">
        <f t="shared" si="46"/>
        <v>-6.7529570329746935</v>
      </c>
      <c r="N31" s="166">
        <v>97476</v>
      </c>
      <c r="O31" s="166">
        <v>80254</v>
      </c>
      <c r="P31" s="167">
        <f>((O31-N31)/N31)*100</f>
        <v>-17.667938774672738</v>
      </c>
      <c r="Q31" s="165" t="s">
        <v>2</v>
      </c>
      <c r="R31" s="165" t="s">
        <v>55</v>
      </c>
      <c r="S31" s="166">
        <v>87555</v>
      </c>
      <c r="T31" s="166">
        <v>97476</v>
      </c>
      <c r="U31" s="167">
        <f t="shared" si="48"/>
        <v>11.331163268802467</v>
      </c>
      <c r="V31" s="166">
        <v>100389</v>
      </c>
      <c r="W31" s="166">
        <v>97476</v>
      </c>
      <c r="X31" s="167">
        <f>((W31-V31)/V31)*100</f>
        <v>-2.9017123390012851</v>
      </c>
      <c r="Y31" s="165" t="s">
        <v>2</v>
      </c>
      <c r="Z31" s="165" t="s">
        <v>55</v>
      </c>
      <c r="AA31" s="166">
        <v>73325</v>
      </c>
      <c r="AB31" s="166">
        <v>100389</v>
      </c>
      <c r="AC31" s="167">
        <f t="shared" si="50"/>
        <v>36.909648823729967</v>
      </c>
      <c r="AD31" s="166">
        <v>73831</v>
      </c>
      <c r="AE31" s="166">
        <v>100389</v>
      </c>
      <c r="AF31" s="167">
        <f>((AE31-AD31)/AD31)*100</f>
        <v>35.971339952052659</v>
      </c>
      <c r="AG31" s="165" t="s">
        <v>2</v>
      </c>
      <c r="AH31" s="165" t="s">
        <v>55</v>
      </c>
      <c r="AI31" s="166">
        <v>59571</v>
      </c>
      <c r="AJ31" s="166">
        <v>73831</v>
      </c>
      <c r="AK31" s="167">
        <f t="shared" si="52"/>
        <v>23.937822094643366</v>
      </c>
      <c r="AL31" s="166">
        <v>63941</v>
      </c>
      <c r="AM31" s="166">
        <v>73831</v>
      </c>
      <c r="AN31" s="167">
        <f>((AM31-AL31)/AL31)*100</f>
        <v>15.46738399462004</v>
      </c>
      <c r="AO31" s="165" t="s">
        <v>2</v>
      </c>
      <c r="AP31" s="165" t="s">
        <v>55</v>
      </c>
      <c r="AQ31" s="166">
        <v>57402</v>
      </c>
      <c r="AR31" s="166">
        <v>63941</v>
      </c>
      <c r="AS31" s="167">
        <f t="shared" si="54"/>
        <v>11.391589143235427</v>
      </c>
      <c r="AT31" s="166">
        <v>97540</v>
      </c>
      <c r="AU31" s="166">
        <v>63941</v>
      </c>
      <c r="AV31" s="167">
        <f>((AU31-AT31)/AT31)*100</f>
        <v>-34.446380971908965</v>
      </c>
      <c r="AW31" s="165" t="s">
        <v>2</v>
      </c>
      <c r="AX31" s="165" t="s">
        <v>55</v>
      </c>
      <c r="AY31" s="166">
        <v>81549</v>
      </c>
      <c r="AZ31" s="166">
        <v>97540</v>
      </c>
      <c r="BA31" s="167">
        <f t="shared" si="56"/>
        <v>19.609069393861358</v>
      </c>
      <c r="BB31" s="166">
        <v>104163</v>
      </c>
      <c r="BC31" s="166">
        <v>97540</v>
      </c>
      <c r="BD31" s="167">
        <f>((BC31-BB31)/BB31)*100</f>
        <v>-6.3583038122941931</v>
      </c>
      <c r="BE31" s="165" t="s">
        <v>2</v>
      </c>
      <c r="BF31" s="165" t="s">
        <v>55</v>
      </c>
      <c r="BG31" s="166">
        <v>102513</v>
      </c>
      <c r="BH31" s="166">
        <v>104163</v>
      </c>
      <c r="BI31" s="167">
        <f t="shared" si="58"/>
        <v>1.6095519592637033</v>
      </c>
      <c r="BJ31" s="166">
        <v>120654</v>
      </c>
      <c r="BK31" s="166">
        <v>104163</v>
      </c>
      <c r="BL31" s="167">
        <f>((BK31-BJ31)/BJ31)*100</f>
        <v>-13.668009349047692</v>
      </c>
      <c r="BM31" s="165" t="s">
        <v>2</v>
      </c>
      <c r="BN31" s="165" t="s">
        <v>55</v>
      </c>
      <c r="BO31" s="166">
        <v>102907</v>
      </c>
      <c r="BP31" s="166">
        <v>120654</v>
      </c>
      <c r="BQ31" s="167">
        <f t="shared" si="78"/>
        <v>17.245668419057985</v>
      </c>
      <c r="BR31" s="166">
        <v>112565</v>
      </c>
      <c r="BS31" s="166">
        <v>120654</v>
      </c>
      <c r="BT31" s="167">
        <f t="shared" si="60"/>
        <v>7.1860702705103723</v>
      </c>
      <c r="BU31" s="73"/>
      <c r="BV31" s="165" t="s">
        <v>55</v>
      </c>
      <c r="BW31" s="166">
        <v>94183</v>
      </c>
      <c r="BX31" s="166">
        <v>112565</v>
      </c>
      <c r="BY31" s="167">
        <f t="shared" si="79"/>
        <v>19.517322659078605</v>
      </c>
      <c r="BZ31" s="166">
        <v>124952</v>
      </c>
      <c r="CA31" s="166">
        <v>112565</v>
      </c>
      <c r="CB31" s="167">
        <f t="shared" si="61"/>
        <v>-9.9134067481913064</v>
      </c>
      <c r="CC31" s="73"/>
      <c r="CD31" s="165" t="s">
        <v>2</v>
      </c>
      <c r="CE31" s="165" t="s">
        <v>55</v>
      </c>
      <c r="CF31" s="166">
        <v>101982</v>
      </c>
      <c r="CG31" s="166">
        <v>124952</v>
      </c>
      <c r="CH31" s="167">
        <f t="shared" si="80"/>
        <v>22.523582593006608</v>
      </c>
      <c r="CI31" s="166">
        <v>97570</v>
      </c>
      <c r="CJ31" s="166">
        <v>124952</v>
      </c>
      <c r="CK31" s="167">
        <f t="shared" si="62"/>
        <v>28.063954084247207</v>
      </c>
      <c r="CL31" s="73"/>
      <c r="CM31" s="165" t="s">
        <v>2</v>
      </c>
      <c r="CN31" s="165" t="s">
        <v>55</v>
      </c>
      <c r="CO31" s="166">
        <v>89550</v>
      </c>
      <c r="CP31" s="166">
        <v>97570</v>
      </c>
      <c r="CQ31" s="167">
        <f t="shared" si="81"/>
        <v>8.9558905639307635</v>
      </c>
      <c r="CR31" s="166">
        <v>118253</v>
      </c>
      <c r="CS31" s="166">
        <v>97570</v>
      </c>
      <c r="CT31" s="167">
        <f t="shared" si="63"/>
        <v>-17.490465358172731</v>
      </c>
      <c r="CU31" s="73"/>
      <c r="CV31" s="224" t="s">
        <v>2</v>
      </c>
      <c r="CW31" s="224" t="s">
        <v>55</v>
      </c>
      <c r="CX31" s="238">
        <v>104215</v>
      </c>
      <c r="CY31" s="238">
        <v>118253</v>
      </c>
      <c r="CZ31" s="225">
        <f t="shared" si="68"/>
        <v>13.470229813366597</v>
      </c>
      <c r="DA31" s="238">
        <v>101279</v>
      </c>
      <c r="DB31" s="238">
        <v>118253</v>
      </c>
      <c r="DC31" s="225">
        <f t="shared" si="69"/>
        <v>16.759644151304812</v>
      </c>
      <c r="DD31" s="73"/>
      <c r="DE31" s="150" t="s">
        <v>2</v>
      </c>
      <c r="DF31" s="150" t="s">
        <v>55</v>
      </c>
      <c r="DG31" s="147">
        <v>85279</v>
      </c>
      <c r="DH31" s="147">
        <v>98268</v>
      </c>
      <c r="DI31" s="151">
        <f t="shared" si="70"/>
        <v>15.231182354389707</v>
      </c>
      <c r="DJ31" s="147">
        <v>90654</v>
      </c>
      <c r="DK31" s="147">
        <v>98268</v>
      </c>
      <c r="DL31" s="151">
        <f t="shared" si="71"/>
        <v>8.3989675028128925</v>
      </c>
      <c r="DM31" s="73"/>
      <c r="DN31" s="150" t="s">
        <v>2</v>
      </c>
      <c r="DO31" s="150" t="s">
        <v>55</v>
      </c>
      <c r="DP31" s="147">
        <v>72270</v>
      </c>
      <c r="DQ31" s="147">
        <v>90654</v>
      </c>
      <c r="DR31" s="151">
        <f t="shared" si="72"/>
        <v>25.437941054379408</v>
      </c>
      <c r="DS31" s="147">
        <v>81320</v>
      </c>
      <c r="DT31" s="147">
        <v>90654</v>
      </c>
      <c r="DU31" s="151">
        <f t="shared" si="73"/>
        <v>11.478111165764879</v>
      </c>
      <c r="DV31" s="73"/>
      <c r="DW31" s="86" t="s">
        <v>2</v>
      </c>
      <c r="DX31" s="86" t="s">
        <v>55</v>
      </c>
      <c r="DY31" s="87">
        <v>77750</v>
      </c>
      <c r="DZ31" s="87">
        <v>81320</v>
      </c>
      <c r="EA31" s="126">
        <f t="shared" si="74"/>
        <v>4.5916398713826361</v>
      </c>
      <c r="EB31" s="87">
        <v>49351</v>
      </c>
      <c r="EC31" s="87">
        <v>81320</v>
      </c>
      <c r="ED31" s="126">
        <f t="shared" si="75"/>
        <v>64.778829203055665</v>
      </c>
      <c r="EE31" s="127"/>
      <c r="EF31" s="63" t="s">
        <v>2</v>
      </c>
      <c r="EG31" s="63" t="s">
        <v>55</v>
      </c>
      <c r="EH31" s="68">
        <v>43106</v>
      </c>
      <c r="EI31" s="68">
        <v>49351</v>
      </c>
      <c r="EJ31" s="65">
        <f t="shared" si="64"/>
        <v>14.48754233749362</v>
      </c>
      <c r="EK31" s="68">
        <v>74738</v>
      </c>
      <c r="EL31" s="68">
        <v>49351</v>
      </c>
      <c r="EM31" s="65">
        <f>((EL31-EK31)/EK31)*100</f>
        <v>-33.967994862051434</v>
      </c>
      <c r="EN31" s="73"/>
      <c r="EO31" s="86" t="s">
        <v>2</v>
      </c>
      <c r="EP31" s="86" t="s">
        <v>55</v>
      </c>
      <c r="EQ31" s="87">
        <v>67591</v>
      </c>
      <c r="ER31" s="87">
        <v>74738</v>
      </c>
      <c r="ES31" s="88">
        <f t="shared" si="76"/>
        <v>10.573892973916646</v>
      </c>
      <c r="ET31" s="87">
        <v>64563</v>
      </c>
      <c r="EU31" s="87">
        <v>74738</v>
      </c>
      <c r="EV31" s="88">
        <f t="shared" si="77"/>
        <v>15.759800504933166</v>
      </c>
      <c r="EX31" s="63" t="s">
        <v>2</v>
      </c>
      <c r="EY31" s="63" t="s">
        <v>55</v>
      </c>
      <c r="EZ31" s="68">
        <v>65636</v>
      </c>
      <c r="FA31" s="68">
        <v>64563</v>
      </c>
      <c r="FB31" s="65">
        <f t="shared" si="66"/>
        <v>-1.6347735998537387</v>
      </c>
      <c r="FC31" s="68">
        <v>49804</v>
      </c>
      <c r="FD31" s="68">
        <v>64563</v>
      </c>
      <c r="FE31" s="65">
        <f t="shared" si="67"/>
        <v>29.634165930447352</v>
      </c>
      <c r="FF31" s="73"/>
    </row>
    <row r="32" spans="1:162" x14ac:dyDescent="0.5">
      <c r="A32" s="168"/>
      <c r="B32" s="168" t="s">
        <v>56</v>
      </c>
      <c r="C32" s="170">
        <v>45553.256320619999</v>
      </c>
      <c r="D32" s="166">
        <v>55776.04127989</v>
      </c>
      <c r="E32" s="167">
        <f t="shared" si="44"/>
        <v>22.441392306443273</v>
      </c>
      <c r="F32" s="170">
        <v>52855.989161615173</v>
      </c>
      <c r="G32" s="166">
        <v>55776.04127989</v>
      </c>
      <c r="H32" s="167">
        <f>((G32-F32)/F32)*100</f>
        <v>5.5245435088658095</v>
      </c>
      <c r="I32" s="168"/>
      <c r="J32" s="168" t="s">
        <v>56</v>
      </c>
      <c r="K32" s="170">
        <v>60334.038345633402</v>
      </c>
      <c r="L32" s="170">
        <v>52855.989161615202</v>
      </c>
      <c r="M32" s="167">
        <f t="shared" si="46"/>
        <v>-12.394411826337521</v>
      </c>
      <c r="N32" s="170">
        <v>62451.335218710039</v>
      </c>
      <c r="O32" s="170">
        <v>52855.989161615173</v>
      </c>
      <c r="P32" s="167">
        <f>((O32-N32)/N32)*100</f>
        <v>-15.364517065153411</v>
      </c>
      <c r="Q32" s="168"/>
      <c r="R32" s="168" t="s">
        <v>56</v>
      </c>
      <c r="S32" s="170">
        <v>60214.845563059913</v>
      </c>
      <c r="T32" s="170">
        <v>62451.335218710039</v>
      </c>
      <c r="U32" s="167">
        <f t="shared" si="48"/>
        <v>3.7141831632001208</v>
      </c>
      <c r="V32" s="170">
        <v>67505.674636270007</v>
      </c>
      <c r="W32" s="170">
        <v>62451.335218710039</v>
      </c>
      <c r="X32" s="167">
        <f>((W32-V32)/V32)*100</f>
        <v>-7.4872808023821014</v>
      </c>
      <c r="Y32" s="168"/>
      <c r="Z32" s="168" t="s">
        <v>56</v>
      </c>
      <c r="AA32" s="170">
        <v>49361.705017200307</v>
      </c>
      <c r="AB32" s="170">
        <v>67505.674636270007</v>
      </c>
      <c r="AC32" s="167">
        <f t="shared" si="50"/>
        <v>36.757177680040328</v>
      </c>
      <c r="AD32" s="170">
        <v>44777.9</v>
      </c>
      <c r="AE32" s="170">
        <v>67505.674636270007</v>
      </c>
      <c r="AF32" s="167">
        <f>((AE32-AD32)/AD32)*100</f>
        <v>50.756678263764051</v>
      </c>
      <c r="AG32" s="168"/>
      <c r="AH32" s="168" t="s">
        <v>56</v>
      </c>
      <c r="AI32" s="170">
        <v>35737.017799391004</v>
      </c>
      <c r="AJ32" s="170">
        <v>44777.9</v>
      </c>
      <c r="AK32" s="167">
        <f t="shared" si="52"/>
        <v>25.298367791514671</v>
      </c>
      <c r="AL32" s="170">
        <v>36762.176140270407</v>
      </c>
      <c r="AM32" s="170">
        <v>44777.9</v>
      </c>
      <c r="AN32" s="167">
        <f>((AM32-AL32)/AL32)*100</f>
        <v>21.804269228091005</v>
      </c>
      <c r="AO32" s="168"/>
      <c r="AP32" s="168" t="s">
        <v>56</v>
      </c>
      <c r="AQ32" s="170">
        <v>34628.991807272498</v>
      </c>
      <c r="AR32" s="170">
        <v>36762.176140270407</v>
      </c>
      <c r="AS32" s="167">
        <f t="shared" si="54"/>
        <v>6.1601109985244076</v>
      </c>
      <c r="AT32" s="170">
        <v>51707.21</v>
      </c>
      <c r="AU32" s="170">
        <v>36762.176140270407</v>
      </c>
      <c r="AV32" s="167">
        <f>((AU32-AT32)/AT32)*100</f>
        <v>-28.903191372595028</v>
      </c>
      <c r="AW32" s="168"/>
      <c r="AX32" s="168" t="s">
        <v>56</v>
      </c>
      <c r="AY32" s="170">
        <v>45694.975384646401</v>
      </c>
      <c r="AZ32" s="170">
        <v>51707.21</v>
      </c>
      <c r="BA32" s="167">
        <f t="shared" si="56"/>
        <v>13.15732105060663</v>
      </c>
      <c r="BB32" s="170">
        <v>54403.22</v>
      </c>
      <c r="BC32" s="170">
        <v>51707.21</v>
      </c>
      <c r="BD32" s="167">
        <f>((BC32-BB32)/BB32)*100</f>
        <v>-4.9556074070615708</v>
      </c>
      <c r="BE32" s="168"/>
      <c r="BF32" s="168" t="s">
        <v>56</v>
      </c>
      <c r="BG32" s="170">
        <v>55727.22</v>
      </c>
      <c r="BH32" s="170">
        <v>54403.22</v>
      </c>
      <c r="BI32" s="167">
        <f t="shared" si="58"/>
        <v>-2.3758586916770654</v>
      </c>
      <c r="BJ32" s="170">
        <v>63669.120000000003</v>
      </c>
      <c r="BK32" s="170">
        <v>54403.22</v>
      </c>
      <c r="BL32" s="167">
        <f>((BK32-BJ32)/BJ32)*100</f>
        <v>-14.553208839701256</v>
      </c>
      <c r="BM32" s="168"/>
      <c r="BN32" s="168" t="s">
        <v>56</v>
      </c>
      <c r="BO32" s="170">
        <v>54209.27</v>
      </c>
      <c r="BP32" s="170">
        <v>63669.120000000003</v>
      </c>
      <c r="BQ32" s="167">
        <f t="shared" si="78"/>
        <v>17.450613151588293</v>
      </c>
      <c r="BR32" s="170">
        <v>58763.9</v>
      </c>
      <c r="BS32" s="170">
        <v>63669.120000000003</v>
      </c>
      <c r="BT32" s="167">
        <f t="shared" si="60"/>
        <v>8.3473356941932053</v>
      </c>
      <c r="BU32" s="73"/>
      <c r="BV32" s="168" t="s">
        <v>56</v>
      </c>
      <c r="BW32" s="170">
        <v>51047.3</v>
      </c>
      <c r="BX32" s="170">
        <v>58763.9</v>
      </c>
      <c r="BY32" s="167">
        <f t="shared" si="79"/>
        <v>15.116568359149257</v>
      </c>
      <c r="BZ32" s="170">
        <v>64538.61</v>
      </c>
      <c r="CA32" s="170">
        <v>58763.9</v>
      </c>
      <c r="CB32" s="167">
        <f t="shared" si="61"/>
        <v>-8.9476826352473342</v>
      </c>
      <c r="CC32" s="73"/>
      <c r="CD32" s="168"/>
      <c r="CE32" s="168" t="s">
        <v>56</v>
      </c>
      <c r="CF32" s="170">
        <v>52859.77</v>
      </c>
      <c r="CG32" s="170">
        <v>64538.61</v>
      </c>
      <c r="CH32" s="167">
        <f t="shared" si="80"/>
        <v>22.09400457096201</v>
      </c>
      <c r="CI32" s="170">
        <v>44968.07</v>
      </c>
      <c r="CJ32" s="170">
        <v>64538.61</v>
      </c>
      <c r="CK32" s="167">
        <f t="shared" si="62"/>
        <v>43.520969434534329</v>
      </c>
      <c r="CL32" s="73"/>
      <c r="CM32" s="168"/>
      <c r="CN32" s="168" t="s">
        <v>56</v>
      </c>
      <c r="CO32" s="170">
        <v>42822.7</v>
      </c>
      <c r="CP32" s="170">
        <v>43802.32</v>
      </c>
      <c r="CQ32" s="167">
        <f t="shared" si="81"/>
        <v>2.2876184827206192</v>
      </c>
      <c r="CR32" s="170">
        <v>53346.879999999997</v>
      </c>
      <c r="CS32" s="170">
        <v>43802.32</v>
      </c>
      <c r="CT32" s="167">
        <f t="shared" si="63"/>
        <v>-17.891505557588371</v>
      </c>
      <c r="CU32" s="73"/>
      <c r="CV32" s="226"/>
      <c r="CW32" s="226" t="s">
        <v>56</v>
      </c>
      <c r="CX32" s="228">
        <v>48433.55</v>
      </c>
      <c r="CY32" s="228">
        <v>53346.879999999997</v>
      </c>
      <c r="CZ32" s="225">
        <f t="shared" si="68"/>
        <v>10.144476297938091</v>
      </c>
      <c r="DA32" s="228">
        <v>48884.08</v>
      </c>
      <c r="DB32" s="228">
        <v>53346.879999999997</v>
      </c>
      <c r="DC32" s="225">
        <f t="shared" si="69"/>
        <v>9.1293525417681902</v>
      </c>
      <c r="DD32" s="73"/>
      <c r="DE32" s="152"/>
      <c r="DF32" s="152" t="s">
        <v>56</v>
      </c>
      <c r="DG32" s="149">
        <v>41360.269999999997</v>
      </c>
      <c r="DH32" s="149">
        <v>47245.120000000003</v>
      </c>
      <c r="DI32" s="151">
        <f t="shared" si="70"/>
        <v>14.228267852216646</v>
      </c>
      <c r="DJ32" s="149">
        <v>57138.73</v>
      </c>
      <c r="DK32" s="149">
        <v>47245.120000000003</v>
      </c>
      <c r="DL32" s="151">
        <f t="shared" si="71"/>
        <v>-17.315068080792134</v>
      </c>
      <c r="DM32" s="73"/>
      <c r="DN32" s="152"/>
      <c r="DO32" s="152" t="s">
        <v>56</v>
      </c>
      <c r="DP32" s="149">
        <v>31671.74</v>
      </c>
      <c r="DQ32" s="149">
        <v>57138.73</v>
      </c>
      <c r="DR32" s="151">
        <f t="shared" si="72"/>
        <v>80.409191285354069</v>
      </c>
      <c r="DS32" s="149">
        <v>37015.199999999997</v>
      </c>
      <c r="DT32" s="149">
        <v>57138.73</v>
      </c>
      <c r="DU32" s="151">
        <f t="shared" si="73"/>
        <v>54.365584948885882</v>
      </c>
      <c r="DV32" s="73"/>
      <c r="DW32" s="89"/>
      <c r="DX32" s="89" t="s">
        <v>56</v>
      </c>
      <c r="DY32" s="93">
        <v>34943.42</v>
      </c>
      <c r="DZ32" s="93">
        <v>37015.199999999997</v>
      </c>
      <c r="EA32" s="129">
        <f t="shared" si="74"/>
        <v>5.9289560094575711</v>
      </c>
      <c r="EB32" s="93">
        <v>23923.51</v>
      </c>
      <c r="EC32" s="93">
        <v>37015.199999999997</v>
      </c>
      <c r="ED32" s="129">
        <f t="shared" si="75"/>
        <v>54.723115462572167</v>
      </c>
      <c r="EE32" s="130"/>
      <c r="EF32" s="42"/>
      <c r="EG32" s="42" t="s">
        <v>56</v>
      </c>
      <c r="EH32" s="66">
        <v>20840.29</v>
      </c>
      <c r="EI32" s="66">
        <v>23923.51</v>
      </c>
      <c r="EJ32" s="44">
        <f t="shared" si="64"/>
        <v>14.794515815278949</v>
      </c>
      <c r="EK32" s="66">
        <v>34156.85</v>
      </c>
      <c r="EL32" s="66">
        <v>23923.51</v>
      </c>
      <c r="EM32" s="44">
        <f t="shared" si="65"/>
        <v>-29.959846999942911</v>
      </c>
      <c r="EN32" s="61"/>
      <c r="EO32" s="89"/>
      <c r="EP32" s="89" t="s">
        <v>56</v>
      </c>
      <c r="EQ32" s="93">
        <v>32880.82</v>
      </c>
      <c r="ER32" s="93">
        <v>34156.85</v>
      </c>
      <c r="ES32" s="91">
        <f t="shared" si="76"/>
        <v>3.8807730464142889</v>
      </c>
      <c r="ET32" s="94">
        <v>28910.880000000001</v>
      </c>
      <c r="EU32" s="93">
        <v>34156.85</v>
      </c>
      <c r="EV32" s="91">
        <f>((EU32-ET32)/ET32)*100</f>
        <v>18.145314151627336</v>
      </c>
      <c r="EX32" s="42"/>
      <c r="EY32" s="42" t="s">
        <v>56</v>
      </c>
      <c r="EZ32" s="66">
        <v>28888.65</v>
      </c>
      <c r="FA32" s="66">
        <v>28910.880000000001</v>
      </c>
      <c r="FB32" s="44">
        <f t="shared" si="66"/>
        <v>7.6950636322568072E-2</v>
      </c>
      <c r="FC32" s="67">
        <v>22397.3</v>
      </c>
      <c r="FD32" s="66">
        <v>28910.880000000001</v>
      </c>
      <c r="FE32" s="44">
        <f t="shared" si="67"/>
        <v>29.081987561000666</v>
      </c>
      <c r="FF32" s="61"/>
    </row>
    <row r="33" spans="22:142" x14ac:dyDescent="0.5">
      <c r="V33" s="97"/>
      <c r="EC33" s="97"/>
      <c r="EL33" s="97"/>
    </row>
  </sheetData>
  <phoneticPr fontId="10" type="noConversion"/>
  <pageMargins left="0.74803149606299213" right="0.23622047244094491" top="0.78740157480314965" bottom="0.98425196850393704" header="0.51181102362204722" footer="0.51181102362204722"/>
  <pageSetup paperSize="9" scale="109" orientation="portrait" r:id="rId1"/>
  <headerFooter alignWithMargins="0"/>
  <colBreaks count="5" manualBreakCount="5">
    <brk id="24" max="29" man="1"/>
    <brk id="82" max="27" man="1"/>
    <brk id="91" max="27" man="1"/>
    <brk id="100" max="27" man="1"/>
    <brk id="109" max="2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X33"/>
  <sheetViews>
    <sheetView view="pageBreakPreview" topLeftCell="A19" zoomScale="110" zoomScaleSheetLayoutView="110" workbookViewId="0">
      <selection activeCell="D21" sqref="D21:D32"/>
    </sheetView>
  </sheetViews>
  <sheetFormatPr defaultRowHeight="21.75" x14ac:dyDescent="0.5"/>
  <cols>
    <col min="2" max="2" width="25" customWidth="1"/>
    <col min="10" max="10" width="25" customWidth="1"/>
    <col min="18" max="18" width="22.5703125" customWidth="1"/>
    <col min="26" max="26" width="23" customWidth="1"/>
    <col min="34" max="34" width="23.140625" customWidth="1"/>
    <col min="42" max="42" width="22.42578125" customWidth="1"/>
    <col min="43" max="45" width="12.140625" customWidth="1"/>
    <col min="46" max="46" width="11.42578125" customWidth="1"/>
    <col min="47" max="47" width="9.85546875" customWidth="1"/>
    <col min="48" max="48" width="10.5703125" customWidth="1"/>
    <col min="50" max="50" width="23.5703125" customWidth="1"/>
    <col min="52" max="52" width="13.140625" customWidth="1"/>
    <col min="53" max="53" width="12.140625" customWidth="1"/>
    <col min="56" max="56" width="10.5703125" customWidth="1"/>
    <col min="58" max="58" width="23.5703125" customWidth="1"/>
    <col min="67" max="67" width="22.42578125" customWidth="1"/>
    <col min="71" max="75" width="9.140625" customWidth="1"/>
    <col min="87" max="87" width="12.42578125" customWidth="1"/>
    <col min="89" max="89" width="10.28515625" bestFit="1" customWidth="1"/>
    <col min="91" max="91" width="11" bestFit="1" customWidth="1"/>
    <col min="92" max="92" width="11.28515625" customWidth="1"/>
    <col min="94" max="94" width="9.140625" customWidth="1"/>
    <col min="96" max="96" width="12.42578125" customWidth="1"/>
    <col min="103" max="103" width="9.140625" customWidth="1"/>
    <col min="105" max="105" width="12.42578125" customWidth="1"/>
    <col min="112" max="112" width="9.140625" customWidth="1"/>
    <col min="114" max="114" width="12.42578125" customWidth="1"/>
    <col min="121" max="121" width="9.140625" customWidth="1"/>
    <col min="123" max="123" width="12.42578125" customWidth="1"/>
    <col min="125" max="125" width="10.140625" bestFit="1" customWidth="1"/>
    <col min="130" max="130" width="9.140625" customWidth="1"/>
    <col min="132" max="132" width="12.42578125" customWidth="1"/>
    <col min="139" max="139" width="9.140625" customWidth="1"/>
    <col min="141" max="141" width="12.42578125" customWidth="1"/>
    <col min="148" max="148" width="9.140625" customWidth="1"/>
    <col min="150" max="150" width="12.42578125" customWidth="1"/>
    <col min="157" max="157" width="9.140625" customWidth="1"/>
  </cols>
  <sheetData>
    <row r="1" spans="1:180" x14ac:dyDescent="0.5">
      <c r="C1" s="62" t="s">
        <v>880</v>
      </c>
      <c r="K1" s="62" t="s">
        <v>837</v>
      </c>
      <c r="S1" s="62" t="s">
        <v>788</v>
      </c>
      <c r="AA1" s="62" t="s">
        <v>739</v>
      </c>
      <c r="AI1" s="62" t="s">
        <v>697</v>
      </c>
      <c r="AQ1" s="62" t="s">
        <v>696</v>
      </c>
      <c r="AY1" s="62" t="s">
        <v>601</v>
      </c>
      <c r="BG1" s="62" t="s">
        <v>556</v>
      </c>
      <c r="BO1" s="62" t="s">
        <v>511</v>
      </c>
      <c r="BX1" s="62" t="s">
        <v>454</v>
      </c>
      <c r="CH1" s="62" t="s">
        <v>404</v>
      </c>
      <c r="CR1" t="s">
        <v>361</v>
      </c>
      <c r="DA1" t="s">
        <v>307</v>
      </c>
      <c r="DJ1" t="s">
        <v>269</v>
      </c>
      <c r="DS1" t="s">
        <v>225</v>
      </c>
      <c r="EB1" t="s">
        <v>190</v>
      </c>
      <c r="EK1" t="s">
        <v>154</v>
      </c>
      <c r="ET1" t="s">
        <v>112</v>
      </c>
      <c r="FC1" t="s">
        <v>70</v>
      </c>
      <c r="FK1" s="33" t="s">
        <v>26</v>
      </c>
      <c r="FR1" s="33" t="s">
        <v>24</v>
      </c>
    </row>
    <row r="2" spans="1:180" x14ac:dyDescent="0.5">
      <c r="A2" s="257"/>
      <c r="B2" s="257"/>
      <c r="C2" s="324" t="s">
        <v>876</v>
      </c>
      <c r="D2" s="324" t="s">
        <v>879</v>
      </c>
      <c r="E2" s="325" t="s">
        <v>3</v>
      </c>
      <c r="F2" s="324" t="s">
        <v>840</v>
      </c>
      <c r="G2" s="324" t="s">
        <v>879</v>
      </c>
      <c r="H2" s="325" t="s">
        <v>3</v>
      </c>
      <c r="I2" s="257"/>
      <c r="J2" s="257"/>
      <c r="K2" s="324" t="s">
        <v>836</v>
      </c>
      <c r="L2" s="324" t="s">
        <v>840</v>
      </c>
      <c r="M2" s="325" t="s">
        <v>3</v>
      </c>
      <c r="N2" s="324" t="s">
        <v>841</v>
      </c>
      <c r="O2" s="324" t="s">
        <v>840</v>
      </c>
      <c r="P2" s="325" t="s">
        <v>3</v>
      </c>
      <c r="Q2" s="257"/>
      <c r="R2" s="257"/>
      <c r="S2" s="324" t="s">
        <v>784</v>
      </c>
      <c r="T2" s="324" t="s">
        <v>790</v>
      </c>
      <c r="U2" s="325" t="s">
        <v>3</v>
      </c>
      <c r="V2" s="324" t="s">
        <v>791</v>
      </c>
      <c r="W2" s="324" t="s">
        <v>740</v>
      </c>
      <c r="X2" s="325" t="s">
        <v>3</v>
      </c>
      <c r="Y2" s="257"/>
      <c r="Z2" s="257"/>
      <c r="AA2" s="324" t="s">
        <v>738</v>
      </c>
      <c r="AB2" s="324" t="s">
        <v>740</v>
      </c>
      <c r="AC2" s="325" t="s">
        <v>3</v>
      </c>
      <c r="AD2" s="324" t="s">
        <v>741</v>
      </c>
      <c r="AE2" s="324" t="s">
        <v>740</v>
      </c>
      <c r="AF2" s="325" t="s">
        <v>3</v>
      </c>
      <c r="AG2" s="257"/>
      <c r="AH2" s="257"/>
      <c r="AI2" s="324" t="s">
        <v>695</v>
      </c>
      <c r="AJ2" s="324" t="s">
        <v>698</v>
      </c>
      <c r="AK2" s="325" t="s">
        <v>3</v>
      </c>
      <c r="AL2" s="324" t="s">
        <v>699</v>
      </c>
      <c r="AM2" s="324" t="s">
        <v>698</v>
      </c>
      <c r="AN2" s="325" t="s">
        <v>3</v>
      </c>
      <c r="AO2" s="257"/>
      <c r="AP2" s="257"/>
      <c r="AQ2" s="324" t="s">
        <v>649</v>
      </c>
      <c r="AR2" s="324" t="s">
        <v>650</v>
      </c>
      <c r="AS2" s="325" t="s">
        <v>3</v>
      </c>
      <c r="AT2" s="324" t="s">
        <v>651</v>
      </c>
      <c r="AU2" s="324" t="s">
        <v>650</v>
      </c>
      <c r="AV2" s="325" t="s">
        <v>3</v>
      </c>
      <c r="AW2" s="257"/>
      <c r="AX2" s="257"/>
      <c r="AY2" s="324" t="s">
        <v>598</v>
      </c>
      <c r="AZ2" s="324" t="s">
        <v>603</v>
      </c>
      <c r="BA2" s="325" t="s">
        <v>3</v>
      </c>
      <c r="BB2" s="324" t="s">
        <v>604</v>
      </c>
      <c r="BC2" s="324" t="s">
        <v>603</v>
      </c>
      <c r="BD2" s="325" t="s">
        <v>3</v>
      </c>
      <c r="BE2" s="257"/>
      <c r="BF2" s="257"/>
      <c r="BG2" s="324" t="s">
        <v>555</v>
      </c>
      <c r="BH2" s="324" t="s">
        <v>558</v>
      </c>
      <c r="BI2" s="325" t="s">
        <v>3</v>
      </c>
      <c r="BJ2" s="324" t="s">
        <v>559</v>
      </c>
      <c r="BK2" s="324" t="s">
        <v>558</v>
      </c>
      <c r="BL2" s="325" t="s">
        <v>3</v>
      </c>
      <c r="BM2" s="257"/>
      <c r="BN2" s="257"/>
      <c r="BO2" s="324" t="s">
        <v>508</v>
      </c>
      <c r="BP2" s="324" t="s">
        <v>512</v>
      </c>
      <c r="BQ2" s="325" t="s">
        <v>3</v>
      </c>
      <c r="BR2" s="324" t="s">
        <v>456</v>
      </c>
      <c r="BS2" s="324" t="s">
        <v>512</v>
      </c>
      <c r="BT2" s="325" t="s">
        <v>3</v>
      </c>
      <c r="BU2" s="257"/>
      <c r="BV2" s="257"/>
      <c r="BW2" s="257"/>
      <c r="BX2" s="324" t="s">
        <v>452</v>
      </c>
      <c r="BY2" s="324" t="s">
        <v>456</v>
      </c>
      <c r="BZ2" s="325" t="s">
        <v>3</v>
      </c>
      <c r="CA2" s="324" t="s">
        <v>457</v>
      </c>
      <c r="CB2" s="324" t="s">
        <v>456</v>
      </c>
      <c r="CC2" s="325" t="s">
        <v>3</v>
      </c>
      <c r="CD2" s="257"/>
      <c r="CF2" s="257"/>
      <c r="CG2" s="257"/>
      <c r="CH2" s="259" t="s">
        <v>399</v>
      </c>
      <c r="CI2" s="259" t="s">
        <v>403</v>
      </c>
      <c r="CJ2" s="257" t="s">
        <v>3</v>
      </c>
      <c r="CK2" s="259" t="s">
        <v>363</v>
      </c>
      <c r="CL2" s="259" t="s">
        <v>403</v>
      </c>
      <c r="CM2" s="257" t="s">
        <v>3</v>
      </c>
      <c r="CN2" s="257"/>
      <c r="CO2" s="62"/>
      <c r="CP2" s="257"/>
      <c r="CQ2" s="257"/>
      <c r="CR2" s="259" t="s">
        <v>359</v>
      </c>
      <c r="CS2" s="259" t="s">
        <v>363</v>
      </c>
      <c r="CT2" s="257" t="s">
        <v>3</v>
      </c>
      <c r="CU2" s="259" t="s">
        <v>309</v>
      </c>
      <c r="CV2" s="259" t="s">
        <v>363</v>
      </c>
      <c r="CW2" s="257" t="s">
        <v>3</v>
      </c>
      <c r="CX2" s="62"/>
      <c r="CY2" s="236"/>
      <c r="CZ2" s="236"/>
      <c r="DA2" s="237" t="s">
        <v>305</v>
      </c>
      <c r="DB2" s="237" t="s">
        <v>309</v>
      </c>
      <c r="DC2" s="236" t="s">
        <v>3</v>
      </c>
      <c r="DD2" s="237" t="s">
        <v>271</v>
      </c>
      <c r="DE2" s="237" t="s">
        <v>310</v>
      </c>
      <c r="DF2" s="236" t="s">
        <v>3</v>
      </c>
      <c r="DG2" s="62"/>
      <c r="DH2" s="98"/>
      <c r="DI2" s="98"/>
      <c r="DJ2" s="143" t="s">
        <v>267</v>
      </c>
      <c r="DK2" s="143" t="s">
        <v>271</v>
      </c>
      <c r="DL2" s="98" t="s">
        <v>3</v>
      </c>
      <c r="DM2" s="145" t="s">
        <v>226</v>
      </c>
      <c r="DN2" s="143" t="s">
        <v>271</v>
      </c>
      <c r="DO2" s="98" t="s">
        <v>3</v>
      </c>
      <c r="DP2" s="62"/>
      <c r="DQ2" s="98"/>
      <c r="DR2" s="98"/>
      <c r="DS2" s="143" t="s">
        <v>224</v>
      </c>
      <c r="DT2" s="143" t="s">
        <v>226</v>
      </c>
      <c r="DU2" s="98" t="s">
        <v>3</v>
      </c>
      <c r="DV2" s="145" t="s">
        <v>192</v>
      </c>
      <c r="DW2" s="143" t="s">
        <v>226</v>
      </c>
      <c r="DX2" s="98" t="s">
        <v>3</v>
      </c>
      <c r="DY2" s="62"/>
      <c r="DZ2" s="118"/>
      <c r="EA2" s="118"/>
      <c r="EB2" s="119" t="s">
        <v>189</v>
      </c>
      <c r="EC2" s="131" t="s">
        <v>192</v>
      </c>
      <c r="ED2" s="118" t="s">
        <v>3</v>
      </c>
      <c r="EE2" s="119" t="s">
        <v>156</v>
      </c>
      <c r="EF2" s="119" t="s">
        <v>192</v>
      </c>
      <c r="EG2" s="118" t="s">
        <v>3</v>
      </c>
      <c r="EH2" s="62"/>
      <c r="EI2" s="98"/>
      <c r="EJ2" s="98"/>
      <c r="EK2" s="99" t="s">
        <v>151</v>
      </c>
      <c r="EL2" s="99" t="s">
        <v>156</v>
      </c>
      <c r="EM2" s="98" t="s">
        <v>3</v>
      </c>
      <c r="EN2" s="99" t="s">
        <v>114</v>
      </c>
      <c r="EO2" s="99" t="s">
        <v>156</v>
      </c>
      <c r="EP2" s="98" t="s">
        <v>3</v>
      </c>
      <c r="EQ2" s="62"/>
      <c r="ER2" s="84"/>
      <c r="ES2" s="84"/>
      <c r="ET2" s="85" t="s">
        <v>110</v>
      </c>
      <c r="EU2" s="85" t="s">
        <v>114</v>
      </c>
      <c r="EV2" s="84" t="s">
        <v>3</v>
      </c>
      <c r="EW2" s="85" t="s">
        <v>115</v>
      </c>
      <c r="EX2" s="85" t="s">
        <v>114</v>
      </c>
      <c r="EY2" s="84" t="s">
        <v>3</v>
      </c>
      <c r="EZ2" s="62"/>
      <c r="FA2" s="54"/>
      <c r="FB2" s="54"/>
      <c r="FC2" s="55">
        <v>18445</v>
      </c>
      <c r="FD2" s="55">
        <v>18476</v>
      </c>
      <c r="FE2" s="54" t="s">
        <v>3</v>
      </c>
      <c r="FF2" s="55">
        <v>18111</v>
      </c>
      <c r="FG2" s="55">
        <v>18476</v>
      </c>
      <c r="FH2" s="54" t="s">
        <v>3</v>
      </c>
      <c r="FI2" s="62"/>
      <c r="FJ2" s="29"/>
      <c r="FK2" s="30">
        <v>18080</v>
      </c>
      <c r="FL2" s="30">
        <v>18111</v>
      </c>
      <c r="FM2" s="29" t="s">
        <v>3</v>
      </c>
      <c r="FN2" s="30">
        <v>17746</v>
      </c>
      <c r="FO2" s="30">
        <v>18111</v>
      </c>
      <c r="FP2" s="29" t="s">
        <v>3</v>
      </c>
      <c r="FR2" s="38"/>
      <c r="FS2" s="39">
        <v>17715</v>
      </c>
      <c r="FT2" s="39">
        <v>17746</v>
      </c>
      <c r="FU2" s="38" t="s">
        <v>3</v>
      </c>
      <c r="FV2" s="39">
        <v>17380</v>
      </c>
      <c r="FW2" s="39">
        <v>17746</v>
      </c>
      <c r="FX2" s="38" t="s">
        <v>3</v>
      </c>
    </row>
    <row r="3" spans="1:180" x14ac:dyDescent="0.5">
      <c r="A3" s="247" t="s">
        <v>0</v>
      </c>
      <c r="B3" s="247"/>
      <c r="C3" s="248">
        <v>165235</v>
      </c>
      <c r="D3" s="248">
        <v>150973</v>
      </c>
      <c r="E3" s="249">
        <f t="shared" ref="E3:E8" si="0">((D3-C3)/C3)*100</f>
        <v>-8.6313432384180118</v>
      </c>
      <c r="F3" s="248">
        <v>144244</v>
      </c>
      <c r="G3" s="248">
        <v>150973</v>
      </c>
      <c r="H3" s="249">
        <f>((G3-F3)/F3)*100</f>
        <v>4.66501206289343</v>
      </c>
      <c r="I3" s="247" t="s">
        <v>0</v>
      </c>
      <c r="J3" s="247"/>
      <c r="K3" s="248">
        <v>150947</v>
      </c>
      <c r="L3" s="248">
        <v>144244</v>
      </c>
      <c r="M3" s="249">
        <f t="shared" ref="M3:M8" si="1">((L3-K3)/K3)*100</f>
        <v>-4.4406314799234163</v>
      </c>
      <c r="N3" s="248">
        <v>171270</v>
      </c>
      <c r="O3" s="248">
        <v>144244</v>
      </c>
      <c r="P3" s="249">
        <f>((O3-N3)/N3)*100</f>
        <v>-15.779762947393007</v>
      </c>
      <c r="Q3" s="247" t="s">
        <v>0</v>
      </c>
      <c r="R3" s="247"/>
      <c r="S3" s="285">
        <v>170123</v>
      </c>
      <c r="T3" s="248">
        <v>171270</v>
      </c>
      <c r="U3" s="249">
        <f>((T3-S3)/S3)*100</f>
        <v>0.67421806575242615</v>
      </c>
      <c r="V3" s="248">
        <v>189707</v>
      </c>
      <c r="W3" s="248">
        <v>171270</v>
      </c>
      <c r="X3" s="249">
        <f>((W3-V3)/V3)*100</f>
        <v>-9.7186714248815278</v>
      </c>
      <c r="Y3" s="247" t="s">
        <v>0</v>
      </c>
      <c r="Z3" s="247"/>
      <c r="AA3" s="285">
        <v>153170</v>
      </c>
      <c r="AB3" s="248">
        <v>189707</v>
      </c>
      <c r="AC3" s="249">
        <f>((AB3-AA3)/AA3)*100</f>
        <v>23.853887837043807</v>
      </c>
      <c r="AD3" s="248">
        <v>80474</v>
      </c>
      <c r="AE3" s="248">
        <v>189707</v>
      </c>
      <c r="AF3" s="249">
        <f>((AE3-AD3)/AD3)*100</f>
        <v>135.73700822625941</v>
      </c>
      <c r="AG3" s="247" t="s">
        <v>0</v>
      </c>
      <c r="AH3" s="247"/>
      <c r="AI3" s="285">
        <v>83690</v>
      </c>
      <c r="AJ3" s="248">
        <v>80474</v>
      </c>
      <c r="AK3" s="249">
        <f>((AJ3-AI3)/AI3)*100</f>
        <v>-3.842753017086868</v>
      </c>
      <c r="AL3" s="248">
        <v>137847</v>
      </c>
      <c r="AM3" s="248">
        <v>80474</v>
      </c>
      <c r="AN3" s="249">
        <f>((AM3-AL3)/AL3)*100</f>
        <v>-41.620782461714803</v>
      </c>
      <c r="AO3" s="247" t="s">
        <v>0</v>
      </c>
      <c r="AP3" s="247"/>
      <c r="AQ3" s="285">
        <v>119008</v>
      </c>
      <c r="AR3" s="248">
        <v>137847</v>
      </c>
      <c r="AS3" s="249">
        <f>((AR3-AQ3)/AQ3)*100</f>
        <v>15.830028233396073</v>
      </c>
      <c r="AT3" s="248">
        <v>156488</v>
      </c>
      <c r="AU3" s="248">
        <v>137847</v>
      </c>
      <c r="AV3" s="249">
        <f>((AU3-AT3)/AT3)*100</f>
        <v>-11.91209549614028</v>
      </c>
      <c r="AW3" s="247" t="s">
        <v>0</v>
      </c>
      <c r="AX3" s="247"/>
      <c r="AY3" s="285">
        <v>156055</v>
      </c>
      <c r="AZ3" s="248">
        <v>156488</v>
      </c>
      <c r="BA3" s="249">
        <f>((AZ3-AY3)/AY3)*100</f>
        <v>0.27746627791483769</v>
      </c>
      <c r="BB3" s="248">
        <v>172576</v>
      </c>
      <c r="BC3" s="248">
        <v>156488</v>
      </c>
      <c r="BD3" s="249">
        <f>((BC3-BB3)/BB3)*100</f>
        <v>-9.3222696087520855</v>
      </c>
      <c r="BE3" s="247" t="s">
        <v>0</v>
      </c>
      <c r="BF3" s="247"/>
      <c r="BG3" s="285">
        <v>172157</v>
      </c>
      <c r="BH3" s="248">
        <v>172576</v>
      </c>
      <c r="BI3" s="249">
        <f>((BH3-BG3)/BG3)*100</f>
        <v>0.24338249388639438</v>
      </c>
      <c r="BJ3" s="248">
        <v>169547</v>
      </c>
      <c r="BK3" s="248">
        <v>172576</v>
      </c>
      <c r="BL3" s="249">
        <f>((BK3-BJ3)/BJ3)*100</f>
        <v>1.7865252702790375</v>
      </c>
      <c r="BM3" s="247" t="s">
        <v>0</v>
      </c>
      <c r="BN3" s="247"/>
      <c r="BO3" s="248">
        <v>171526</v>
      </c>
      <c r="BP3" s="248">
        <v>169547</v>
      </c>
      <c r="BQ3" s="249">
        <f>((BP3-BO3)/BO3)*100</f>
        <v>-1.1537609458624349</v>
      </c>
      <c r="BR3" s="248">
        <v>169055</v>
      </c>
      <c r="BS3" s="248">
        <v>169547</v>
      </c>
      <c r="BT3" s="249">
        <f>((BS3-BR3)/BR3)*100</f>
        <v>0.29102954659726121</v>
      </c>
      <c r="BU3" s="249"/>
      <c r="BV3" s="247" t="s">
        <v>0</v>
      </c>
      <c r="BW3" s="247"/>
      <c r="BX3" s="248">
        <v>142516</v>
      </c>
      <c r="BY3" s="248">
        <v>169055</v>
      </c>
      <c r="BZ3" s="249">
        <f>((BY3-BX3)/BX3)*100</f>
        <v>18.621768783855845</v>
      </c>
      <c r="CA3" s="248">
        <v>130219</v>
      </c>
      <c r="CB3" s="248">
        <v>169055</v>
      </c>
      <c r="CC3" s="249">
        <f>((CB3-CA3)/CA3)*100</f>
        <v>29.823604850290664</v>
      </c>
      <c r="CD3" s="249"/>
      <c r="CF3" s="247" t="s">
        <v>0</v>
      </c>
      <c r="CG3" s="247"/>
      <c r="CH3" s="248">
        <v>125941</v>
      </c>
      <c r="CI3" s="248">
        <v>130219</v>
      </c>
      <c r="CJ3" s="249">
        <f>((CI3-CH3)/CH3)*100</f>
        <v>3.3968286737440545</v>
      </c>
      <c r="CK3" s="248">
        <f>SUM(CK4:CK5)</f>
        <v>141308</v>
      </c>
      <c r="CL3" s="248">
        <v>130219</v>
      </c>
      <c r="CM3" s="249">
        <f>((CL3-CK3)/CK3)*100</f>
        <v>-7.8473971749653249</v>
      </c>
      <c r="CN3" s="249"/>
      <c r="CO3" s="73"/>
      <c r="CP3" s="247" t="s">
        <v>0</v>
      </c>
      <c r="CQ3" s="247"/>
      <c r="CR3" s="248">
        <f>SUM(CR4:CR5)</f>
        <v>141309</v>
      </c>
      <c r="CS3" s="248">
        <f>SUM(CS4:CS5)</f>
        <v>141308</v>
      </c>
      <c r="CT3" s="249">
        <f>((CS3-CR3)/CR3)*100</f>
        <v>-7.0766900905108667E-4</v>
      </c>
      <c r="CU3" s="248">
        <v>184411</v>
      </c>
      <c r="CV3" s="248">
        <v>141308</v>
      </c>
      <c r="CW3" s="249">
        <f>((CV3-CU3)/CU3)*100</f>
        <v>-23.373334562471872</v>
      </c>
      <c r="CX3" s="73"/>
      <c r="CY3" s="229" t="s">
        <v>0</v>
      </c>
      <c r="CZ3" s="229"/>
      <c r="DA3" s="230">
        <f>SUM(DA4:DA5)</f>
        <v>196231</v>
      </c>
      <c r="DB3" s="230">
        <f>SUM(DB4:DB5)</f>
        <v>184411</v>
      </c>
      <c r="DC3" s="231">
        <f>((DB3-DA3)/DA3)*100</f>
        <v>-6.0235131044534249</v>
      </c>
      <c r="DD3" s="230">
        <f>SUM(DD4:DD5)</f>
        <v>222078</v>
      </c>
      <c r="DE3" s="230">
        <v>184411</v>
      </c>
      <c r="DF3" s="231">
        <f>((DE3-DD3)/DD3)*100</f>
        <v>-16.961157791406624</v>
      </c>
      <c r="DG3" s="73"/>
      <c r="DH3" s="100" t="s">
        <v>0</v>
      </c>
      <c r="DI3" s="100"/>
      <c r="DJ3" s="101">
        <f>SUM(DJ4:DJ5)</f>
        <v>239886</v>
      </c>
      <c r="DK3" s="101">
        <f>SUM(DK4:DK5)</f>
        <v>222078</v>
      </c>
      <c r="DL3" s="102">
        <f>((DK3-DJ3)/DJ3)*100</f>
        <v>-7.4235261749330927</v>
      </c>
      <c r="DM3" s="101">
        <f>SUM(DM4:DM5)</f>
        <v>208211</v>
      </c>
      <c r="DN3" s="101">
        <v>222078</v>
      </c>
      <c r="DO3" s="102">
        <f>((DN3-DM3)/DM3)*100</f>
        <v>6.660070793569985</v>
      </c>
      <c r="DP3" s="73"/>
      <c r="DQ3" s="100" t="s">
        <v>0</v>
      </c>
      <c r="DR3" s="100"/>
      <c r="DS3" s="101">
        <f>SUM(DS4:DS5)</f>
        <v>208694</v>
      </c>
      <c r="DT3" s="101">
        <f>SUM(DT4:DT5)</f>
        <v>208211</v>
      </c>
      <c r="DU3" s="102">
        <f>((DT3-DS3)/DS3)*100</f>
        <v>-0.2314393322280468</v>
      </c>
      <c r="DV3" s="101">
        <v>166178</v>
      </c>
      <c r="DW3" s="101">
        <f>SUM(DW4:DW5)</f>
        <v>208211</v>
      </c>
      <c r="DX3" s="102">
        <f>((DW3-DV3)/DV3)*100</f>
        <v>25.293961896279892</v>
      </c>
      <c r="DY3" s="73"/>
      <c r="DZ3" s="120" t="s">
        <v>0</v>
      </c>
      <c r="EA3" s="120"/>
      <c r="EB3" s="121">
        <f>SUM(EB4:EB5)</f>
        <v>186349</v>
      </c>
      <c r="EC3" s="133">
        <f>SUM(EC4:EC5)</f>
        <v>166178</v>
      </c>
      <c r="ED3" s="125">
        <f>((EC3-EB3)/EB3)*100</f>
        <v>-10.824313519256879</v>
      </c>
      <c r="EE3" s="121">
        <v>135161</v>
      </c>
      <c r="EF3" s="121">
        <v>166178</v>
      </c>
      <c r="EG3" s="125">
        <f>((EF3-EE3)/EE3)*100</f>
        <v>22.94818771687099</v>
      </c>
      <c r="EH3" s="127"/>
      <c r="EI3" s="100" t="s">
        <v>0</v>
      </c>
      <c r="EJ3" s="100"/>
      <c r="EK3" s="101">
        <f>SUM(EK4:EK5)</f>
        <v>135349</v>
      </c>
      <c r="EL3" s="101">
        <f>SUM(EL4:EL5)</f>
        <v>135161</v>
      </c>
      <c r="EM3" s="102">
        <f>((EL3-EK3)/EK3)*100</f>
        <v>-0.13890017658054363</v>
      </c>
      <c r="EN3" s="101">
        <f>SUM(EN4:EN5)</f>
        <v>154093</v>
      </c>
      <c r="EO3" s="101">
        <f>SUM(EO4:EO5)</f>
        <v>135161</v>
      </c>
      <c r="EP3" s="102">
        <f>((EO3-EN3)/EN3)*100</f>
        <v>-12.286086973451098</v>
      </c>
      <c r="EQ3" s="73"/>
      <c r="ER3" s="74" t="s">
        <v>0</v>
      </c>
      <c r="ES3" s="74"/>
      <c r="ET3" s="75">
        <f>SUM(ET4:ET5)</f>
        <v>174545</v>
      </c>
      <c r="EU3" s="75">
        <f>SUM(EU4:EU5)</f>
        <v>154093</v>
      </c>
      <c r="EV3" s="76">
        <f>((EU3-ET3)/ET3)*100</f>
        <v>-11.71732218052651</v>
      </c>
      <c r="EW3" s="75">
        <v>132027</v>
      </c>
      <c r="EX3" s="75">
        <v>154093</v>
      </c>
      <c r="EY3" s="76">
        <f>((EX3-EW3)/EW3)*100</f>
        <v>16.713248047747808</v>
      </c>
      <c r="EZ3" s="73"/>
      <c r="FA3" s="63" t="s">
        <v>0</v>
      </c>
      <c r="FB3" s="63"/>
      <c r="FC3" s="64">
        <v>138687</v>
      </c>
      <c r="FD3" s="64">
        <v>132027</v>
      </c>
      <c r="FE3" s="65">
        <f t="shared" ref="FE3:FE18" si="2">(FD3-FC3)/FC3*100</f>
        <v>-4.8021804495013951</v>
      </c>
      <c r="FF3" s="64">
        <v>172742</v>
      </c>
      <c r="FG3" s="64">
        <v>132027</v>
      </c>
      <c r="FH3" s="65">
        <f t="shared" ref="FH3:FH18" si="3">(FG3-FF3)/FF3*100</f>
        <v>-23.56983246691598</v>
      </c>
      <c r="FI3" s="73"/>
      <c r="FJ3" s="24" t="s">
        <v>0</v>
      </c>
      <c r="FK3" s="25">
        <v>171421</v>
      </c>
      <c r="FL3" s="25">
        <v>172742</v>
      </c>
      <c r="FM3" s="32">
        <f>(FL3-FK3)/FK3*100</f>
        <v>0.77061736893379451</v>
      </c>
      <c r="FN3" s="27">
        <v>178983</v>
      </c>
      <c r="FO3" s="25">
        <v>172742</v>
      </c>
      <c r="FP3" s="32">
        <f>(FO3-FN3)/FN3*100</f>
        <v>-3.4869233390880696</v>
      </c>
      <c r="FR3" s="4" t="s">
        <v>0</v>
      </c>
      <c r="FS3" s="5">
        <v>191871</v>
      </c>
      <c r="FT3" s="5">
        <v>178983</v>
      </c>
      <c r="FU3" s="36">
        <f>(FT3-FS3)/FS3*100</f>
        <v>-6.7170129931047429</v>
      </c>
      <c r="FV3" s="46">
        <v>213365</v>
      </c>
      <c r="FW3" s="5">
        <v>178983</v>
      </c>
      <c r="FX3" s="47">
        <f>((FW3-FV3)/FV3)*100</f>
        <v>-16.114170552808567</v>
      </c>
    </row>
    <row r="4" spans="1:180" x14ac:dyDescent="0.5">
      <c r="A4" s="250"/>
      <c r="B4" s="333" t="s">
        <v>444</v>
      </c>
      <c r="C4" s="251">
        <v>140860</v>
      </c>
      <c r="D4" s="248">
        <v>128893</v>
      </c>
      <c r="E4" s="249">
        <f t="shared" si="0"/>
        <v>-8.4956694590373409</v>
      </c>
      <c r="F4" s="251">
        <v>119757</v>
      </c>
      <c r="G4" s="248">
        <v>128893</v>
      </c>
      <c r="H4" s="249">
        <f>((G4-F4)/F4)*100</f>
        <v>7.6287816161059476</v>
      </c>
      <c r="I4" s="250"/>
      <c r="J4" s="333" t="s">
        <v>444</v>
      </c>
      <c r="K4" s="251">
        <v>123777</v>
      </c>
      <c r="L4" s="251">
        <v>119757</v>
      </c>
      <c r="M4" s="249">
        <f t="shared" si="1"/>
        <v>-3.2477762427591554</v>
      </c>
      <c r="N4" s="251">
        <v>138804</v>
      </c>
      <c r="O4" s="251">
        <v>119757</v>
      </c>
      <c r="P4" s="249">
        <f>((O4-N4)/N4)*100</f>
        <v>-13.722227025157776</v>
      </c>
      <c r="Q4" s="250"/>
      <c r="R4" s="333" t="s">
        <v>444</v>
      </c>
      <c r="S4" s="286">
        <v>136671</v>
      </c>
      <c r="T4" s="251">
        <v>138804</v>
      </c>
      <c r="U4" s="249">
        <f>((T4-S4)/S4)*100</f>
        <v>1.5606822222710011</v>
      </c>
      <c r="V4" s="251">
        <v>150777</v>
      </c>
      <c r="W4" s="251">
        <v>138804</v>
      </c>
      <c r="X4" s="249">
        <f>((W4-V4)/V4)*100</f>
        <v>-7.9408663125012433</v>
      </c>
      <c r="Y4" s="250"/>
      <c r="Z4" s="333" t="s">
        <v>444</v>
      </c>
      <c r="AA4" s="286">
        <v>130014</v>
      </c>
      <c r="AB4" s="251">
        <v>150777</v>
      </c>
      <c r="AC4" s="249">
        <f>((AB4-AA4)/AA4)*100</f>
        <v>15.969818634916239</v>
      </c>
      <c r="AD4" s="251">
        <v>48279</v>
      </c>
      <c r="AE4" s="251">
        <v>150777</v>
      </c>
      <c r="AF4" s="249">
        <f>((AE4-AD4)/AD4)*100</f>
        <v>212.30348598769652</v>
      </c>
      <c r="AG4" s="250"/>
      <c r="AH4" s="250" t="s">
        <v>444</v>
      </c>
      <c r="AI4" s="286">
        <v>58047</v>
      </c>
      <c r="AJ4" s="251">
        <v>48279</v>
      </c>
      <c r="AK4" s="249">
        <f>((AJ4-AI4)/AI4)*100</f>
        <v>-16.827743035815804</v>
      </c>
      <c r="AL4" s="251">
        <v>115503</v>
      </c>
      <c r="AM4" s="251">
        <v>48279</v>
      </c>
      <c r="AN4" s="249">
        <f>((AM4-AL4)/AL4)*100</f>
        <v>-58.201085686086074</v>
      </c>
      <c r="AO4" s="250"/>
      <c r="AP4" s="250" t="s">
        <v>444</v>
      </c>
      <c r="AQ4" s="286">
        <v>96733</v>
      </c>
      <c r="AR4" s="251">
        <v>115503</v>
      </c>
      <c r="AS4" s="249">
        <f>((AR4-AQ4)/AQ4)*100</f>
        <v>19.40392627128281</v>
      </c>
      <c r="AT4" s="251">
        <v>127804</v>
      </c>
      <c r="AU4" s="251">
        <v>115503</v>
      </c>
      <c r="AV4" s="249">
        <f>((AU4-AT4)/AT4)*100</f>
        <v>-9.624894369503302</v>
      </c>
      <c r="AW4" s="250"/>
      <c r="AX4" s="250" t="s">
        <v>444</v>
      </c>
      <c r="AY4" s="286">
        <v>78243</v>
      </c>
      <c r="AZ4" s="251">
        <v>76229</v>
      </c>
      <c r="BA4" s="249">
        <f>((AZ4-AY4)/AY4)*100</f>
        <v>-2.5740321817926204</v>
      </c>
      <c r="BB4" s="251">
        <v>144743</v>
      </c>
      <c r="BC4" s="251">
        <v>76229</v>
      </c>
      <c r="BD4" s="249">
        <f>((BC4-BB4)/BB4)*100</f>
        <v>-47.334931568366002</v>
      </c>
      <c r="BE4" s="250"/>
      <c r="BF4" s="250" t="s">
        <v>444</v>
      </c>
      <c r="BG4" s="286">
        <v>144754</v>
      </c>
      <c r="BH4" s="251">
        <v>144743</v>
      </c>
      <c r="BI4" s="249">
        <f>((BH4-BG4)/BG4)*100</f>
        <v>-7.5990991613357839E-3</v>
      </c>
      <c r="BJ4" s="251">
        <v>128476</v>
      </c>
      <c r="BK4" s="251">
        <v>144743</v>
      </c>
      <c r="BL4" s="249">
        <f>((BK4-BJ4)/BJ4)*100</f>
        <v>12.661508764282821</v>
      </c>
      <c r="BM4" s="250"/>
      <c r="BN4" s="250" t="s">
        <v>444</v>
      </c>
      <c r="BO4" s="251">
        <v>133657</v>
      </c>
      <c r="BP4" s="251">
        <v>128476</v>
      </c>
      <c r="BQ4" s="249">
        <f>((BP4-BO4)/BO4)*100</f>
        <v>-3.8763401842028475</v>
      </c>
      <c r="BR4" s="251">
        <v>134065</v>
      </c>
      <c r="BS4" s="251">
        <v>128476</v>
      </c>
      <c r="BT4" s="249">
        <f>((BS4-BR4)/BR4)*100</f>
        <v>-4.1688733077238656</v>
      </c>
      <c r="BU4" s="249"/>
      <c r="BV4" s="250"/>
      <c r="BW4" s="250" t="s">
        <v>444</v>
      </c>
      <c r="BX4" s="251">
        <v>109821</v>
      </c>
      <c r="BY4" s="251">
        <v>134065</v>
      </c>
      <c r="BZ4" s="249">
        <f>((BY4-BX4)/BX4)*100</f>
        <v>22.075923548319537</v>
      </c>
      <c r="CA4" s="251">
        <v>107540</v>
      </c>
      <c r="CB4" s="251">
        <v>134065</v>
      </c>
      <c r="CC4" s="249">
        <f>((CB4-CA4)/CA4)*100</f>
        <v>24.665240840617443</v>
      </c>
      <c r="CD4" s="249"/>
      <c r="CF4" s="250"/>
      <c r="CG4" s="250" t="s">
        <v>57</v>
      </c>
      <c r="CH4" s="251">
        <v>101486</v>
      </c>
      <c r="CI4" s="251">
        <v>107540</v>
      </c>
      <c r="CJ4" s="249">
        <f>((CI4-CH4)/CH4)*100</f>
        <v>5.9653548272668155</v>
      </c>
      <c r="CK4" s="251">
        <v>113200</v>
      </c>
      <c r="CL4" s="251">
        <v>107540</v>
      </c>
      <c r="CM4" s="249">
        <f>((CL4-CK4)/CK4)*100</f>
        <v>-5</v>
      </c>
      <c r="CN4" s="249"/>
      <c r="CO4" s="73"/>
      <c r="CP4" s="250"/>
      <c r="CQ4" s="250" t="s">
        <v>57</v>
      </c>
      <c r="CR4" s="251">
        <v>113289</v>
      </c>
      <c r="CS4" s="251">
        <v>113200</v>
      </c>
      <c r="CT4" s="249">
        <f>((CS4-CR4)/CR4)*100</f>
        <v>-7.8560142644034284E-2</v>
      </c>
      <c r="CU4" s="251">
        <v>153510</v>
      </c>
      <c r="CV4" s="251">
        <v>113200</v>
      </c>
      <c r="CW4" s="249">
        <f>((CV4-CU4)/CU4)*100</f>
        <v>-26.258875643280565</v>
      </c>
      <c r="CX4" s="73"/>
      <c r="CY4" s="232"/>
      <c r="CZ4" s="232" t="s">
        <v>57</v>
      </c>
      <c r="DA4" s="233">
        <v>166792</v>
      </c>
      <c r="DB4" s="233">
        <v>153510</v>
      </c>
      <c r="DC4" s="231">
        <f t="shared" ref="DC4:DC18" si="4">((DB4-DA4)/DA4)*100</f>
        <v>-7.9632116648280489</v>
      </c>
      <c r="DD4" s="233">
        <v>200745</v>
      </c>
      <c r="DE4" s="233">
        <v>153510</v>
      </c>
      <c r="DF4" s="231">
        <f t="shared" ref="DF4:DF18" si="5">((DE4-DD4)/DD4)*100</f>
        <v>-23.529851303892997</v>
      </c>
      <c r="DG4" s="73"/>
      <c r="DH4" s="103"/>
      <c r="DI4" s="103" t="s">
        <v>57</v>
      </c>
      <c r="DJ4" s="104">
        <v>218183</v>
      </c>
      <c r="DK4" s="104">
        <v>200745</v>
      </c>
      <c r="DL4" s="102">
        <f t="shared" ref="DL4:DL18" si="6">((DK4-DJ4)/DJ4)*100</f>
        <v>-7.9923733746442212</v>
      </c>
      <c r="DM4" s="104">
        <v>190422</v>
      </c>
      <c r="DN4" s="104">
        <v>200745</v>
      </c>
      <c r="DO4" s="102">
        <f t="shared" ref="DO4:DO18" si="7">((DN4-DM4)/DM4)*100</f>
        <v>5.4211173078740904</v>
      </c>
      <c r="DP4" s="73"/>
      <c r="DQ4" s="103"/>
      <c r="DR4" s="103" t="s">
        <v>57</v>
      </c>
      <c r="DS4" s="104">
        <v>194092</v>
      </c>
      <c r="DT4" s="104">
        <v>190422</v>
      </c>
      <c r="DU4" s="102">
        <f t="shared" ref="DU4:DU18" si="8">((DT4-DS4)/DS4)*100</f>
        <v>-1.8908558827772399</v>
      </c>
      <c r="DV4" s="104">
        <v>158763</v>
      </c>
      <c r="DW4" s="104">
        <v>190422</v>
      </c>
      <c r="DX4" s="102">
        <f t="shared" ref="DX4:DX18" si="9">((DW4-DV4)/DV4)*100</f>
        <v>19.941044197955442</v>
      </c>
      <c r="DY4" s="73"/>
      <c r="DZ4" s="24"/>
      <c r="EA4" s="24" t="s">
        <v>57</v>
      </c>
      <c r="EB4" s="123">
        <v>178832</v>
      </c>
      <c r="EC4" s="50">
        <v>158763</v>
      </c>
      <c r="ED4" s="128">
        <f t="shared" ref="ED4:ED18" si="10">((EC4-EB4)/EB4)*100</f>
        <v>-11.222264471682921</v>
      </c>
      <c r="EE4" s="123">
        <v>127733</v>
      </c>
      <c r="EF4" s="123">
        <v>158763</v>
      </c>
      <c r="EG4" s="128">
        <f t="shared" ref="EG4:EG18" si="11">((EF4-EE4)/EE4)*100</f>
        <v>24.292860889511715</v>
      </c>
      <c r="EH4" s="130"/>
      <c r="EI4" s="103"/>
      <c r="EJ4" s="103" t="s">
        <v>57</v>
      </c>
      <c r="EK4" s="104">
        <v>128847</v>
      </c>
      <c r="EL4" s="104">
        <v>127733</v>
      </c>
      <c r="EM4" s="102">
        <f t="shared" ref="EM4:EM18" si="12">((EL4-EK4)/EK4)*100</f>
        <v>-0.8645913370121151</v>
      </c>
      <c r="EN4" s="104">
        <v>143443</v>
      </c>
      <c r="EO4" s="104">
        <v>127733</v>
      </c>
      <c r="EP4" s="102">
        <f t="shared" ref="EP4:EP18" si="13">((EO4-EN4)/EN4)*100</f>
        <v>-10.952085497375263</v>
      </c>
      <c r="EQ4" s="73"/>
      <c r="ER4" s="77"/>
      <c r="ES4" s="77" t="s">
        <v>57</v>
      </c>
      <c r="ET4" s="78">
        <v>164364</v>
      </c>
      <c r="EU4" s="78">
        <v>143443</v>
      </c>
      <c r="EV4" s="79">
        <f t="shared" ref="EV4:EV18" si="14">((EU4-ET4)/ET4)*100</f>
        <v>-12.728456352972669</v>
      </c>
      <c r="EW4" s="80">
        <v>126264</v>
      </c>
      <c r="EX4" s="78">
        <v>143443</v>
      </c>
      <c r="EY4" s="79">
        <f t="shared" ref="EY4:EY18" si="15">((EX4-EW4)/EW4)*100</f>
        <v>13.605619970854718</v>
      </c>
      <c r="EZ4" s="61"/>
      <c r="FA4" s="42"/>
      <c r="FB4" s="42" t="s">
        <v>57</v>
      </c>
      <c r="FC4" s="43">
        <v>132720</v>
      </c>
      <c r="FD4" s="43">
        <v>126264</v>
      </c>
      <c r="FE4" s="44">
        <f t="shared" si="2"/>
        <v>-4.8643761301989148</v>
      </c>
      <c r="FF4" s="45">
        <v>166478</v>
      </c>
      <c r="FG4" s="43">
        <v>126264</v>
      </c>
      <c r="FH4" s="44">
        <f t="shared" si="3"/>
        <v>-24.155744302550485</v>
      </c>
      <c r="FI4" s="61"/>
      <c r="FJ4" s="24" t="s">
        <v>1</v>
      </c>
      <c r="FK4" s="25">
        <v>162973</v>
      </c>
      <c r="FL4" s="25">
        <v>166151</v>
      </c>
      <c r="FM4" s="32">
        <f>(FL4-FK4)/FK4*100</f>
        <v>1.950016260362146</v>
      </c>
      <c r="FN4" s="27">
        <v>167209</v>
      </c>
      <c r="FO4" s="25">
        <v>166151</v>
      </c>
      <c r="FP4" s="32">
        <f>(FO4-FN4)/FN4*100</f>
        <v>-0.63274106058884383</v>
      </c>
      <c r="FR4" s="4" t="s">
        <v>1</v>
      </c>
      <c r="FS4" s="5">
        <v>168596</v>
      </c>
      <c r="FT4" s="5">
        <v>167209</v>
      </c>
      <c r="FU4" s="36">
        <f>(FT4-FS4)/FS4*100</f>
        <v>-0.82267669458350146</v>
      </c>
      <c r="FV4" s="37">
        <v>144212</v>
      </c>
      <c r="FW4" s="5">
        <v>167209</v>
      </c>
      <c r="FX4" s="47">
        <f>((FW4-FV4)/FV4)*100</f>
        <v>15.946661858929909</v>
      </c>
    </row>
    <row r="5" spans="1:180" x14ac:dyDescent="0.5">
      <c r="A5" s="250"/>
      <c r="B5" s="250" t="s">
        <v>58</v>
      </c>
      <c r="C5" s="289">
        <v>20895</v>
      </c>
      <c r="D5" s="248">
        <v>18505</v>
      </c>
      <c r="E5" s="249">
        <f t="shared" si="0"/>
        <v>-11.438143096434555</v>
      </c>
      <c r="F5" s="251">
        <v>20947</v>
      </c>
      <c r="G5" s="248">
        <v>18505</v>
      </c>
      <c r="H5" s="249">
        <f>((G5-F5)/F5)*100</f>
        <v>-11.657993984818829</v>
      </c>
      <c r="I5" s="250"/>
      <c r="J5" s="250" t="s">
        <v>58</v>
      </c>
      <c r="K5" s="289">
        <v>23212</v>
      </c>
      <c r="L5" s="251">
        <v>20947</v>
      </c>
      <c r="M5" s="249">
        <f t="shared" si="1"/>
        <v>-9.7578838531793899</v>
      </c>
      <c r="N5" s="251">
        <v>32466</v>
      </c>
      <c r="O5" s="251">
        <v>20947</v>
      </c>
      <c r="P5" s="249">
        <f>((O5-N5)/N5)*100</f>
        <v>-35.480194665188201</v>
      </c>
      <c r="Q5" s="250"/>
      <c r="R5" s="250" t="s">
        <v>58</v>
      </c>
      <c r="S5" s="286">
        <v>33452</v>
      </c>
      <c r="T5" s="251">
        <v>32466</v>
      </c>
      <c r="U5" s="249">
        <f>((T5-S5)/S5)*100</f>
        <v>-2.9475068755231377</v>
      </c>
      <c r="V5" s="251">
        <v>38930</v>
      </c>
      <c r="W5" s="251">
        <v>32466</v>
      </c>
      <c r="X5" s="249">
        <f>((W5-V5)/V5)*100</f>
        <v>-16.604161315181091</v>
      </c>
      <c r="Y5" s="250"/>
      <c r="Z5" s="250" t="s">
        <v>58</v>
      </c>
      <c r="AA5" s="286">
        <v>23156</v>
      </c>
      <c r="AB5" s="251">
        <v>38930</v>
      </c>
      <c r="AC5" s="249">
        <f>((AB5-AA5)/AA5)*100</f>
        <v>68.1205735014683</v>
      </c>
      <c r="AD5" s="251">
        <v>32195</v>
      </c>
      <c r="AE5" s="251">
        <v>38930</v>
      </c>
      <c r="AF5" s="249">
        <f>((AE5-AD5)/AD5)*100</f>
        <v>20.919397421959932</v>
      </c>
      <c r="AG5" s="250"/>
      <c r="AH5" s="250" t="s">
        <v>58</v>
      </c>
      <c r="AI5" s="286">
        <v>25643</v>
      </c>
      <c r="AJ5" s="251">
        <v>32195</v>
      </c>
      <c r="AK5" s="249">
        <f>((AJ5-AI5)/AI5)*100</f>
        <v>25.550832585890888</v>
      </c>
      <c r="AL5" s="251">
        <v>22344</v>
      </c>
      <c r="AM5" s="251">
        <v>32195</v>
      </c>
      <c r="AN5" s="249">
        <f>((AM5-AL5)/AL5)*100</f>
        <v>44.087898317221622</v>
      </c>
      <c r="AO5" s="250"/>
      <c r="AP5" s="250" t="s">
        <v>58</v>
      </c>
      <c r="AQ5" s="286">
        <v>22275</v>
      </c>
      <c r="AR5" s="251">
        <v>22344</v>
      </c>
      <c r="AS5" s="249">
        <f>((AR5-AQ5)/AQ5)*100</f>
        <v>0.3097643097643098</v>
      </c>
      <c r="AT5" s="251">
        <v>28684</v>
      </c>
      <c r="AU5" s="251">
        <v>22344</v>
      </c>
      <c r="AV5" s="249">
        <f>((AU5-AT5)/AT5)*100</f>
        <v>-22.102914516803793</v>
      </c>
      <c r="AW5" s="250"/>
      <c r="AX5" s="250" t="s">
        <v>58</v>
      </c>
      <c r="AY5" s="286">
        <v>51010</v>
      </c>
      <c r="AZ5" s="251">
        <v>51575</v>
      </c>
      <c r="BA5" s="249">
        <f>((AZ5-AY5)/AY5)*100</f>
        <v>1.1076259556949619</v>
      </c>
      <c r="BB5" s="251">
        <v>27833</v>
      </c>
      <c r="BC5" s="251">
        <v>51575</v>
      </c>
      <c r="BD5" s="249">
        <f>((BC5-BB5)/BB5)*100</f>
        <v>85.301620378687176</v>
      </c>
      <c r="BE5" s="250"/>
      <c r="BF5" s="250" t="s">
        <v>58</v>
      </c>
      <c r="BG5" s="286">
        <v>27403</v>
      </c>
      <c r="BH5" s="251">
        <v>27833</v>
      </c>
      <c r="BI5" s="249">
        <f>((BH5-BG5)/BG5)*100</f>
        <v>1.5691712586213189</v>
      </c>
      <c r="BJ5" s="251">
        <v>41071</v>
      </c>
      <c r="BK5" s="251">
        <v>27833</v>
      </c>
      <c r="BL5" s="249">
        <f>((BK5-BJ5)/BJ5)*100</f>
        <v>-32.231988507706163</v>
      </c>
      <c r="BM5" s="250"/>
      <c r="BN5" s="250" t="s">
        <v>58</v>
      </c>
      <c r="BO5" s="251">
        <v>37869</v>
      </c>
      <c r="BP5" s="251">
        <v>41071</v>
      </c>
      <c r="BQ5" s="249">
        <f>((BP5-BO5)/BO5)*100</f>
        <v>8.4554648921281252</v>
      </c>
      <c r="BR5" s="251">
        <v>34990</v>
      </c>
      <c r="BS5" s="251">
        <v>41071</v>
      </c>
      <c r="BT5" s="249">
        <f>((BS5-BR5)/BR5)*100</f>
        <v>17.379251214632752</v>
      </c>
      <c r="BU5" s="249"/>
      <c r="BV5" s="250"/>
      <c r="BW5" s="250" t="s">
        <v>58</v>
      </c>
      <c r="BX5" s="251">
        <v>32695</v>
      </c>
      <c r="BY5" s="251">
        <v>34990</v>
      </c>
      <c r="BZ5" s="249">
        <f>((BY5-BX5)/BX5)*100</f>
        <v>7.0194219299587095</v>
      </c>
      <c r="CA5" s="251">
        <v>22679</v>
      </c>
      <c r="CB5" s="251">
        <v>34990</v>
      </c>
      <c r="CC5" s="249">
        <f>((CB5-CA5)/CA5)*100</f>
        <v>54.283698575774942</v>
      </c>
      <c r="CD5" s="249"/>
      <c r="CF5" s="250"/>
      <c r="CG5" s="250" t="s">
        <v>58</v>
      </c>
      <c r="CH5" s="251">
        <v>24455</v>
      </c>
      <c r="CI5" s="251">
        <v>22679</v>
      </c>
      <c r="CJ5" s="249">
        <f>((CI5-CH5)/CH5)*100</f>
        <v>-7.2623185442649767</v>
      </c>
      <c r="CK5" s="251">
        <v>28108</v>
      </c>
      <c r="CL5" s="251">
        <v>22679</v>
      </c>
      <c r="CM5" s="249">
        <f>((CL5-CK5)/CK5)*100</f>
        <v>-19.314785826099332</v>
      </c>
      <c r="CN5" s="249"/>
      <c r="CO5" s="73"/>
      <c r="CP5" s="250"/>
      <c r="CQ5" s="250" t="s">
        <v>58</v>
      </c>
      <c r="CR5" s="251">
        <v>28020</v>
      </c>
      <c r="CS5" s="251">
        <v>28108</v>
      </c>
      <c r="CT5" s="249">
        <f>((CS5-CR5)/CR5)*100</f>
        <v>0.31406138472519629</v>
      </c>
      <c r="CU5" s="251">
        <v>30901</v>
      </c>
      <c r="CV5" s="251">
        <v>28108</v>
      </c>
      <c r="CW5" s="249">
        <f>((CV5-CU5)/CU5)*100</f>
        <v>-9.0385424419921687</v>
      </c>
      <c r="CX5" s="73"/>
      <c r="CY5" s="232"/>
      <c r="CZ5" s="232" t="s">
        <v>58</v>
      </c>
      <c r="DA5" s="233">
        <v>29439</v>
      </c>
      <c r="DB5" s="233">
        <v>30901</v>
      </c>
      <c r="DC5" s="231">
        <f t="shared" si="4"/>
        <v>4.966201297598424</v>
      </c>
      <c r="DD5" s="233">
        <v>21333</v>
      </c>
      <c r="DE5" s="233">
        <v>30901</v>
      </c>
      <c r="DF5" s="231">
        <f t="shared" si="5"/>
        <v>44.850700792199873</v>
      </c>
      <c r="DG5" s="73"/>
      <c r="DH5" s="103"/>
      <c r="DI5" s="103" t="s">
        <v>58</v>
      </c>
      <c r="DJ5" s="104">
        <v>21703</v>
      </c>
      <c r="DK5" s="104">
        <v>21333</v>
      </c>
      <c r="DL5" s="102">
        <f t="shared" si="6"/>
        <v>-1.7048334331659218</v>
      </c>
      <c r="DM5" s="104">
        <v>17789</v>
      </c>
      <c r="DN5" s="104">
        <v>21333</v>
      </c>
      <c r="DO5" s="102">
        <f t="shared" si="7"/>
        <v>19.922423969869023</v>
      </c>
      <c r="DP5" s="73"/>
      <c r="DQ5" s="103"/>
      <c r="DR5" s="103" t="s">
        <v>58</v>
      </c>
      <c r="DS5" s="104">
        <v>14602</v>
      </c>
      <c r="DT5" s="104">
        <v>17789</v>
      </c>
      <c r="DU5" s="102">
        <f t="shared" si="8"/>
        <v>21.825777290782085</v>
      </c>
      <c r="DV5" s="104">
        <v>7415</v>
      </c>
      <c r="DW5" s="104">
        <v>17789</v>
      </c>
      <c r="DX5" s="102">
        <f t="shared" si="9"/>
        <v>139.90559676331759</v>
      </c>
      <c r="DY5" s="73"/>
      <c r="DZ5" s="24"/>
      <c r="EA5" s="24" t="s">
        <v>58</v>
      </c>
      <c r="EB5" s="123">
        <v>7517</v>
      </c>
      <c r="EC5" s="50">
        <v>7415</v>
      </c>
      <c r="ED5" s="128">
        <f t="shared" si="10"/>
        <v>-1.3569243049088733</v>
      </c>
      <c r="EE5" s="123">
        <v>7428</v>
      </c>
      <c r="EF5" s="123">
        <v>7415</v>
      </c>
      <c r="EG5" s="128">
        <f t="shared" si="11"/>
        <v>-0.17501346257404415</v>
      </c>
      <c r="EH5" s="130"/>
      <c r="EI5" s="103"/>
      <c r="EJ5" s="103" t="s">
        <v>58</v>
      </c>
      <c r="EK5" s="104">
        <v>6502</v>
      </c>
      <c r="EL5" s="104">
        <v>7428</v>
      </c>
      <c r="EM5" s="102">
        <f t="shared" si="12"/>
        <v>14.241771762534604</v>
      </c>
      <c r="EN5" s="104">
        <v>10650</v>
      </c>
      <c r="EO5" s="104">
        <v>7428</v>
      </c>
      <c r="EP5" s="102">
        <f t="shared" si="13"/>
        <v>-30.253521126760564</v>
      </c>
      <c r="EQ5" s="73"/>
      <c r="ER5" s="77"/>
      <c r="ES5" s="77" t="s">
        <v>58</v>
      </c>
      <c r="ET5" s="78">
        <v>10181</v>
      </c>
      <c r="EU5" s="78">
        <v>10650</v>
      </c>
      <c r="EV5" s="79">
        <f t="shared" si="14"/>
        <v>4.6066201748354771</v>
      </c>
      <c r="EW5" s="80">
        <v>5763</v>
      </c>
      <c r="EX5" s="78">
        <v>10650</v>
      </c>
      <c r="EY5" s="79">
        <f t="shared" si="15"/>
        <v>84.799583550234246</v>
      </c>
      <c r="EZ5" s="61"/>
      <c r="FA5" s="42"/>
      <c r="FB5" s="42" t="s">
        <v>58</v>
      </c>
      <c r="FC5" s="43">
        <v>5967</v>
      </c>
      <c r="FD5" s="43">
        <v>5763</v>
      </c>
      <c r="FE5" s="44">
        <f t="shared" si="2"/>
        <v>-3.4188034188034191</v>
      </c>
      <c r="FF5" s="45">
        <v>6264</v>
      </c>
      <c r="FG5" s="43">
        <v>5763</v>
      </c>
      <c r="FH5" s="44">
        <f t="shared" si="3"/>
        <v>-7.9980842911877392</v>
      </c>
      <c r="FI5" s="61"/>
      <c r="FJ5" s="24" t="s">
        <v>2</v>
      </c>
      <c r="FK5" s="25">
        <v>9932</v>
      </c>
      <c r="FL5" s="25">
        <v>6496</v>
      </c>
      <c r="FM5" s="32">
        <f>(FL5-FK5)/FK5*100</f>
        <v>-34.595247684252925</v>
      </c>
      <c r="FN5" s="27">
        <v>11525</v>
      </c>
      <c r="FO5" s="25">
        <v>6496</v>
      </c>
      <c r="FP5" s="32">
        <f>(FO5-FN5)/FN5*100</f>
        <v>-43.635574837310195</v>
      </c>
      <c r="FR5" s="4" t="s">
        <v>2</v>
      </c>
      <c r="FS5" s="5">
        <v>10438</v>
      </c>
      <c r="FT5" s="5">
        <v>11525</v>
      </c>
      <c r="FU5" s="36">
        <f>(FT5-FS5)/FS5*100</f>
        <v>10.413872389346619</v>
      </c>
      <c r="FV5" s="46">
        <v>73741</v>
      </c>
      <c r="FW5" s="5">
        <v>11525</v>
      </c>
      <c r="FX5" s="47">
        <f>((FW5-FV5)/FV5)*100</f>
        <v>-84.370974084973085</v>
      </c>
    </row>
    <row r="6" spans="1:180" x14ac:dyDescent="0.5">
      <c r="A6" s="250"/>
      <c r="B6" s="307" t="s">
        <v>763</v>
      </c>
      <c r="C6" s="289">
        <v>196</v>
      </c>
      <c r="D6" s="248">
        <v>68</v>
      </c>
      <c r="E6" s="249">
        <f t="shared" si="0"/>
        <v>-65.306122448979593</v>
      </c>
      <c r="F6" s="251">
        <v>0</v>
      </c>
      <c r="G6" s="248">
        <v>68</v>
      </c>
      <c r="H6" s="249" t="e">
        <f t="shared" ref="H6:H7" si="16">((G6-F6)/F6)*100</f>
        <v>#DIV/0!</v>
      </c>
      <c r="I6" s="250"/>
      <c r="J6" s="307" t="s">
        <v>763</v>
      </c>
      <c r="K6" s="289">
        <v>0</v>
      </c>
      <c r="L6" s="251">
        <v>0</v>
      </c>
      <c r="M6" s="249" t="e">
        <f t="shared" si="1"/>
        <v>#DIV/0!</v>
      </c>
      <c r="N6" s="251"/>
      <c r="O6" s="251">
        <v>0</v>
      </c>
      <c r="P6" s="249" t="e">
        <f t="shared" ref="P6:P7" si="17">((O6-N6)/N6)*100</f>
        <v>#DIV/0!</v>
      </c>
      <c r="Q6" s="250"/>
      <c r="R6" s="250"/>
      <c r="S6" s="286"/>
      <c r="T6" s="251"/>
      <c r="U6" s="249"/>
      <c r="V6" s="251"/>
      <c r="W6" s="251"/>
      <c r="X6" s="249"/>
      <c r="Y6" s="250"/>
      <c r="Z6" s="250"/>
      <c r="AA6" s="286"/>
      <c r="AB6" s="251"/>
      <c r="AC6" s="249"/>
      <c r="AD6" s="251"/>
      <c r="AE6" s="251"/>
      <c r="AF6" s="249"/>
      <c r="AG6" s="250"/>
      <c r="AH6" s="250"/>
      <c r="AI6" s="286"/>
      <c r="AJ6" s="251"/>
      <c r="AK6" s="249"/>
      <c r="AL6" s="251"/>
      <c r="AM6" s="251"/>
      <c r="AN6" s="249"/>
      <c r="AO6" s="250"/>
      <c r="AP6" s="250"/>
      <c r="AQ6" s="286"/>
      <c r="AR6" s="251"/>
      <c r="AS6" s="249"/>
      <c r="AT6" s="251"/>
      <c r="AU6" s="251"/>
      <c r="AV6" s="249"/>
      <c r="AW6" s="250"/>
      <c r="AX6" s="250"/>
      <c r="AY6" s="286"/>
      <c r="AZ6" s="251"/>
      <c r="BA6" s="249"/>
      <c r="BB6" s="251"/>
      <c r="BC6" s="251"/>
      <c r="BD6" s="249"/>
      <c r="BE6" s="250"/>
      <c r="BF6" s="250"/>
      <c r="BG6" s="286"/>
      <c r="BH6" s="251"/>
      <c r="BI6" s="249"/>
      <c r="BJ6" s="251"/>
      <c r="BK6" s="251"/>
      <c r="BL6" s="249"/>
      <c r="BM6" s="250"/>
      <c r="BN6" s="250"/>
      <c r="BO6" s="251"/>
      <c r="BP6" s="251"/>
      <c r="BQ6" s="249"/>
      <c r="BR6" s="251"/>
      <c r="BS6" s="251"/>
      <c r="BT6" s="249"/>
      <c r="BU6" s="249"/>
      <c r="BV6" s="250"/>
      <c r="BW6" s="250"/>
      <c r="BX6" s="251"/>
      <c r="BY6" s="251"/>
      <c r="BZ6" s="249"/>
      <c r="CA6" s="251"/>
      <c r="CB6" s="251"/>
      <c r="CC6" s="249"/>
      <c r="CD6" s="249"/>
      <c r="CF6" s="250"/>
      <c r="CG6" s="250"/>
      <c r="CH6" s="251"/>
      <c r="CI6" s="251"/>
      <c r="CJ6" s="249"/>
      <c r="CK6" s="251"/>
      <c r="CL6" s="251"/>
      <c r="CM6" s="249"/>
      <c r="CN6" s="249"/>
      <c r="CO6" s="73"/>
      <c r="CP6" s="250"/>
      <c r="CQ6" s="250"/>
      <c r="CR6" s="251"/>
      <c r="CS6" s="251"/>
      <c r="CT6" s="249"/>
      <c r="CU6" s="251"/>
      <c r="CV6" s="251"/>
      <c r="CW6" s="249"/>
      <c r="CX6" s="73"/>
      <c r="CY6" s="232"/>
      <c r="CZ6" s="232"/>
      <c r="DA6" s="233"/>
      <c r="DB6" s="233"/>
      <c r="DC6" s="231"/>
      <c r="DD6" s="233"/>
      <c r="DE6" s="233"/>
      <c r="DF6" s="231"/>
      <c r="DG6" s="73"/>
      <c r="DH6" s="103"/>
      <c r="DI6" s="103"/>
      <c r="DJ6" s="104"/>
      <c r="DK6" s="104"/>
      <c r="DL6" s="102"/>
      <c r="DM6" s="104"/>
      <c r="DN6" s="104"/>
      <c r="DO6" s="102"/>
      <c r="DP6" s="73"/>
      <c r="DQ6" s="103"/>
      <c r="DR6" s="103"/>
      <c r="DS6" s="104"/>
      <c r="DT6" s="104"/>
      <c r="DU6" s="102"/>
      <c r="DV6" s="104"/>
      <c r="DW6" s="104"/>
      <c r="DX6" s="102"/>
      <c r="DY6" s="73"/>
      <c r="DZ6" s="24"/>
      <c r="EA6" s="24"/>
      <c r="EB6" s="123"/>
      <c r="EC6" s="50"/>
      <c r="ED6" s="128"/>
      <c r="EE6" s="123"/>
      <c r="EF6" s="123"/>
      <c r="EG6" s="128"/>
      <c r="EH6" s="130"/>
      <c r="EI6" s="103"/>
      <c r="EJ6" s="103"/>
      <c r="EK6" s="104"/>
      <c r="EL6" s="104"/>
      <c r="EM6" s="102"/>
      <c r="EN6" s="104"/>
      <c r="EO6" s="104"/>
      <c r="EP6" s="102"/>
      <c r="EQ6" s="73"/>
      <c r="ER6" s="77"/>
      <c r="ES6" s="77"/>
      <c r="ET6" s="78"/>
      <c r="EU6" s="78"/>
      <c r="EV6" s="79"/>
      <c r="EW6" s="80"/>
      <c r="EX6" s="78"/>
      <c r="EY6" s="79"/>
      <c r="EZ6" s="61"/>
      <c r="FA6" s="42"/>
      <c r="FB6" s="42"/>
      <c r="FC6" s="43"/>
      <c r="FD6" s="43"/>
      <c r="FE6" s="44"/>
      <c r="FF6" s="45"/>
      <c r="FG6" s="43"/>
      <c r="FH6" s="44"/>
      <c r="FI6" s="61"/>
      <c r="FJ6" s="24"/>
      <c r="FK6" s="25"/>
      <c r="FL6" s="25"/>
      <c r="FM6" s="32"/>
      <c r="FN6" s="27"/>
      <c r="FO6" s="25"/>
      <c r="FP6" s="32"/>
      <c r="FR6" s="4"/>
      <c r="FS6" s="5"/>
      <c r="FT6" s="5"/>
      <c r="FU6" s="36"/>
      <c r="FV6" s="46"/>
      <c r="FW6" s="5"/>
      <c r="FX6" s="47"/>
    </row>
    <row r="7" spans="1:180" x14ac:dyDescent="0.5">
      <c r="A7" s="250"/>
      <c r="B7" s="307" t="s">
        <v>808</v>
      </c>
      <c r="C7" s="289">
        <v>3284</v>
      </c>
      <c r="D7" s="248">
        <v>3507</v>
      </c>
      <c r="E7" s="249">
        <f t="shared" si="0"/>
        <v>6.7904993909866009</v>
      </c>
      <c r="F7" s="251">
        <v>3540</v>
      </c>
      <c r="G7" s="248">
        <v>3507</v>
      </c>
      <c r="H7" s="249">
        <f t="shared" si="16"/>
        <v>-0.93220338983050854</v>
      </c>
      <c r="I7" s="250"/>
      <c r="J7" s="307" t="s">
        <v>808</v>
      </c>
      <c r="K7" s="289">
        <v>3958</v>
      </c>
      <c r="L7" s="251">
        <v>3540</v>
      </c>
      <c r="M7" s="249">
        <f t="shared" si="1"/>
        <v>-10.56088933804952</v>
      </c>
      <c r="N7" s="251"/>
      <c r="O7" s="251">
        <v>3540</v>
      </c>
      <c r="P7" s="249" t="e">
        <f t="shared" si="17"/>
        <v>#DIV/0!</v>
      </c>
      <c r="Q7" s="250"/>
      <c r="R7" s="250"/>
      <c r="S7" s="286"/>
      <c r="T7" s="251"/>
      <c r="U7" s="249"/>
      <c r="V7" s="251"/>
      <c r="W7" s="251"/>
      <c r="X7" s="249"/>
      <c r="Y7" s="250"/>
      <c r="Z7" s="250"/>
      <c r="AA7" s="286"/>
      <c r="AB7" s="251"/>
      <c r="AC7" s="249"/>
      <c r="AD7" s="251"/>
      <c r="AE7" s="251"/>
      <c r="AF7" s="249"/>
      <c r="AG7" s="250"/>
      <c r="AH7" s="250"/>
      <c r="AI7" s="286"/>
      <c r="AJ7" s="251"/>
      <c r="AK7" s="249"/>
      <c r="AL7" s="251"/>
      <c r="AM7" s="251"/>
      <c r="AN7" s="249"/>
      <c r="AO7" s="250"/>
      <c r="AP7" s="250"/>
      <c r="AQ7" s="286"/>
      <c r="AR7" s="251"/>
      <c r="AS7" s="249"/>
      <c r="AT7" s="251"/>
      <c r="AU7" s="251"/>
      <c r="AV7" s="249"/>
      <c r="AW7" s="250"/>
      <c r="AX7" s="250"/>
      <c r="AY7" s="286"/>
      <c r="AZ7" s="251"/>
      <c r="BA7" s="249"/>
      <c r="BB7" s="251"/>
      <c r="BC7" s="251"/>
      <c r="BD7" s="249"/>
      <c r="BE7" s="250"/>
      <c r="BF7" s="250"/>
      <c r="BG7" s="286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249"/>
      <c r="BV7" s="250"/>
      <c r="BW7" s="250"/>
      <c r="BX7" s="251"/>
      <c r="BY7" s="251"/>
      <c r="BZ7" s="249"/>
      <c r="CA7" s="251"/>
      <c r="CB7" s="251"/>
      <c r="CC7" s="249"/>
      <c r="CD7" s="249"/>
      <c r="CF7" s="250"/>
      <c r="CG7" s="250"/>
      <c r="CH7" s="251"/>
      <c r="CI7" s="251"/>
      <c r="CJ7" s="249"/>
      <c r="CK7" s="251"/>
      <c r="CL7" s="251"/>
      <c r="CM7" s="249"/>
      <c r="CN7" s="249"/>
      <c r="CO7" s="73"/>
      <c r="CP7" s="250"/>
      <c r="CQ7" s="250"/>
      <c r="CR7" s="251"/>
      <c r="CS7" s="251"/>
      <c r="CT7" s="249"/>
      <c r="CU7" s="251"/>
      <c r="CV7" s="251"/>
      <c r="CW7" s="249"/>
      <c r="CX7" s="73"/>
      <c r="CY7" s="232"/>
      <c r="CZ7" s="232"/>
      <c r="DA7" s="233"/>
      <c r="DB7" s="233"/>
      <c r="DC7" s="231"/>
      <c r="DD7" s="233"/>
      <c r="DE7" s="233"/>
      <c r="DF7" s="231"/>
      <c r="DG7" s="73"/>
      <c r="DH7" s="103"/>
      <c r="DI7" s="103"/>
      <c r="DJ7" s="104"/>
      <c r="DK7" s="104"/>
      <c r="DL7" s="102"/>
      <c r="DM7" s="104"/>
      <c r="DN7" s="104"/>
      <c r="DO7" s="102"/>
      <c r="DP7" s="73"/>
      <c r="DQ7" s="103"/>
      <c r="DR7" s="103"/>
      <c r="DS7" s="104"/>
      <c r="DT7" s="104"/>
      <c r="DU7" s="102"/>
      <c r="DV7" s="104"/>
      <c r="DW7" s="104"/>
      <c r="DX7" s="102"/>
      <c r="DY7" s="73"/>
      <c r="DZ7" s="24"/>
      <c r="EA7" s="24"/>
      <c r="EB7" s="123"/>
      <c r="EC7" s="50"/>
      <c r="ED7" s="128"/>
      <c r="EE7" s="123"/>
      <c r="EF7" s="123"/>
      <c r="EG7" s="128"/>
      <c r="EH7" s="130"/>
      <c r="EI7" s="103"/>
      <c r="EJ7" s="103"/>
      <c r="EK7" s="104"/>
      <c r="EL7" s="104"/>
      <c r="EM7" s="102"/>
      <c r="EN7" s="104"/>
      <c r="EO7" s="104"/>
      <c r="EP7" s="102"/>
      <c r="EQ7" s="73"/>
      <c r="ER7" s="77"/>
      <c r="ES7" s="77"/>
      <c r="ET7" s="78"/>
      <c r="EU7" s="78"/>
      <c r="EV7" s="79"/>
      <c r="EW7" s="80"/>
      <c r="EX7" s="78"/>
      <c r="EY7" s="79"/>
      <c r="EZ7" s="61"/>
      <c r="FA7" s="42"/>
      <c r="FB7" s="42"/>
      <c r="FC7" s="43"/>
      <c r="FD7" s="43"/>
      <c r="FE7" s="44"/>
      <c r="FF7" s="45"/>
      <c r="FG7" s="43"/>
      <c r="FH7" s="44"/>
      <c r="FI7" s="61"/>
      <c r="FJ7" s="24"/>
      <c r="FK7" s="25"/>
      <c r="FL7" s="25"/>
      <c r="FM7" s="32"/>
      <c r="FN7" s="27"/>
      <c r="FO7" s="25"/>
      <c r="FP7" s="32"/>
      <c r="FR7" s="4"/>
      <c r="FS7" s="5"/>
      <c r="FT7" s="5"/>
      <c r="FU7" s="36"/>
      <c r="FV7" s="46"/>
      <c r="FW7" s="5"/>
      <c r="FX7" s="47"/>
    </row>
    <row r="8" spans="1:180" x14ac:dyDescent="0.5">
      <c r="A8" s="247" t="s">
        <v>1</v>
      </c>
      <c r="B8" s="247"/>
      <c r="C8" s="248">
        <v>144458</v>
      </c>
      <c r="D8" s="248">
        <v>130283</v>
      </c>
      <c r="E8" s="249">
        <f t="shared" si="0"/>
        <v>-9.8125406692602688</v>
      </c>
      <c r="F8" s="248">
        <v>131736</v>
      </c>
      <c r="G8" s="248">
        <v>130283</v>
      </c>
      <c r="H8" s="249">
        <f>((G8-F8)/F8)*100</f>
        <v>-1.102963502763102</v>
      </c>
      <c r="I8" s="247" t="s">
        <v>1</v>
      </c>
      <c r="J8" s="247"/>
      <c r="K8" s="248">
        <v>141557</v>
      </c>
      <c r="L8" s="248">
        <v>131736</v>
      </c>
      <c r="M8" s="249">
        <f t="shared" si="1"/>
        <v>-6.9378412936131726</v>
      </c>
      <c r="N8" s="248">
        <v>160123</v>
      </c>
      <c r="O8" s="248">
        <v>131736</v>
      </c>
      <c r="P8" s="249">
        <f>((O8-N8)/N8)*100</f>
        <v>-17.728246410571874</v>
      </c>
      <c r="Q8" s="247" t="s">
        <v>1</v>
      </c>
      <c r="R8" s="247"/>
      <c r="S8" s="285">
        <v>150779</v>
      </c>
      <c r="T8" s="248">
        <v>160123</v>
      </c>
      <c r="U8" s="249">
        <f>((T8-S8)/S8)*100</f>
        <v>6.1971494704169672</v>
      </c>
      <c r="V8" s="248">
        <v>171835</v>
      </c>
      <c r="W8" s="248">
        <v>160123</v>
      </c>
      <c r="X8" s="249">
        <f>((W8-V8)/V8)*100</f>
        <v>-6.8158407774900347</v>
      </c>
      <c r="Y8" s="247" t="s">
        <v>1</v>
      </c>
      <c r="Z8" s="247"/>
      <c r="AA8" s="285">
        <v>133815</v>
      </c>
      <c r="AB8" s="248">
        <v>171835</v>
      </c>
      <c r="AC8" s="249">
        <f>((AB8-AA8)/AA8)*100</f>
        <v>28.412360348241979</v>
      </c>
      <c r="AD8" s="248">
        <v>104424</v>
      </c>
      <c r="AE8" s="248">
        <v>171835</v>
      </c>
      <c r="AF8" s="249">
        <f>((AE8-AD8)/AD8)*100</f>
        <v>64.555083122653798</v>
      </c>
      <c r="AG8" s="247" t="s">
        <v>1</v>
      </c>
      <c r="AH8" s="247"/>
      <c r="AI8" s="285">
        <v>115623</v>
      </c>
      <c r="AJ8" s="248">
        <v>104424</v>
      </c>
      <c r="AK8" s="249">
        <f>((AJ8-AI8)/AI8)*100</f>
        <v>-9.6857891595962737</v>
      </c>
      <c r="AL8" s="248">
        <v>143424</v>
      </c>
      <c r="AM8" s="248">
        <v>104424</v>
      </c>
      <c r="AN8" s="249">
        <f>((AM8-AL8)/AL8)*100</f>
        <v>-27.192101740294511</v>
      </c>
      <c r="AO8" s="247" t="s">
        <v>1</v>
      </c>
      <c r="AP8" s="247"/>
      <c r="AQ8" s="285">
        <v>137023</v>
      </c>
      <c r="AR8" s="248">
        <v>143424</v>
      </c>
      <c r="AS8" s="249">
        <f>((AR8-AQ8)/AQ8)*100</f>
        <v>4.6714785109069279</v>
      </c>
      <c r="AT8" s="248">
        <v>149421</v>
      </c>
      <c r="AU8" s="248">
        <v>143424</v>
      </c>
      <c r="AV8" s="249">
        <f>((AU8-AT8)/AT8)*100</f>
        <v>-4.0134920794265865</v>
      </c>
      <c r="AW8" s="247" t="s">
        <v>1</v>
      </c>
      <c r="AX8" s="247"/>
      <c r="AY8" s="285">
        <v>148723</v>
      </c>
      <c r="AZ8" s="248">
        <v>149421</v>
      </c>
      <c r="BA8" s="249">
        <f>((AZ8-AY8)/AY8)*100</f>
        <v>0.46932888658781757</v>
      </c>
      <c r="BB8" s="248">
        <v>156866</v>
      </c>
      <c r="BC8" s="248">
        <v>149421</v>
      </c>
      <c r="BD8" s="249">
        <f>((BC8-BB8)/BB8)*100</f>
        <v>-4.7460890186528628</v>
      </c>
      <c r="BE8" s="247" t="s">
        <v>1</v>
      </c>
      <c r="BF8" s="247"/>
      <c r="BG8" s="285">
        <v>134036</v>
      </c>
      <c r="BH8" s="248">
        <v>156866</v>
      </c>
      <c r="BI8" s="249">
        <f>((BH8-BG8)/BG8)*100</f>
        <v>17.03273747351458</v>
      </c>
      <c r="BJ8" s="248">
        <v>147913</v>
      </c>
      <c r="BK8" s="248">
        <v>156866</v>
      </c>
      <c r="BL8" s="249">
        <f>((BK8-BJ8)/BJ8)*100</f>
        <v>6.0528824376491581</v>
      </c>
      <c r="BM8" s="247" t="s">
        <v>1</v>
      </c>
      <c r="BN8" s="247"/>
      <c r="BO8" s="248">
        <v>140500</v>
      </c>
      <c r="BP8" s="248">
        <v>151500</v>
      </c>
      <c r="BQ8" s="249">
        <f>((BP8-BO8)/BO8)*100</f>
        <v>7.8291814946619214</v>
      </c>
      <c r="BR8" s="248">
        <v>155996</v>
      </c>
      <c r="BS8" s="248">
        <v>151500</v>
      </c>
      <c r="BT8" s="249">
        <f>((BS8-BR8)/BR8)*100</f>
        <v>-2.882125182696992</v>
      </c>
      <c r="BU8" s="249"/>
      <c r="BV8" s="247" t="s">
        <v>1</v>
      </c>
      <c r="BW8" s="247"/>
      <c r="BX8" s="248">
        <v>127331</v>
      </c>
      <c r="BY8" s="248">
        <v>155996</v>
      </c>
      <c r="BZ8" s="249">
        <f>((BY8-BX8)/BX8)*100</f>
        <v>22.512192631802151</v>
      </c>
      <c r="CA8" s="248">
        <v>125621</v>
      </c>
      <c r="CB8" s="248">
        <v>155996</v>
      </c>
      <c r="CC8" s="249">
        <f>((CB8-CA8)/CA8)*100</f>
        <v>24.179874384059989</v>
      </c>
      <c r="CD8" s="249"/>
      <c r="CF8" s="247" t="s">
        <v>1</v>
      </c>
      <c r="CG8" s="247"/>
      <c r="CH8" s="248">
        <v>113477</v>
      </c>
      <c r="CI8" s="248">
        <v>125620</v>
      </c>
      <c r="CJ8" s="249">
        <f>((CI8-CH8)/CH8)*100</f>
        <v>10.700846867647188</v>
      </c>
      <c r="CK8" s="248">
        <f>SUM(CK9:CK11)</f>
        <v>143235</v>
      </c>
      <c r="CL8" s="248">
        <v>125620</v>
      </c>
      <c r="CM8" s="249">
        <f>((CL8-CK8)/CK8)*100</f>
        <v>-12.297971864418612</v>
      </c>
      <c r="CN8" s="249"/>
      <c r="CO8" s="73"/>
      <c r="CP8" s="247" t="s">
        <v>1</v>
      </c>
      <c r="CQ8" s="247"/>
      <c r="CR8" s="248">
        <f>SUM(CR9:CR11)</f>
        <v>160805</v>
      </c>
      <c r="CS8" s="248">
        <f>SUM(CS9:CS11)</f>
        <v>143235</v>
      </c>
      <c r="CT8" s="249">
        <f>((CS8-CR8)/CR8)*100</f>
        <v>-10.926277167998508</v>
      </c>
      <c r="CU8" s="248">
        <v>163556</v>
      </c>
      <c r="CV8" s="248">
        <v>143235</v>
      </c>
      <c r="CW8" s="249">
        <f>((CV8-CU8)/CU8)*100</f>
        <v>-12.424490694318765</v>
      </c>
      <c r="CX8" s="73"/>
      <c r="CY8" s="229" t="s">
        <v>1</v>
      </c>
      <c r="CZ8" s="229"/>
      <c r="DA8" s="230">
        <f>SUM(DA9:DA11)</f>
        <v>176862</v>
      </c>
      <c r="DB8" s="230">
        <f>SUM(DB9:DB11)</f>
        <v>163556</v>
      </c>
      <c r="DC8" s="231">
        <f t="shared" si="4"/>
        <v>-7.5233798102475378</v>
      </c>
      <c r="DD8" s="230">
        <f>SUM(DD9:DD11)</f>
        <v>179717</v>
      </c>
      <c r="DE8" s="230">
        <v>163556</v>
      </c>
      <c r="DF8" s="231">
        <f t="shared" si="5"/>
        <v>-8.992471496853387</v>
      </c>
      <c r="DG8" s="73"/>
      <c r="DH8" s="100" t="s">
        <v>1</v>
      </c>
      <c r="DI8" s="100"/>
      <c r="DJ8" s="101">
        <f>SUM(DJ9:DJ11)</f>
        <v>187771</v>
      </c>
      <c r="DK8" s="101">
        <f>SUM(DK9:DK11)</f>
        <v>179715</v>
      </c>
      <c r="DL8" s="102">
        <f t="shared" si="6"/>
        <v>-4.2903323729436389</v>
      </c>
      <c r="DM8" s="101">
        <f>SUM(DM9:DM11)</f>
        <v>190720</v>
      </c>
      <c r="DN8" s="101">
        <v>179715</v>
      </c>
      <c r="DO8" s="102">
        <f t="shared" si="7"/>
        <v>-5.7702390939597317</v>
      </c>
      <c r="DP8" s="73"/>
      <c r="DQ8" s="100" t="s">
        <v>1</v>
      </c>
      <c r="DR8" s="100"/>
      <c r="DS8" s="101">
        <f>SUM(DS9:DS11)</f>
        <v>178050</v>
      </c>
      <c r="DT8" s="101">
        <f>SUM(DT9:DT11)</f>
        <v>190718</v>
      </c>
      <c r="DU8" s="102">
        <f t="shared" si="8"/>
        <v>7.1148553777028933</v>
      </c>
      <c r="DV8" s="101">
        <v>162516</v>
      </c>
      <c r="DW8" s="101">
        <f>SUM(DW9:DW11)</f>
        <v>190718</v>
      </c>
      <c r="DX8" s="102">
        <f t="shared" si="9"/>
        <v>17.353368283738217</v>
      </c>
      <c r="DY8" s="73"/>
      <c r="DZ8" s="120" t="s">
        <v>1</v>
      </c>
      <c r="EA8" s="120"/>
      <c r="EB8" s="121">
        <f>SUM(EB9:EB11)</f>
        <v>156525</v>
      </c>
      <c r="EC8" s="133">
        <f>SUM(EC9:EC11)</f>
        <v>162516</v>
      </c>
      <c r="ED8" s="125">
        <f t="shared" si="10"/>
        <v>3.8275035936751314</v>
      </c>
      <c r="EE8" s="121">
        <v>121348</v>
      </c>
      <c r="EF8" s="121">
        <v>162516</v>
      </c>
      <c r="EG8" s="125">
        <f t="shared" si="11"/>
        <v>33.925569436661505</v>
      </c>
      <c r="EH8" s="127"/>
      <c r="EI8" s="100" t="s">
        <v>1</v>
      </c>
      <c r="EJ8" s="100"/>
      <c r="EK8" s="101">
        <f>SUM(EK9:EK11)</f>
        <v>138898</v>
      </c>
      <c r="EL8" s="101">
        <f>SUM(EL9:EL11)</f>
        <v>121348</v>
      </c>
      <c r="EM8" s="102">
        <f t="shared" si="12"/>
        <v>-12.63517113277369</v>
      </c>
      <c r="EN8" s="101">
        <f>SUM(EN9:EN11)</f>
        <v>143118</v>
      </c>
      <c r="EO8" s="101">
        <f>SUM(EO9:EO11)</f>
        <v>121348</v>
      </c>
      <c r="EP8" s="102">
        <f t="shared" si="13"/>
        <v>-15.21122430442013</v>
      </c>
      <c r="EQ8" s="73"/>
      <c r="ER8" s="74" t="s">
        <v>1</v>
      </c>
      <c r="ES8" s="74"/>
      <c r="ET8" s="75">
        <f>SUM(ET9:ET11)</f>
        <v>160357</v>
      </c>
      <c r="EU8" s="75">
        <f>SUM(EU9:EU11)</f>
        <v>143095</v>
      </c>
      <c r="EV8" s="76">
        <f t="shared" si="14"/>
        <v>-10.764731193524449</v>
      </c>
      <c r="EW8" s="75">
        <f>SUM(EW9:EW11)</f>
        <v>136838</v>
      </c>
      <c r="EX8" s="75">
        <v>143095</v>
      </c>
      <c r="EY8" s="76">
        <f t="shared" si="15"/>
        <v>4.5725602537306891</v>
      </c>
      <c r="EZ8" s="73"/>
      <c r="FA8" s="63" t="s">
        <v>1</v>
      </c>
      <c r="FB8" s="63"/>
      <c r="FC8" s="64">
        <v>137932</v>
      </c>
      <c r="FD8" s="64">
        <v>136716</v>
      </c>
      <c r="FE8" s="65">
        <f t="shared" si="2"/>
        <v>-0.88159382884319804</v>
      </c>
      <c r="FF8" s="64">
        <v>166772</v>
      </c>
      <c r="FG8" s="64">
        <v>136716</v>
      </c>
      <c r="FH8" s="65">
        <f t="shared" si="3"/>
        <v>-18.022209963303194</v>
      </c>
      <c r="FI8" s="73"/>
    </row>
    <row r="9" spans="1:180" x14ac:dyDescent="0.5">
      <c r="A9" s="250"/>
      <c r="B9" s="250" t="s">
        <v>521</v>
      </c>
      <c r="C9" s="289">
        <v>0</v>
      </c>
      <c r="D9" s="248">
        <v>0</v>
      </c>
      <c r="E9" s="336" t="s">
        <v>530</v>
      </c>
      <c r="F9" s="335">
        <v>0</v>
      </c>
      <c r="G9" s="248">
        <v>0</v>
      </c>
      <c r="H9" s="336" t="s">
        <v>530</v>
      </c>
      <c r="I9" s="250"/>
      <c r="J9" s="250" t="s">
        <v>521</v>
      </c>
      <c r="K9" s="289">
        <v>0</v>
      </c>
      <c r="L9" s="335">
        <v>0</v>
      </c>
      <c r="M9" s="336" t="s">
        <v>530</v>
      </c>
      <c r="N9" s="335">
        <v>0</v>
      </c>
      <c r="O9" s="335">
        <v>0</v>
      </c>
      <c r="P9" s="336" t="s">
        <v>530</v>
      </c>
      <c r="Q9" s="250"/>
      <c r="R9" s="250" t="s">
        <v>521</v>
      </c>
      <c r="S9" s="289">
        <v>0</v>
      </c>
      <c r="T9" s="335">
        <v>0</v>
      </c>
      <c r="U9" s="336" t="s">
        <v>530</v>
      </c>
      <c r="V9" s="335">
        <v>0</v>
      </c>
      <c r="W9" s="335">
        <v>0</v>
      </c>
      <c r="X9" s="336" t="s">
        <v>530</v>
      </c>
      <c r="Y9" s="250"/>
      <c r="Z9" s="250" t="s">
        <v>521</v>
      </c>
      <c r="AA9" s="289" t="s">
        <v>530</v>
      </c>
      <c r="AB9" s="335">
        <v>0</v>
      </c>
      <c r="AC9" s="336" t="s">
        <v>530</v>
      </c>
      <c r="AD9" s="335" t="s">
        <v>530</v>
      </c>
      <c r="AE9" s="335">
        <v>0</v>
      </c>
      <c r="AF9" s="336" t="s">
        <v>530</v>
      </c>
      <c r="AG9" s="250"/>
      <c r="AH9" s="250" t="s">
        <v>521</v>
      </c>
      <c r="AI9" s="289" t="s">
        <v>530</v>
      </c>
      <c r="AJ9" s="335" t="s">
        <v>530</v>
      </c>
      <c r="AK9" s="336" t="s">
        <v>530</v>
      </c>
      <c r="AL9" s="335" t="s">
        <v>530</v>
      </c>
      <c r="AM9" s="335" t="s">
        <v>530</v>
      </c>
      <c r="AN9" s="336" t="s">
        <v>530</v>
      </c>
      <c r="AO9" s="250"/>
      <c r="AP9" s="250" t="s">
        <v>521</v>
      </c>
      <c r="AQ9" s="289" t="s">
        <v>530</v>
      </c>
      <c r="AR9" s="335" t="s">
        <v>530</v>
      </c>
      <c r="AS9" s="336" t="s">
        <v>530</v>
      </c>
      <c r="AT9" s="335">
        <v>0</v>
      </c>
      <c r="AU9" s="335" t="s">
        <v>530</v>
      </c>
      <c r="AV9" s="336" t="s">
        <v>530</v>
      </c>
      <c r="AW9" s="250"/>
      <c r="AX9" s="250" t="s">
        <v>521</v>
      </c>
      <c r="AY9" s="289">
        <v>0</v>
      </c>
      <c r="AZ9" s="335">
        <v>0</v>
      </c>
      <c r="BA9" s="336" t="s">
        <v>530</v>
      </c>
      <c r="BB9" s="335" t="s">
        <v>530</v>
      </c>
      <c r="BC9" s="335">
        <v>0</v>
      </c>
      <c r="BD9" s="249" t="e">
        <f t="shared" ref="BD9:BD14" si="18">((BC9-BB9)/BB9)*100</f>
        <v>#DIV/0!</v>
      </c>
      <c r="BE9" s="250"/>
      <c r="BF9" s="250" t="s">
        <v>521</v>
      </c>
      <c r="BG9" s="289" t="s">
        <v>530</v>
      </c>
      <c r="BH9" s="335" t="s">
        <v>530</v>
      </c>
      <c r="BI9" s="336" t="s">
        <v>530</v>
      </c>
      <c r="BJ9" s="252">
        <v>3</v>
      </c>
      <c r="BK9" s="335" t="s">
        <v>530</v>
      </c>
      <c r="BL9" s="249">
        <f t="shared" ref="BL9:BL14" si="19">((BK9-BJ9)/BJ9)*100</f>
        <v>-100</v>
      </c>
      <c r="BM9" s="250"/>
      <c r="BN9" s="250" t="s">
        <v>435</v>
      </c>
      <c r="BO9" s="252"/>
      <c r="BP9" s="252"/>
      <c r="BQ9" s="249"/>
      <c r="BR9" s="252">
        <v>9</v>
      </c>
      <c r="BS9" s="252"/>
      <c r="BT9" s="249"/>
      <c r="BU9" s="249"/>
      <c r="BV9" s="250"/>
      <c r="BW9" s="250" t="s">
        <v>435</v>
      </c>
      <c r="BX9" s="252">
        <v>13</v>
      </c>
      <c r="BY9" s="252">
        <v>9</v>
      </c>
      <c r="BZ9" s="249">
        <f t="shared" ref="BZ9:BZ18" si="20">((BY9-BX9)/BX9)*100</f>
        <v>-30.76923076923077</v>
      </c>
      <c r="CA9" s="252"/>
      <c r="CB9" s="252">
        <v>9</v>
      </c>
      <c r="CC9" s="249"/>
      <c r="CD9" s="249"/>
      <c r="CF9" s="250"/>
      <c r="CG9" s="250" t="s">
        <v>57</v>
      </c>
      <c r="CH9" s="252">
        <v>56901</v>
      </c>
      <c r="CI9" s="252">
        <v>63368</v>
      </c>
      <c r="CJ9" s="249">
        <f t="shared" ref="CJ9:CJ18" si="21">((CI9-CH9)/CH9)*100</f>
        <v>11.365353860213354</v>
      </c>
      <c r="CK9" s="252">
        <v>73923</v>
      </c>
      <c r="CL9" s="252">
        <v>63368</v>
      </c>
      <c r="CM9" s="249">
        <f t="shared" ref="CM9:CM18" si="22">((CL9-CK9)/CK9)*100</f>
        <v>-14.278370737118355</v>
      </c>
      <c r="CN9" s="249"/>
      <c r="CO9" s="73"/>
      <c r="CP9" s="250"/>
      <c r="CQ9" s="250" t="s">
        <v>57</v>
      </c>
      <c r="CR9" s="252">
        <v>81251</v>
      </c>
      <c r="CS9" s="252">
        <v>73923</v>
      </c>
      <c r="CT9" s="249">
        <f t="shared" ref="CT9:CT18" si="23">((CS9-CR9)/CR9)*100</f>
        <v>-9.0189659204194417</v>
      </c>
      <c r="CU9" s="252">
        <v>78407</v>
      </c>
      <c r="CV9" s="252">
        <v>73923</v>
      </c>
      <c r="CW9" s="249">
        <f t="shared" ref="CW9:CW18" si="24">((CV9-CU9)/CU9)*100</f>
        <v>-5.7188771410715873</v>
      </c>
      <c r="CX9" s="73"/>
      <c r="CY9" s="232"/>
      <c r="CZ9" s="232" t="s">
        <v>57</v>
      </c>
      <c r="DA9" s="234">
        <v>84197</v>
      </c>
      <c r="DB9" s="234">
        <v>78407</v>
      </c>
      <c r="DC9" s="231">
        <f t="shared" si="4"/>
        <v>-6.8767295746879338</v>
      </c>
      <c r="DD9" s="234">
        <v>83730</v>
      </c>
      <c r="DE9" s="234">
        <v>78407</v>
      </c>
      <c r="DF9" s="231">
        <f t="shared" si="5"/>
        <v>-6.3573390660456228</v>
      </c>
      <c r="DG9" s="73"/>
      <c r="DH9" s="103"/>
      <c r="DI9" s="103" t="s">
        <v>57</v>
      </c>
      <c r="DJ9" s="105">
        <v>85853</v>
      </c>
      <c r="DK9" s="105">
        <v>83091</v>
      </c>
      <c r="DL9" s="102">
        <f t="shared" si="6"/>
        <v>-3.2171269495533061</v>
      </c>
      <c r="DM9" s="105">
        <v>96008</v>
      </c>
      <c r="DN9" s="105">
        <v>83091</v>
      </c>
      <c r="DO9" s="102">
        <f t="shared" si="7"/>
        <v>-13.454087159403382</v>
      </c>
      <c r="DP9" s="73"/>
      <c r="DQ9" s="103"/>
      <c r="DR9" s="103" t="s">
        <v>57</v>
      </c>
      <c r="DS9" s="105">
        <v>93377</v>
      </c>
      <c r="DT9" s="105">
        <v>96007</v>
      </c>
      <c r="DU9" s="102">
        <f t="shared" si="8"/>
        <v>2.8165394047784789</v>
      </c>
      <c r="DV9" s="105">
        <v>74070</v>
      </c>
      <c r="DW9" s="105">
        <v>96007</v>
      </c>
      <c r="DX9" s="102">
        <f t="shared" si="9"/>
        <v>29.616578911840151</v>
      </c>
      <c r="DY9" s="73"/>
      <c r="DZ9" s="24"/>
      <c r="EA9" s="24" t="s">
        <v>57</v>
      </c>
      <c r="EB9" s="25">
        <v>69799</v>
      </c>
      <c r="EC9" s="50">
        <v>74070</v>
      </c>
      <c r="ED9" s="128">
        <f t="shared" si="10"/>
        <v>6.118998839524922</v>
      </c>
      <c r="EE9" s="25">
        <v>60331</v>
      </c>
      <c r="EF9" s="25">
        <v>74070</v>
      </c>
      <c r="EG9" s="128">
        <f t="shared" si="11"/>
        <v>22.772703916726062</v>
      </c>
      <c r="EH9" s="130"/>
      <c r="EI9" s="103"/>
      <c r="EJ9" s="103" t="s">
        <v>57</v>
      </c>
      <c r="EK9" s="105">
        <v>66181</v>
      </c>
      <c r="EL9" s="105">
        <v>60331</v>
      </c>
      <c r="EM9" s="102">
        <f t="shared" si="12"/>
        <v>-8.8393949925205124</v>
      </c>
      <c r="EN9" s="105">
        <v>76141</v>
      </c>
      <c r="EO9" s="105">
        <v>60331</v>
      </c>
      <c r="EP9" s="102">
        <f t="shared" si="13"/>
        <v>-20.764108693082569</v>
      </c>
      <c r="EQ9" s="73"/>
      <c r="ER9" s="77"/>
      <c r="ES9" s="77" t="s">
        <v>57</v>
      </c>
      <c r="ET9" s="80">
        <v>88874</v>
      </c>
      <c r="EU9" s="80">
        <v>80365</v>
      </c>
      <c r="EV9" s="79">
        <f t="shared" si="14"/>
        <v>-9.5742286833044528</v>
      </c>
      <c r="EW9" s="81">
        <v>75309</v>
      </c>
      <c r="EX9" s="80">
        <v>80365</v>
      </c>
      <c r="EY9" s="79">
        <f t="shared" si="15"/>
        <v>6.7136730005709815</v>
      </c>
      <c r="EZ9" s="61"/>
      <c r="FA9" s="42"/>
      <c r="FB9" s="42" t="s">
        <v>57</v>
      </c>
      <c r="FC9" s="43">
        <v>75224</v>
      </c>
      <c r="FD9" s="43">
        <v>75276</v>
      </c>
      <c r="FE9" s="44">
        <f t="shared" si="2"/>
        <v>6.9126874401786664E-2</v>
      </c>
      <c r="FF9" s="45">
        <v>101327</v>
      </c>
      <c r="FG9" s="43">
        <v>75276</v>
      </c>
      <c r="FH9" s="44">
        <f t="shared" si="3"/>
        <v>-25.709830548619816</v>
      </c>
      <c r="FI9" s="61"/>
      <c r="FK9" s="34" t="s">
        <v>27</v>
      </c>
      <c r="FR9" s="34" t="s">
        <v>25</v>
      </c>
    </row>
    <row r="10" spans="1:180" x14ac:dyDescent="0.5">
      <c r="A10" s="250"/>
      <c r="B10" s="347" t="s">
        <v>522</v>
      </c>
      <c r="C10" s="252">
        <v>43549</v>
      </c>
      <c r="D10" s="248">
        <v>40139</v>
      </c>
      <c r="E10" s="249">
        <f t="shared" ref="E10:E18" si="25">((D10-C10)/C10)*100</f>
        <v>-7.830260166708765</v>
      </c>
      <c r="F10" s="252">
        <v>44328</v>
      </c>
      <c r="G10" s="248">
        <v>40139</v>
      </c>
      <c r="H10" s="249">
        <f t="shared" ref="H10:H14" si="26">((G10-F10)/F10)*100</f>
        <v>-9.4500090236419414</v>
      </c>
      <c r="I10" s="250"/>
      <c r="J10" s="347" t="s">
        <v>522</v>
      </c>
      <c r="K10" s="252">
        <v>48679</v>
      </c>
      <c r="L10" s="252">
        <v>44328</v>
      </c>
      <c r="M10" s="249">
        <f t="shared" ref="M10:M18" si="27">((L10-K10)/K10)*100</f>
        <v>-8.9381458123626203</v>
      </c>
      <c r="N10" s="252">
        <v>64272</v>
      </c>
      <c r="O10" s="252">
        <v>44328</v>
      </c>
      <c r="P10" s="249">
        <f t="shared" ref="P10:P14" si="28">((O10-N10)/N10)*100</f>
        <v>-31.030619865571325</v>
      </c>
      <c r="Q10" s="250"/>
      <c r="R10" s="347" t="s">
        <v>522</v>
      </c>
      <c r="S10" s="289">
        <v>61740</v>
      </c>
      <c r="T10" s="252">
        <v>64272</v>
      </c>
      <c r="U10" s="249">
        <f t="shared" ref="U10:U18" si="29">((T10-S10)/S10)*100</f>
        <v>4.1010689990281826</v>
      </c>
      <c r="V10" s="252">
        <v>71674</v>
      </c>
      <c r="W10" s="252">
        <v>64272</v>
      </c>
      <c r="X10" s="249">
        <f t="shared" ref="X10:X14" si="30">((W10-V10)/V10)*100</f>
        <v>-10.327315344476379</v>
      </c>
      <c r="Y10" s="250"/>
      <c r="Z10" s="347" t="s">
        <v>522</v>
      </c>
      <c r="AA10" s="289">
        <v>52851</v>
      </c>
      <c r="AB10" s="252">
        <v>71674</v>
      </c>
      <c r="AC10" s="249">
        <f t="shared" ref="AC10:AC18" si="31">((AB10-AA10)/AA10)*100</f>
        <v>35.615220147206294</v>
      </c>
      <c r="AD10" s="252">
        <v>48194</v>
      </c>
      <c r="AE10" s="252">
        <v>71674</v>
      </c>
      <c r="AF10" s="249">
        <f t="shared" ref="AF10:AF14" si="32">((AE10-AD10)/AD10)*100</f>
        <v>48.719757646180021</v>
      </c>
      <c r="AG10" s="250"/>
      <c r="AH10" s="347" t="s">
        <v>522</v>
      </c>
      <c r="AI10" s="289">
        <v>57288</v>
      </c>
      <c r="AJ10" s="252">
        <v>48194</v>
      </c>
      <c r="AK10" s="249">
        <f t="shared" ref="AK10:AK18" si="33">((AJ10-AI10)/AI10)*100</f>
        <v>-15.874179583857003</v>
      </c>
      <c r="AL10" s="252">
        <v>69032</v>
      </c>
      <c r="AM10" s="252">
        <v>48194</v>
      </c>
      <c r="AN10" s="249">
        <f t="shared" ref="AN10:AN14" si="34">((AM10-AL10)/AL10)*100</f>
        <v>-30.1860006953297</v>
      </c>
      <c r="AO10" s="250"/>
      <c r="AP10" s="347" t="s">
        <v>522</v>
      </c>
      <c r="AQ10" s="289">
        <v>67716</v>
      </c>
      <c r="AR10" s="252">
        <v>69032</v>
      </c>
      <c r="AS10" s="249">
        <f t="shared" ref="AS10:AS18" si="35">((AR10-AQ10)/AQ10)*100</f>
        <v>1.9434107153405398</v>
      </c>
      <c r="AT10" s="252">
        <v>75034</v>
      </c>
      <c r="AU10" s="252">
        <v>69032</v>
      </c>
      <c r="AV10" s="249">
        <f t="shared" ref="AV10:AV14" si="36">((AU10-AT10)/AT10)*100</f>
        <v>-7.999040435002799</v>
      </c>
      <c r="AW10" s="250"/>
      <c r="AX10" s="347" t="s">
        <v>522</v>
      </c>
      <c r="AY10" s="289">
        <v>77318</v>
      </c>
      <c r="AZ10" s="252">
        <v>75034</v>
      </c>
      <c r="BA10" s="249">
        <f t="shared" ref="BA10:BA18" si="37">((AZ10-AY10)/AY10)*100</f>
        <v>-2.9540339894979177</v>
      </c>
      <c r="BB10" s="252">
        <v>81924</v>
      </c>
      <c r="BC10" s="252">
        <v>75034</v>
      </c>
      <c r="BD10" s="249">
        <f t="shared" si="18"/>
        <v>-8.410233875299058</v>
      </c>
      <c r="BE10" s="250"/>
      <c r="BF10" s="250" t="s">
        <v>522</v>
      </c>
      <c r="BG10" s="289">
        <v>68125</v>
      </c>
      <c r="BH10" s="252">
        <v>81924</v>
      </c>
      <c r="BI10" s="249">
        <f t="shared" ref="BI10:BI18" si="38">((BH10-BG10)/BG10)*100</f>
        <v>20.255412844036698</v>
      </c>
      <c r="BJ10" s="252">
        <v>80360</v>
      </c>
      <c r="BK10" s="252">
        <v>81924</v>
      </c>
      <c r="BL10" s="249">
        <f t="shared" si="19"/>
        <v>1.9462419113987057</v>
      </c>
      <c r="BM10" s="250"/>
      <c r="BN10" s="250" t="s">
        <v>436</v>
      </c>
      <c r="BO10" s="252"/>
      <c r="BP10" s="252"/>
      <c r="BQ10" s="249"/>
      <c r="BR10" s="252">
        <v>134639</v>
      </c>
      <c r="BS10" s="252"/>
      <c r="BT10" s="249"/>
      <c r="BU10" s="249"/>
      <c r="BV10" s="250"/>
      <c r="BW10" s="250" t="s">
        <v>436</v>
      </c>
      <c r="BX10" s="252">
        <v>109249</v>
      </c>
      <c r="BY10" s="252">
        <v>134639</v>
      </c>
      <c r="BZ10" s="249">
        <f t="shared" si="20"/>
        <v>23.240487327115122</v>
      </c>
      <c r="CA10" s="252"/>
      <c r="CB10" s="252">
        <v>134639</v>
      </c>
      <c r="CC10" s="249"/>
      <c r="CD10" s="249"/>
      <c r="CF10" s="250"/>
      <c r="CG10" s="250" t="s">
        <v>59</v>
      </c>
      <c r="CH10" s="252">
        <v>41432</v>
      </c>
      <c r="CI10" s="252">
        <v>46165</v>
      </c>
      <c r="CJ10" s="249">
        <f t="shared" si="21"/>
        <v>11.423537362425179</v>
      </c>
      <c r="CK10" s="252">
        <v>52733</v>
      </c>
      <c r="CL10" s="252">
        <v>46165</v>
      </c>
      <c r="CM10" s="249">
        <f t="shared" si="22"/>
        <v>-12.455198831851023</v>
      </c>
      <c r="CN10" s="249"/>
      <c r="CO10" s="73"/>
      <c r="CP10" s="250"/>
      <c r="CQ10" s="250" t="s">
        <v>59</v>
      </c>
      <c r="CR10" s="252">
        <v>60777</v>
      </c>
      <c r="CS10" s="252">
        <v>52733</v>
      </c>
      <c r="CT10" s="249">
        <f t="shared" si="23"/>
        <v>-13.235269921187292</v>
      </c>
      <c r="CU10" s="252">
        <v>71596</v>
      </c>
      <c r="CV10" s="252">
        <v>52733</v>
      </c>
      <c r="CW10" s="249">
        <f t="shared" si="24"/>
        <v>-26.346443935415387</v>
      </c>
      <c r="CX10" s="73"/>
      <c r="CY10" s="232"/>
      <c r="CZ10" s="232" t="s">
        <v>59</v>
      </c>
      <c r="DA10" s="234">
        <v>78261</v>
      </c>
      <c r="DB10" s="234">
        <v>71596</v>
      </c>
      <c r="DC10" s="231">
        <f t="shared" si="4"/>
        <v>-8.5163746949310646</v>
      </c>
      <c r="DD10" s="234">
        <v>89065</v>
      </c>
      <c r="DE10" s="234">
        <v>71596</v>
      </c>
      <c r="DF10" s="231">
        <f t="shared" si="5"/>
        <v>-19.61376522764273</v>
      </c>
      <c r="DG10" s="73"/>
      <c r="DH10" s="103"/>
      <c r="DI10" s="103" t="s">
        <v>59</v>
      </c>
      <c r="DJ10" s="105">
        <v>93500</v>
      </c>
      <c r="DK10" s="105">
        <v>89064</v>
      </c>
      <c r="DL10" s="102">
        <f t="shared" si="6"/>
        <v>-4.7443850267379677</v>
      </c>
      <c r="DM10" s="105">
        <v>87885</v>
      </c>
      <c r="DN10" s="105">
        <v>89064</v>
      </c>
      <c r="DO10" s="102">
        <f t="shared" si="7"/>
        <v>1.3415258576548901</v>
      </c>
      <c r="DP10" s="73"/>
      <c r="DQ10" s="103"/>
      <c r="DR10" s="103" t="s">
        <v>59</v>
      </c>
      <c r="DS10" s="105">
        <v>78116</v>
      </c>
      <c r="DT10" s="105">
        <v>87884</v>
      </c>
      <c r="DU10" s="102">
        <f t="shared" si="8"/>
        <v>12.504480516155461</v>
      </c>
      <c r="DV10" s="105">
        <v>85390</v>
      </c>
      <c r="DW10" s="105">
        <v>87884</v>
      </c>
      <c r="DX10" s="102">
        <f t="shared" si="9"/>
        <v>2.9207167115587307</v>
      </c>
      <c r="DY10" s="73"/>
      <c r="DZ10" s="24"/>
      <c r="EA10" s="24" t="s">
        <v>59</v>
      </c>
      <c r="EB10" s="25">
        <v>83733</v>
      </c>
      <c r="EC10" s="50">
        <v>85390</v>
      </c>
      <c r="ED10" s="128">
        <f t="shared" si="10"/>
        <v>1.9789091517084065</v>
      </c>
      <c r="EE10" s="25">
        <v>55370</v>
      </c>
      <c r="EF10" s="25">
        <v>85390</v>
      </c>
      <c r="EG10" s="128">
        <f t="shared" si="11"/>
        <v>54.217085064114144</v>
      </c>
      <c r="EH10" s="130"/>
      <c r="EI10" s="103"/>
      <c r="EJ10" s="103" t="s">
        <v>59</v>
      </c>
      <c r="EK10" s="105">
        <v>66618</v>
      </c>
      <c r="EL10" s="105">
        <v>55370</v>
      </c>
      <c r="EM10" s="102">
        <f>((EL10-EK10)/EK10)*100</f>
        <v>-16.884325557657089</v>
      </c>
      <c r="EN10" s="105">
        <v>60531</v>
      </c>
      <c r="EO10" s="105">
        <v>55370</v>
      </c>
      <c r="EP10" s="102">
        <f>((EO10-EN10)/EN10)*100</f>
        <v>-8.5262097107267358</v>
      </c>
      <c r="EQ10" s="73"/>
      <c r="ER10" s="77"/>
      <c r="ES10" s="77" t="s">
        <v>58</v>
      </c>
      <c r="ET10" s="80">
        <v>1742</v>
      </c>
      <c r="EU10" s="80">
        <v>1620</v>
      </c>
      <c r="EV10" s="79">
        <f t="shared" si="14"/>
        <v>-7.003444316877153</v>
      </c>
      <c r="EW10" s="81">
        <v>1424</v>
      </c>
      <c r="EX10" s="80">
        <v>1620</v>
      </c>
      <c r="EY10" s="79">
        <f t="shared" si="15"/>
        <v>13.764044943820226</v>
      </c>
      <c r="EZ10" s="61"/>
      <c r="FA10" s="42"/>
      <c r="FB10" s="42" t="s">
        <v>58</v>
      </c>
      <c r="FC10" s="43">
        <v>1267</v>
      </c>
      <c r="FD10" s="43">
        <v>1424</v>
      </c>
      <c r="FE10" s="44">
        <f t="shared" si="2"/>
        <v>12.39147592738753</v>
      </c>
      <c r="FF10" s="45">
        <v>1549</v>
      </c>
      <c r="FG10" s="43">
        <v>1424</v>
      </c>
      <c r="FH10" s="44">
        <f t="shared" si="3"/>
        <v>-8.0697224015493862</v>
      </c>
      <c r="FI10" s="61"/>
      <c r="FJ10" s="29"/>
      <c r="FK10" s="30">
        <v>18080</v>
      </c>
      <c r="FL10" s="30">
        <v>18111</v>
      </c>
      <c r="FM10" s="29" t="s">
        <v>3</v>
      </c>
      <c r="FN10" s="30">
        <v>17746</v>
      </c>
      <c r="FO10" s="30">
        <v>18111</v>
      </c>
      <c r="FP10" s="29" t="s">
        <v>3</v>
      </c>
      <c r="FR10" s="48"/>
      <c r="FS10" s="49">
        <v>17715</v>
      </c>
      <c r="FT10" s="49">
        <v>17746</v>
      </c>
      <c r="FU10" s="48" t="s">
        <v>3</v>
      </c>
      <c r="FV10" s="49">
        <v>17380</v>
      </c>
      <c r="FW10" s="49">
        <v>17746</v>
      </c>
      <c r="FX10" s="48" t="s">
        <v>3</v>
      </c>
    </row>
    <row r="11" spans="1:180" x14ac:dyDescent="0.5">
      <c r="A11" s="250"/>
      <c r="B11" s="347" t="s">
        <v>523</v>
      </c>
      <c r="C11" s="252">
        <v>68689</v>
      </c>
      <c r="D11" s="248">
        <v>61140</v>
      </c>
      <c r="E11" s="249">
        <f t="shared" si="25"/>
        <v>-10.990114865553437</v>
      </c>
      <c r="F11" s="252">
        <v>56855</v>
      </c>
      <c r="G11" s="248">
        <v>61140</v>
      </c>
      <c r="H11" s="249">
        <f t="shared" si="26"/>
        <v>7.5367162078972827</v>
      </c>
      <c r="I11" s="250"/>
      <c r="J11" s="347" t="s">
        <v>523</v>
      </c>
      <c r="K11" s="252">
        <v>60381</v>
      </c>
      <c r="L11" s="252">
        <v>56855</v>
      </c>
      <c r="M11" s="249">
        <f t="shared" si="27"/>
        <v>-5.8395853000115929</v>
      </c>
      <c r="N11" s="252">
        <v>51489</v>
      </c>
      <c r="O11" s="252">
        <v>56855</v>
      </c>
      <c r="P11" s="249">
        <f t="shared" si="28"/>
        <v>10.421643457825944</v>
      </c>
      <c r="Q11" s="250"/>
      <c r="R11" s="347" t="s">
        <v>523</v>
      </c>
      <c r="S11" s="289">
        <v>48347</v>
      </c>
      <c r="T11" s="252">
        <v>51489</v>
      </c>
      <c r="U11" s="249">
        <f t="shared" si="29"/>
        <v>6.4988520487310479</v>
      </c>
      <c r="V11" s="252">
        <v>59846</v>
      </c>
      <c r="W11" s="252">
        <v>51489</v>
      </c>
      <c r="X11" s="249">
        <f t="shared" si="30"/>
        <v>-13.964174715102097</v>
      </c>
      <c r="Y11" s="250"/>
      <c r="Z11" s="347" t="s">
        <v>523</v>
      </c>
      <c r="AA11" s="289">
        <v>50654</v>
      </c>
      <c r="AB11" s="252">
        <v>59846</v>
      </c>
      <c r="AC11" s="249">
        <f t="shared" si="31"/>
        <v>18.146641923638803</v>
      </c>
      <c r="AD11" s="252">
        <v>29429</v>
      </c>
      <c r="AE11" s="252">
        <v>59846</v>
      </c>
      <c r="AF11" s="249">
        <f t="shared" si="32"/>
        <v>103.35723266166026</v>
      </c>
      <c r="AG11" s="250"/>
      <c r="AH11" s="347" t="s">
        <v>523</v>
      </c>
      <c r="AI11" s="289">
        <v>31285</v>
      </c>
      <c r="AJ11" s="252">
        <v>29429</v>
      </c>
      <c r="AK11" s="249">
        <f t="shared" si="33"/>
        <v>-5.9325555377976666</v>
      </c>
      <c r="AL11" s="252">
        <v>41213</v>
      </c>
      <c r="AM11" s="252">
        <v>29429</v>
      </c>
      <c r="AN11" s="249">
        <f t="shared" si="34"/>
        <v>-28.592919709800306</v>
      </c>
      <c r="AO11" s="250"/>
      <c r="AP11" s="347" t="s">
        <v>523</v>
      </c>
      <c r="AQ11" s="289">
        <v>38987</v>
      </c>
      <c r="AR11" s="252">
        <v>41213</v>
      </c>
      <c r="AS11" s="249">
        <f t="shared" si="35"/>
        <v>5.7095955061943728</v>
      </c>
      <c r="AT11" s="252">
        <v>42267</v>
      </c>
      <c r="AU11" s="252">
        <v>41213</v>
      </c>
      <c r="AV11" s="249">
        <f t="shared" si="36"/>
        <v>-2.4936711855584734</v>
      </c>
      <c r="AW11" s="250"/>
      <c r="AX11" s="347" t="s">
        <v>523</v>
      </c>
      <c r="AY11" s="289">
        <v>40635</v>
      </c>
      <c r="AZ11" s="252">
        <v>42267</v>
      </c>
      <c r="BA11" s="249">
        <f t="shared" si="37"/>
        <v>4.0162421557770394</v>
      </c>
      <c r="BB11" s="252">
        <v>41564</v>
      </c>
      <c r="BC11" s="252">
        <v>42267</v>
      </c>
      <c r="BD11" s="249">
        <f t="shared" si="18"/>
        <v>1.6913675295929169</v>
      </c>
      <c r="BE11" s="250"/>
      <c r="BF11" s="250" t="s">
        <v>523</v>
      </c>
      <c r="BG11" s="289">
        <v>37793</v>
      </c>
      <c r="BH11" s="252">
        <v>41564</v>
      </c>
      <c r="BI11" s="249">
        <f t="shared" si="38"/>
        <v>9.9780382610536336</v>
      </c>
      <c r="BJ11" s="252">
        <v>43121</v>
      </c>
      <c r="BK11" s="252">
        <v>41564</v>
      </c>
      <c r="BL11" s="249">
        <f t="shared" si="19"/>
        <v>-3.6107696945803665</v>
      </c>
      <c r="BM11" s="250"/>
      <c r="BN11" s="250" t="s">
        <v>437</v>
      </c>
      <c r="BO11" s="252"/>
      <c r="BP11" s="252"/>
      <c r="BQ11" s="249"/>
      <c r="BR11" s="252">
        <v>14139</v>
      </c>
      <c r="BS11" s="252"/>
      <c r="BT11" s="249"/>
      <c r="BU11" s="249"/>
      <c r="BV11" s="250"/>
      <c r="BW11" s="250" t="s">
        <v>437</v>
      </c>
      <c r="BX11" s="252">
        <v>12151</v>
      </c>
      <c r="BY11" s="252">
        <v>14139</v>
      </c>
      <c r="BZ11" s="249">
        <f t="shared" si="20"/>
        <v>16.360793350341535</v>
      </c>
      <c r="CA11" s="252"/>
      <c r="CB11" s="252">
        <v>14139</v>
      </c>
      <c r="CC11" s="249"/>
      <c r="CD11" s="249"/>
      <c r="CF11" s="250"/>
      <c r="CG11" s="250" t="s">
        <v>58</v>
      </c>
      <c r="CH11" s="252">
        <v>15144</v>
      </c>
      <c r="CI11" s="252">
        <v>16087</v>
      </c>
      <c r="CJ11" s="249">
        <f t="shared" si="21"/>
        <v>6.2268885367142106</v>
      </c>
      <c r="CK11" s="252">
        <v>16579</v>
      </c>
      <c r="CL11" s="252">
        <v>16087</v>
      </c>
      <c r="CM11" s="249">
        <f t="shared" si="22"/>
        <v>-2.9676096266361061</v>
      </c>
      <c r="CN11" s="249"/>
      <c r="CO11" s="73"/>
      <c r="CP11" s="250"/>
      <c r="CQ11" s="250" t="s">
        <v>58</v>
      </c>
      <c r="CR11" s="252">
        <v>18777</v>
      </c>
      <c r="CS11" s="252">
        <v>16579</v>
      </c>
      <c r="CT11" s="249">
        <f t="shared" si="23"/>
        <v>-11.705810299834903</v>
      </c>
      <c r="CU11" s="252">
        <v>13553</v>
      </c>
      <c r="CV11" s="252">
        <v>16579</v>
      </c>
      <c r="CW11" s="249">
        <f t="shared" si="24"/>
        <v>22.327160038367889</v>
      </c>
      <c r="CX11" s="73"/>
      <c r="CY11" s="232"/>
      <c r="CZ11" s="232" t="s">
        <v>58</v>
      </c>
      <c r="DA11" s="234">
        <v>14404</v>
      </c>
      <c r="DB11" s="234">
        <v>13553</v>
      </c>
      <c r="DC11" s="231">
        <f t="shared" si="4"/>
        <v>-5.9080810885865036</v>
      </c>
      <c r="DD11" s="234">
        <v>6922</v>
      </c>
      <c r="DE11" s="234">
        <v>13553</v>
      </c>
      <c r="DF11" s="231">
        <f t="shared" si="5"/>
        <v>95.796012713088714</v>
      </c>
      <c r="DG11" s="73"/>
      <c r="DH11" s="103"/>
      <c r="DI11" s="103" t="s">
        <v>58</v>
      </c>
      <c r="DJ11" s="105">
        <v>8418</v>
      </c>
      <c r="DK11" s="105">
        <v>7560</v>
      </c>
      <c r="DL11" s="102">
        <f t="shared" si="6"/>
        <v>-10.192444761225945</v>
      </c>
      <c r="DM11" s="105">
        <v>6827</v>
      </c>
      <c r="DN11" s="105">
        <v>7560</v>
      </c>
      <c r="DO11" s="102">
        <f t="shared" si="7"/>
        <v>10.736780430643035</v>
      </c>
      <c r="DP11" s="73"/>
      <c r="DQ11" s="103"/>
      <c r="DR11" s="103" t="s">
        <v>58</v>
      </c>
      <c r="DS11" s="105">
        <v>6557</v>
      </c>
      <c r="DT11" s="105">
        <v>6827</v>
      </c>
      <c r="DU11" s="102">
        <f t="shared" si="8"/>
        <v>4.1177367698642673</v>
      </c>
      <c r="DV11" s="105">
        <v>3056</v>
      </c>
      <c r="DW11" s="105">
        <v>6827</v>
      </c>
      <c r="DX11" s="102">
        <f t="shared" si="9"/>
        <v>123.39659685863876</v>
      </c>
      <c r="DY11" s="73"/>
      <c r="DZ11" s="24"/>
      <c r="EA11" s="24" t="s">
        <v>58</v>
      </c>
      <c r="EB11" s="25">
        <v>2993</v>
      </c>
      <c r="EC11" s="50">
        <v>3056</v>
      </c>
      <c r="ED11" s="128">
        <f t="shared" si="10"/>
        <v>2.104911460073505</v>
      </c>
      <c r="EE11" s="25">
        <v>5647</v>
      </c>
      <c r="EF11" s="25">
        <v>3056</v>
      </c>
      <c r="EG11" s="128">
        <f t="shared" si="11"/>
        <v>-45.882769612183459</v>
      </c>
      <c r="EH11" s="130"/>
      <c r="EI11" s="103"/>
      <c r="EJ11" s="103" t="s">
        <v>58</v>
      </c>
      <c r="EK11" s="105">
        <v>6099</v>
      </c>
      <c r="EL11" s="105">
        <v>5647</v>
      </c>
      <c r="EM11" s="102">
        <f t="shared" si="12"/>
        <v>-7.4110509919658965</v>
      </c>
      <c r="EN11" s="105">
        <v>6446</v>
      </c>
      <c r="EO11" s="105">
        <v>5647</v>
      </c>
      <c r="EP11" s="102">
        <f t="shared" si="13"/>
        <v>-12.395283896990382</v>
      </c>
      <c r="EQ11" s="73"/>
      <c r="ER11" s="77"/>
      <c r="ES11" s="77" t="s">
        <v>59</v>
      </c>
      <c r="ET11" s="80">
        <v>69741</v>
      </c>
      <c r="EU11" s="80">
        <v>61110</v>
      </c>
      <c r="EV11" s="79">
        <f t="shared" si="14"/>
        <v>-12.375790424570912</v>
      </c>
      <c r="EW11" s="81">
        <v>60105</v>
      </c>
      <c r="EX11" s="80">
        <v>61110</v>
      </c>
      <c r="EY11" s="79">
        <f t="shared" si="15"/>
        <v>1.672073870726229</v>
      </c>
      <c r="EZ11" s="61"/>
      <c r="FA11" s="42"/>
      <c r="FB11" s="42" t="s">
        <v>59</v>
      </c>
      <c r="FC11" s="43">
        <v>61441</v>
      </c>
      <c r="FD11" s="43">
        <v>60016</v>
      </c>
      <c r="FE11" s="44">
        <f t="shared" si="2"/>
        <v>-2.3192981885060462</v>
      </c>
      <c r="FF11" s="45">
        <v>63896</v>
      </c>
      <c r="FG11" s="43">
        <v>60016</v>
      </c>
      <c r="FH11" s="44">
        <f t="shared" si="3"/>
        <v>-6.0723675973456865</v>
      </c>
      <c r="FI11" s="61"/>
      <c r="FJ11" s="20" t="s">
        <v>0</v>
      </c>
      <c r="FK11" s="21">
        <v>93713</v>
      </c>
      <c r="FL11" s="21">
        <v>105365</v>
      </c>
      <c r="FM11" s="31">
        <f>(FL11-FK11)/FK11*100</f>
        <v>12.433707169763</v>
      </c>
      <c r="FN11" s="35">
        <v>98487</v>
      </c>
      <c r="FO11" s="21">
        <v>105365</v>
      </c>
      <c r="FP11" s="31">
        <f>(FO11-FN11)/FN11*100</f>
        <v>6.9836628184430429</v>
      </c>
      <c r="FR11" s="42" t="s">
        <v>0</v>
      </c>
      <c r="FS11" s="43">
        <v>92068</v>
      </c>
      <c r="FT11" s="43">
        <v>98487</v>
      </c>
      <c r="FU11" s="44">
        <f>(FT11-FS11)/FS11*100</f>
        <v>6.9720206803666844</v>
      </c>
      <c r="FV11" s="45">
        <v>63529</v>
      </c>
      <c r="FW11" s="43">
        <v>98487</v>
      </c>
      <c r="FX11" s="44">
        <f>(FW11-FV11)/FV11*100</f>
        <v>55.026838136913845</v>
      </c>
    </row>
    <row r="12" spans="1:180" x14ac:dyDescent="0.5">
      <c r="A12" s="250"/>
      <c r="B12" s="347" t="s">
        <v>524</v>
      </c>
      <c r="C12" s="252">
        <v>23261</v>
      </c>
      <c r="D12" s="248">
        <v>21311</v>
      </c>
      <c r="E12" s="249">
        <f t="shared" si="25"/>
        <v>-8.3831305618847001</v>
      </c>
      <c r="F12" s="252">
        <v>23782</v>
      </c>
      <c r="G12" s="248">
        <v>21311</v>
      </c>
      <c r="H12" s="249">
        <f t="shared" si="26"/>
        <v>-10.390211084013119</v>
      </c>
      <c r="I12" s="250"/>
      <c r="J12" s="347" t="s">
        <v>524</v>
      </c>
      <c r="K12" s="252">
        <v>24660</v>
      </c>
      <c r="L12" s="252">
        <v>23782</v>
      </c>
      <c r="M12" s="249">
        <f t="shared" si="27"/>
        <v>-3.5604217356042174</v>
      </c>
      <c r="N12" s="252">
        <v>34285</v>
      </c>
      <c r="O12" s="252">
        <v>23782</v>
      </c>
      <c r="P12" s="249">
        <f t="shared" si="28"/>
        <v>-30.634388216421176</v>
      </c>
      <c r="Q12" s="250"/>
      <c r="R12" s="347" t="s">
        <v>524</v>
      </c>
      <c r="S12" s="289">
        <v>31679</v>
      </c>
      <c r="T12" s="252">
        <v>34285</v>
      </c>
      <c r="U12" s="249">
        <f t="shared" si="29"/>
        <v>8.226269768616433</v>
      </c>
      <c r="V12" s="252">
        <v>33413</v>
      </c>
      <c r="W12" s="252">
        <v>34285</v>
      </c>
      <c r="X12" s="249">
        <f t="shared" si="30"/>
        <v>2.6097626672253313</v>
      </c>
      <c r="Y12" s="250"/>
      <c r="Z12" s="347" t="s">
        <v>524</v>
      </c>
      <c r="AA12" s="289">
        <v>25079</v>
      </c>
      <c r="AB12" s="252">
        <v>33413</v>
      </c>
      <c r="AC12" s="249">
        <f t="shared" si="31"/>
        <v>33.230990071374457</v>
      </c>
      <c r="AD12" s="252">
        <v>20243</v>
      </c>
      <c r="AE12" s="252">
        <v>33413</v>
      </c>
      <c r="AF12" s="249">
        <f t="shared" si="32"/>
        <v>65.059526749987654</v>
      </c>
      <c r="AG12" s="250"/>
      <c r="AH12" s="347" t="s">
        <v>524</v>
      </c>
      <c r="AI12" s="289">
        <v>21703</v>
      </c>
      <c r="AJ12" s="252">
        <v>20243</v>
      </c>
      <c r="AK12" s="249">
        <f t="shared" si="33"/>
        <v>-6.7271805741141772</v>
      </c>
      <c r="AL12" s="252">
        <v>27177</v>
      </c>
      <c r="AM12" s="252">
        <v>20243</v>
      </c>
      <c r="AN12" s="249">
        <f t="shared" si="34"/>
        <v>-25.514221584428011</v>
      </c>
      <c r="AO12" s="250"/>
      <c r="AP12" s="347" t="s">
        <v>524</v>
      </c>
      <c r="AQ12" s="289">
        <v>25444</v>
      </c>
      <c r="AR12" s="252">
        <v>27177</v>
      </c>
      <c r="AS12" s="249">
        <f t="shared" si="35"/>
        <v>6.8110360006288326</v>
      </c>
      <c r="AT12" s="252">
        <v>26329</v>
      </c>
      <c r="AU12" s="252">
        <v>27177</v>
      </c>
      <c r="AV12" s="249">
        <f t="shared" si="36"/>
        <v>3.2207831668502411</v>
      </c>
      <c r="AW12" s="250"/>
      <c r="AX12" s="347" t="s">
        <v>524</v>
      </c>
      <c r="AY12" s="289">
        <v>25020</v>
      </c>
      <c r="AZ12" s="252">
        <v>26329</v>
      </c>
      <c r="BA12" s="249">
        <f t="shared" si="37"/>
        <v>5.231814548361311</v>
      </c>
      <c r="BB12" s="252">
        <v>28208</v>
      </c>
      <c r="BC12" s="252">
        <v>26329</v>
      </c>
      <c r="BD12" s="249">
        <f t="shared" si="18"/>
        <v>-6.661230856494611</v>
      </c>
      <c r="BE12" s="250"/>
      <c r="BF12" s="250" t="s">
        <v>524</v>
      </c>
      <c r="BG12" s="289">
        <v>23798</v>
      </c>
      <c r="BH12" s="252">
        <v>28208</v>
      </c>
      <c r="BI12" s="249">
        <f t="shared" si="38"/>
        <v>18.530968988990672</v>
      </c>
      <c r="BJ12" s="252">
        <v>20375</v>
      </c>
      <c r="BK12" s="252">
        <v>28208</v>
      </c>
      <c r="BL12" s="249">
        <f t="shared" si="19"/>
        <v>38.444171779141108</v>
      </c>
      <c r="BM12" s="250"/>
      <c r="BN12" s="250" t="s">
        <v>438</v>
      </c>
      <c r="BO12" s="252"/>
      <c r="BP12" s="252"/>
      <c r="BQ12" s="249"/>
      <c r="BR12" s="252">
        <v>7209</v>
      </c>
      <c r="BS12" s="252"/>
      <c r="BT12" s="249"/>
      <c r="BU12" s="249"/>
      <c r="BV12" s="250"/>
      <c r="BW12" s="250" t="s">
        <v>438</v>
      </c>
      <c r="BX12" s="252">
        <v>5918</v>
      </c>
      <c r="BY12" s="252">
        <v>7209</v>
      </c>
      <c r="BZ12" s="249">
        <f t="shared" si="20"/>
        <v>21.814802298073673</v>
      </c>
      <c r="CA12" s="252"/>
      <c r="CB12" s="252">
        <v>7209</v>
      </c>
      <c r="CC12" s="249"/>
      <c r="CD12" s="249"/>
      <c r="CF12" s="250"/>
      <c r="CG12" s="250"/>
      <c r="CH12" s="252"/>
      <c r="CI12" s="252"/>
      <c r="CJ12" s="249"/>
      <c r="CK12" s="252"/>
      <c r="CL12" s="252"/>
      <c r="CM12" s="249"/>
      <c r="CN12" s="249"/>
      <c r="CO12" s="73"/>
      <c r="CP12" s="250"/>
      <c r="CQ12" s="250"/>
      <c r="CR12" s="252"/>
      <c r="CS12" s="252"/>
      <c r="CT12" s="249"/>
      <c r="CU12" s="252"/>
      <c r="CV12" s="252"/>
      <c r="CW12" s="249"/>
      <c r="CX12" s="73"/>
      <c r="CY12" s="232"/>
      <c r="CZ12" s="232"/>
      <c r="DA12" s="234"/>
      <c r="DB12" s="234"/>
      <c r="DC12" s="231"/>
      <c r="DD12" s="234"/>
      <c r="DE12" s="234"/>
      <c r="DF12" s="231"/>
      <c r="DG12" s="73"/>
      <c r="DH12" s="103"/>
      <c r="DI12" s="103"/>
      <c r="DJ12" s="105"/>
      <c r="DK12" s="105"/>
      <c r="DL12" s="102"/>
      <c r="DM12" s="105"/>
      <c r="DN12" s="105"/>
      <c r="DO12" s="102"/>
      <c r="DP12" s="73"/>
      <c r="DQ12" s="103"/>
      <c r="DR12" s="103"/>
      <c r="DS12" s="105"/>
      <c r="DT12" s="105"/>
      <c r="DU12" s="102"/>
      <c r="DV12" s="105"/>
      <c r="DW12" s="105"/>
      <c r="DX12" s="102"/>
      <c r="DY12" s="73"/>
      <c r="DZ12" s="24"/>
      <c r="EA12" s="24"/>
      <c r="EB12" s="25"/>
      <c r="EC12" s="50"/>
      <c r="ED12" s="128"/>
      <c r="EE12" s="25"/>
      <c r="EF12" s="25"/>
      <c r="EG12" s="128"/>
      <c r="EH12" s="130"/>
      <c r="EI12" s="103"/>
      <c r="EJ12" s="103"/>
      <c r="EK12" s="105"/>
      <c r="EL12" s="105"/>
      <c r="EM12" s="102"/>
      <c r="EN12" s="105"/>
      <c r="EO12" s="105"/>
      <c r="EP12" s="102"/>
      <c r="EQ12" s="73"/>
      <c r="ER12" s="77"/>
      <c r="ES12" s="77"/>
      <c r="ET12" s="80"/>
      <c r="EU12" s="80"/>
      <c r="EV12" s="79"/>
      <c r="EW12" s="81"/>
      <c r="EX12" s="80"/>
      <c r="EY12" s="79"/>
      <c r="EZ12" s="61"/>
      <c r="FA12" s="42"/>
      <c r="FB12" s="42"/>
      <c r="FC12" s="43"/>
      <c r="FD12" s="43"/>
      <c r="FE12" s="44"/>
      <c r="FF12" s="45"/>
      <c r="FG12" s="43"/>
      <c r="FH12" s="44"/>
      <c r="FI12" s="61"/>
      <c r="FJ12" s="20"/>
      <c r="FK12" s="21"/>
      <c r="FL12" s="21"/>
      <c r="FM12" s="31"/>
      <c r="FN12" s="35"/>
      <c r="FO12" s="21"/>
      <c r="FP12" s="31"/>
      <c r="FR12" s="42"/>
      <c r="FS12" s="43"/>
      <c r="FT12" s="43"/>
      <c r="FU12" s="44"/>
      <c r="FV12" s="45"/>
      <c r="FW12" s="43"/>
      <c r="FX12" s="44"/>
    </row>
    <row r="13" spans="1:180" x14ac:dyDescent="0.5">
      <c r="A13" s="250"/>
      <c r="B13" s="347" t="s">
        <v>525</v>
      </c>
      <c r="C13" s="252">
        <v>8033</v>
      </c>
      <c r="D13" s="248">
        <v>6845</v>
      </c>
      <c r="E13" s="249">
        <f t="shared" si="25"/>
        <v>-14.788995393999752</v>
      </c>
      <c r="F13" s="252">
        <v>5679</v>
      </c>
      <c r="G13" s="248">
        <v>6845</v>
      </c>
      <c r="H13" s="249">
        <f t="shared" si="26"/>
        <v>20.531783764747313</v>
      </c>
      <c r="I13" s="250"/>
      <c r="J13" s="347" t="s">
        <v>525</v>
      </c>
      <c r="K13" s="252">
        <v>6647</v>
      </c>
      <c r="L13" s="252">
        <v>5679</v>
      </c>
      <c r="M13" s="249">
        <f t="shared" si="27"/>
        <v>-14.56296073416579</v>
      </c>
      <c r="N13" s="252">
        <v>8814</v>
      </c>
      <c r="O13" s="252">
        <v>5679</v>
      </c>
      <c r="P13" s="249">
        <f t="shared" si="28"/>
        <v>-35.568413886997959</v>
      </c>
      <c r="Q13" s="250"/>
      <c r="R13" s="347" t="s">
        <v>525</v>
      </c>
      <c r="S13" s="289">
        <v>7919</v>
      </c>
      <c r="T13" s="252">
        <v>8814</v>
      </c>
      <c r="U13" s="249">
        <f t="shared" si="29"/>
        <v>11.301932062129056</v>
      </c>
      <c r="V13" s="252">
        <v>5696</v>
      </c>
      <c r="W13" s="252">
        <v>8814</v>
      </c>
      <c r="X13" s="249">
        <f t="shared" si="30"/>
        <v>54.740168539325836</v>
      </c>
      <c r="Y13" s="250"/>
      <c r="Z13" s="347" t="s">
        <v>525</v>
      </c>
      <c r="AA13" s="289">
        <v>4260</v>
      </c>
      <c r="AB13" s="252">
        <v>5696</v>
      </c>
      <c r="AC13" s="249">
        <f t="shared" si="31"/>
        <v>33.708920187793431</v>
      </c>
      <c r="AD13" s="252">
        <v>5336</v>
      </c>
      <c r="AE13" s="252">
        <v>5696</v>
      </c>
      <c r="AF13" s="249">
        <f t="shared" si="32"/>
        <v>6.746626686656672</v>
      </c>
      <c r="AG13" s="250"/>
      <c r="AH13" s="347" t="s">
        <v>525</v>
      </c>
      <c r="AI13" s="289">
        <v>4463</v>
      </c>
      <c r="AJ13" s="252">
        <v>5336</v>
      </c>
      <c r="AK13" s="249">
        <f t="shared" si="33"/>
        <v>19.560833520053773</v>
      </c>
      <c r="AL13" s="252">
        <v>4057</v>
      </c>
      <c r="AM13" s="252">
        <v>5336</v>
      </c>
      <c r="AN13" s="249">
        <f t="shared" si="34"/>
        <v>31.525757949223564</v>
      </c>
      <c r="AO13" s="250"/>
      <c r="AP13" s="347" t="s">
        <v>525</v>
      </c>
      <c r="AQ13" s="289">
        <v>3092</v>
      </c>
      <c r="AR13" s="252">
        <v>4057</v>
      </c>
      <c r="AS13" s="249">
        <f t="shared" si="35"/>
        <v>31.209573091849936</v>
      </c>
      <c r="AT13" s="252">
        <v>3531</v>
      </c>
      <c r="AU13" s="252">
        <v>4057</v>
      </c>
      <c r="AV13" s="249">
        <f t="shared" si="36"/>
        <v>14.896629849900878</v>
      </c>
      <c r="AW13" s="250"/>
      <c r="AX13" s="347" t="s">
        <v>525</v>
      </c>
      <c r="AY13" s="289">
        <v>3503</v>
      </c>
      <c r="AZ13" s="252">
        <v>3531</v>
      </c>
      <c r="BA13" s="249">
        <f t="shared" si="37"/>
        <v>0.7993148729660291</v>
      </c>
      <c r="BB13" s="252">
        <v>2838</v>
      </c>
      <c r="BC13" s="252">
        <v>3531</v>
      </c>
      <c r="BD13" s="249">
        <f t="shared" si="18"/>
        <v>24.418604651162788</v>
      </c>
      <c r="BE13" s="250"/>
      <c r="BF13" s="250" t="s">
        <v>525</v>
      </c>
      <c r="BG13" s="289">
        <v>2157</v>
      </c>
      <c r="BH13" s="252">
        <v>2838</v>
      </c>
      <c r="BI13" s="249">
        <f t="shared" si="38"/>
        <v>31.571627260083453</v>
      </c>
      <c r="BJ13" s="252">
        <v>1699</v>
      </c>
      <c r="BK13" s="252">
        <v>2838</v>
      </c>
      <c r="BL13" s="249">
        <f t="shared" si="19"/>
        <v>67.039434961742202</v>
      </c>
      <c r="BM13" s="250"/>
      <c r="BN13" s="250"/>
      <c r="BO13" s="252"/>
      <c r="BP13" s="252"/>
      <c r="BQ13" s="249"/>
      <c r="BR13" s="252"/>
      <c r="BS13" s="252"/>
      <c r="BT13" s="249"/>
      <c r="BU13" s="249"/>
      <c r="BV13" s="250"/>
      <c r="BW13" s="250"/>
      <c r="BX13" s="252"/>
      <c r="BY13" s="252"/>
      <c r="BZ13" s="249"/>
      <c r="CA13" s="252"/>
      <c r="CB13" s="252"/>
      <c r="CC13" s="249"/>
      <c r="CD13" s="249"/>
      <c r="CF13" s="250"/>
      <c r="CG13" s="250"/>
      <c r="CH13" s="252"/>
      <c r="CI13" s="252"/>
      <c r="CJ13" s="249"/>
      <c r="CK13" s="252"/>
      <c r="CL13" s="252"/>
      <c r="CM13" s="249"/>
      <c r="CN13" s="249"/>
      <c r="CO13" s="73"/>
      <c r="CP13" s="250"/>
      <c r="CQ13" s="250"/>
      <c r="CR13" s="252"/>
      <c r="CS13" s="252"/>
      <c r="CT13" s="249"/>
      <c r="CU13" s="252"/>
      <c r="CV13" s="252"/>
      <c r="CW13" s="249"/>
      <c r="CX13" s="73"/>
      <c r="CY13" s="232"/>
      <c r="CZ13" s="232"/>
      <c r="DA13" s="234"/>
      <c r="DB13" s="234"/>
      <c r="DC13" s="231"/>
      <c r="DD13" s="234"/>
      <c r="DE13" s="234"/>
      <c r="DF13" s="231"/>
      <c r="DG13" s="73"/>
      <c r="DH13" s="103"/>
      <c r="DI13" s="103"/>
      <c r="DJ13" s="105"/>
      <c r="DK13" s="105"/>
      <c r="DL13" s="102"/>
      <c r="DM13" s="105"/>
      <c r="DN13" s="105"/>
      <c r="DO13" s="102"/>
      <c r="DP13" s="73"/>
      <c r="DQ13" s="103"/>
      <c r="DR13" s="103"/>
      <c r="DS13" s="105"/>
      <c r="DT13" s="105"/>
      <c r="DU13" s="102"/>
      <c r="DV13" s="105"/>
      <c r="DW13" s="105"/>
      <c r="DX13" s="102"/>
      <c r="DY13" s="73"/>
      <c r="DZ13" s="24"/>
      <c r="EA13" s="24"/>
      <c r="EB13" s="25"/>
      <c r="EC13" s="50"/>
      <c r="ED13" s="128"/>
      <c r="EE13" s="25"/>
      <c r="EF13" s="25"/>
      <c r="EG13" s="128"/>
      <c r="EH13" s="130"/>
      <c r="EI13" s="103"/>
      <c r="EJ13" s="103"/>
      <c r="EK13" s="105"/>
      <c r="EL13" s="105"/>
      <c r="EM13" s="102"/>
      <c r="EN13" s="105"/>
      <c r="EO13" s="105"/>
      <c r="EP13" s="102"/>
      <c r="EQ13" s="73"/>
      <c r="ER13" s="77"/>
      <c r="ES13" s="77"/>
      <c r="ET13" s="80"/>
      <c r="EU13" s="80"/>
      <c r="EV13" s="79"/>
      <c r="EW13" s="81"/>
      <c r="EX13" s="80"/>
      <c r="EY13" s="79"/>
      <c r="EZ13" s="61"/>
      <c r="FA13" s="42"/>
      <c r="FB13" s="42"/>
      <c r="FC13" s="43"/>
      <c r="FD13" s="43"/>
      <c r="FE13" s="44"/>
      <c r="FF13" s="45"/>
      <c r="FG13" s="43"/>
      <c r="FH13" s="44"/>
      <c r="FI13" s="61"/>
      <c r="FJ13" s="20"/>
      <c r="FK13" s="21"/>
      <c r="FL13" s="21"/>
      <c r="FM13" s="31"/>
      <c r="FN13" s="35"/>
      <c r="FO13" s="21"/>
      <c r="FP13" s="31"/>
      <c r="FR13" s="42"/>
      <c r="FS13" s="43"/>
      <c r="FT13" s="43"/>
      <c r="FU13" s="44"/>
      <c r="FV13" s="45"/>
      <c r="FW13" s="43"/>
      <c r="FX13" s="44"/>
    </row>
    <row r="14" spans="1:180" x14ac:dyDescent="0.5">
      <c r="A14" s="250"/>
      <c r="B14" s="347" t="s">
        <v>526</v>
      </c>
      <c r="C14" s="252">
        <v>926</v>
      </c>
      <c r="D14" s="248">
        <v>848</v>
      </c>
      <c r="E14" s="249">
        <f t="shared" si="25"/>
        <v>-8.4233261339092866</v>
      </c>
      <c r="F14" s="252">
        <v>1092</v>
      </c>
      <c r="G14" s="248">
        <v>848</v>
      </c>
      <c r="H14" s="249">
        <f t="shared" si="26"/>
        <v>-22.344322344322347</v>
      </c>
      <c r="I14" s="250"/>
      <c r="J14" s="347" t="s">
        <v>526</v>
      </c>
      <c r="K14" s="252">
        <v>1190</v>
      </c>
      <c r="L14" s="252">
        <v>1092</v>
      </c>
      <c r="M14" s="249">
        <f t="shared" si="27"/>
        <v>-8.235294117647058</v>
      </c>
      <c r="N14" s="252">
        <v>1263</v>
      </c>
      <c r="O14" s="252">
        <v>1092</v>
      </c>
      <c r="P14" s="249">
        <f t="shared" si="28"/>
        <v>-13.539192399049881</v>
      </c>
      <c r="Q14" s="250"/>
      <c r="R14" s="347" t="s">
        <v>526</v>
      </c>
      <c r="S14" s="289">
        <v>1094</v>
      </c>
      <c r="T14" s="252">
        <v>1263</v>
      </c>
      <c r="U14" s="249">
        <f t="shared" si="29"/>
        <v>15.447897623400367</v>
      </c>
      <c r="V14" s="252">
        <v>1206</v>
      </c>
      <c r="W14" s="252">
        <v>1263</v>
      </c>
      <c r="X14" s="249">
        <f t="shared" si="30"/>
        <v>4.7263681592039797</v>
      </c>
      <c r="Y14" s="250"/>
      <c r="Z14" s="347" t="s">
        <v>526</v>
      </c>
      <c r="AA14" s="289">
        <v>971</v>
      </c>
      <c r="AB14" s="252">
        <v>1206</v>
      </c>
      <c r="AC14" s="249">
        <f t="shared" si="31"/>
        <v>24.201853759011328</v>
      </c>
      <c r="AD14" s="252">
        <v>1222</v>
      </c>
      <c r="AE14" s="252">
        <v>1206</v>
      </c>
      <c r="AF14" s="249">
        <f t="shared" si="32"/>
        <v>-1.3093289689034371</v>
      </c>
      <c r="AG14" s="250"/>
      <c r="AH14" s="347" t="s">
        <v>526</v>
      </c>
      <c r="AI14" s="289">
        <v>884</v>
      </c>
      <c r="AJ14" s="252">
        <v>1222</v>
      </c>
      <c r="AK14" s="249">
        <f t="shared" si="33"/>
        <v>38.235294117647058</v>
      </c>
      <c r="AL14" s="252">
        <v>1945</v>
      </c>
      <c r="AM14" s="252">
        <v>1222</v>
      </c>
      <c r="AN14" s="249">
        <f t="shared" si="34"/>
        <v>-37.172236503856041</v>
      </c>
      <c r="AO14" s="250"/>
      <c r="AP14" s="347" t="s">
        <v>526</v>
      </c>
      <c r="AQ14" s="289">
        <v>1784</v>
      </c>
      <c r="AR14" s="252">
        <v>1945</v>
      </c>
      <c r="AS14" s="249">
        <f t="shared" si="35"/>
        <v>9.0246636771300448</v>
      </c>
      <c r="AT14" s="252">
        <v>2260</v>
      </c>
      <c r="AU14" s="252">
        <v>1945</v>
      </c>
      <c r="AV14" s="249">
        <f t="shared" si="36"/>
        <v>-13.938053097345133</v>
      </c>
      <c r="AW14" s="250"/>
      <c r="AX14" s="347" t="s">
        <v>526</v>
      </c>
      <c r="AY14" s="289">
        <v>2247</v>
      </c>
      <c r="AZ14" s="252">
        <v>2260</v>
      </c>
      <c r="BA14" s="249">
        <f t="shared" si="37"/>
        <v>0.57854917668001782</v>
      </c>
      <c r="BB14" s="252">
        <v>2332</v>
      </c>
      <c r="BC14" s="252">
        <v>2260</v>
      </c>
      <c r="BD14" s="249">
        <f t="shared" si="18"/>
        <v>-3.0874785591766725</v>
      </c>
      <c r="BE14" s="250"/>
      <c r="BF14" s="250" t="s">
        <v>526</v>
      </c>
      <c r="BG14" s="289">
        <v>2163</v>
      </c>
      <c r="BH14" s="252">
        <v>2332</v>
      </c>
      <c r="BI14" s="249">
        <f t="shared" si="38"/>
        <v>7.8132223763291719</v>
      </c>
      <c r="BJ14" s="252">
        <v>2355</v>
      </c>
      <c r="BK14" s="252">
        <v>2332</v>
      </c>
      <c r="BL14" s="249">
        <f t="shared" si="19"/>
        <v>-0.97664543524416136</v>
      </c>
      <c r="BM14" s="250"/>
      <c r="BN14" s="250"/>
      <c r="BO14" s="252"/>
      <c r="BP14" s="252"/>
      <c r="BQ14" s="249"/>
      <c r="BR14" s="252"/>
      <c r="BS14" s="252"/>
      <c r="BT14" s="249"/>
      <c r="BU14" s="249"/>
      <c r="BV14" s="250"/>
      <c r="BW14" s="250"/>
      <c r="BX14" s="252"/>
      <c r="BY14" s="252"/>
      <c r="BZ14" s="249"/>
      <c r="CA14" s="252"/>
      <c r="CB14" s="252"/>
      <c r="CC14" s="249"/>
      <c r="CD14" s="249"/>
      <c r="CF14" s="250"/>
      <c r="CG14" s="250"/>
      <c r="CH14" s="252"/>
      <c r="CI14" s="252"/>
      <c r="CJ14" s="249"/>
      <c r="CK14" s="252"/>
      <c r="CL14" s="252"/>
      <c r="CM14" s="249"/>
      <c r="CN14" s="249"/>
      <c r="CO14" s="73"/>
      <c r="CP14" s="250"/>
      <c r="CQ14" s="250"/>
      <c r="CR14" s="252"/>
      <c r="CS14" s="252"/>
      <c r="CT14" s="249"/>
      <c r="CU14" s="252"/>
      <c r="CV14" s="252"/>
      <c r="CW14" s="249"/>
      <c r="CX14" s="73"/>
      <c r="CY14" s="232"/>
      <c r="CZ14" s="232"/>
      <c r="DA14" s="234"/>
      <c r="DB14" s="234"/>
      <c r="DC14" s="231"/>
      <c r="DD14" s="234"/>
      <c r="DE14" s="234"/>
      <c r="DF14" s="231"/>
      <c r="DG14" s="73"/>
      <c r="DH14" s="103"/>
      <c r="DI14" s="103"/>
      <c r="DJ14" s="105"/>
      <c r="DK14" s="105"/>
      <c r="DL14" s="102"/>
      <c r="DM14" s="105"/>
      <c r="DN14" s="105"/>
      <c r="DO14" s="102"/>
      <c r="DP14" s="73"/>
      <c r="DQ14" s="103"/>
      <c r="DR14" s="103"/>
      <c r="DS14" s="105"/>
      <c r="DT14" s="105"/>
      <c r="DU14" s="102"/>
      <c r="DV14" s="105"/>
      <c r="DW14" s="105"/>
      <c r="DX14" s="102"/>
      <c r="DY14" s="73"/>
      <c r="DZ14" s="24"/>
      <c r="EA14" s="24"/>
      <c r="EB14" s="25"/>
      <c r="EC14" s="50"/>
      <c r="ED14" s="128"/>
      <c r="EE14" s="25"/>
      <c r="EF14" s="25"/>
      <c r="EG14" s="128"/>
      <c r="EH14" s="130"/>
      <c r="EI14" s="103"/>
      <c r="EJ14" s="103"/>
      <c r="EK14" s="105"/>
      <c r="EL14" s="105"/>
      <c r="EM14" s="102"/>
      <c r="EN14" s="105"/>
      <c r="EO14" s="105"/>
      <c r="EP14" s="102"/>
      <c r="EQ14" s="73"/>
      <c r="ER14" s="77"/>
      <c r="ES14" s="77"/>
      <c r="ET14" s="80"/>
      <c r="EU14" s="80"/>
      <c r="EV14" s="79"/>
      <c r="EW14" s="81"/>
      <c r="EX14" s="80"/>
      <c r="EY14" s="79"/>
      <c r="EZ14" s="61"/>
      <c r="FA14" s="42"/>
      <c r="FB14" s="42"/>
      <c r="FC14" s="43"/>
      <c r="FD14" s="43"/>
      <c r="FE14" s="44"/>
      <c r="FF14" s="45"/>
      <c r="FG14" s="43"/>
      <c r="FH14" s="44"/>
      <c r="FI14" s="61"/>
      <c r="FJ14" s="20"/>
      <c r="FK14" s="21"/>
      <c r="FL14" s="21"/>
      <c r="FM14" s="31"/>
      <c r="FN14" s="35"/>
      <c r="FO14" s="21"/>
      <c r="FP14" s="31"/>
      <c r="FR14" s="42"/>
      <c r="FS14" s="43"/>
      <c r="FT14" s="43"/>
      <c r="FU14" s="44"/>
      <c r="FV14" s="45"/>
      <c r="FW14" s="43"/>
      <c r="FX14" s="44"/>
    </row>
    <row r="15" spans="1:180" x14ac:dyDescent="0.5">
      <c r="A15" s="247" t="s">
        <v>2</v>
      </c>
      <c r="B15" s="247" t="s">
        <v>60</v>
      </c>
      <c r="C15" s="248">
        <v>71250</v>
      </c>
      <c r="D15" s="248">
        <f>D16+D17</f>
        <v>62590</v>
      </c>
      <c r="E15" s="249">
        <f t="shared" si="25"/>
        <v>-12.154385964912279</v>
      </c>
      <c r="F15" s="248">
        <v>58468</v>
      </c>
      <c r="G15" s="248">
        <v>62590</v>
      </c>
      <c r="H15" s="249">
        <f>((G15-F15)/F15)*100</f>
        <v>7.0500102620236706</v>
      </c>
      <c r="I15" s="247" t="s">
        <v>2</v>
      </c>
      <c r="J15" s="247" t="s">
        <v>60</v>
      </c>
      <c r="K15" s="248">
        <v>58757</v>
      </c>
      <c r="L15" s="248">
        <v>58468</v>
      </c>
      <c r="M15" s="249">
        <f t="shared" si="27"/>
        <v>-0.49185628946338311</v>
      </c>
      <c r="N15" s="248">
        <v>48758</v>
      </c>
      <c r="O15" s="248">
        <v>58468</v>
      </c>
      <c r="P15" s="249">
        <f>((O15-N15)/N15)*100</f>
        <v>19.914680667787852</v>
      </c>
      <c r="Q15" s="247" t="s">
        <v>2</v>
      </c>
      <c r="R15" s="247" t="s">
        <v>60</v>
      </c>
      <c r="S15" s="285">
        <v>64238</v>
      </c>
      <c r="T15" s="248">
        <v>48758</v>
      </c>
      <c r="U15" s="249">
        <f t="shared" si="29"/>
        <v>-24.09788598648775</v>
      </c>
      <c r="V15" s="248">
        <v>88667</v>
      </c>
      <c r="W15" s="248">
        <v>48758</v>
      </c>
      <c r="X15" s="249">
        <f>((W15-V15)/V15)*100</f>
        <v>-45.009981165484341</v>
      </c>
      <c r="Y15" s="247" t="s">
        <v>2</v>
      </c>
      <c r="Z15" s="247" t="s">
        <v>60</v>
      </c>
      <c r="AA15" s="285">
        <v>79423</v>
      </c>
      <c r="AB15" s="248">
        <v>88667</v>
      </c>
      <c r="AC15" s="249">
        <f t="shared" si="31"/>
        <v>11.638945897284161</v>
      </c>
      <c r="AD15" s="248">
        <v>76979</v>
      </c>
      <c r="AE15" s="248">
        <v>88667</v>
      </c>
      <c r="AF15" s="249">
        <f>((AE15-AD15)/AD15)*100</f>
        <v>15.183361696046974</v>
      </c>
      <c r="AG15" s="247" t="s">
        <v>2</v>
      </c>
      <c r="AH15" s="247" t="s">
        <v>60</v>
      </c>
      <c r="AI15" s="285">
        <v>87068</v>
      </c>
      <c r="AJ15" s="248">
        <v>76979</v>
      </c>
      <c r="AK15" s="249">
        <f t="shared" si="33"/>
        <v>-11.587494831625856</v>
      </c>
      <c r="AL15" s="248">
        <v>59991</v>
      </c>
      <c r="AM15" s="248">
        <v>76979</v>
      </c>
      <c r="AN15" s="249">
        <f>((AM15-AL15)/AL15)*100</f>
        <v>28.317580970478907</v>
      </c>
      <c r="AO15" s="247" t="s">
        <v>2</v>
      </c>
      <c r="AP15" s="247" t="s">
        <v>60</v>
      </c>
      <c r="AQ15" s="285">
        <v>39258</v>
      </c>
      <c r="AR15" s="248">
        <v>59991</v>
      </c>
      <c r="AS15" s="249">
        <f t="shared" si="35"/>
        <v>52.812165673238574</v>
      </c>
      <c r="AT15" s="248">
        <v>70191</v>
      </c>
      <c r="AU15" s="248">
        <v>59991</v>
      </c>
      <c r="AV15" s="249">
        <f>((AU15-AT15)/AT15)*100</f>
        <v>-14.531777578322009</v>
      </c>
      <c r="AW15" s="247" t="s">
        <v>2</v>
      </c>
      <c r="AX15" s="247" t="s">
        <v>60</v>
      </c>
      <c r="AY15" s="285">
        <v>73202</v>
      </c>
      <c r="AZ15" s="248">
        <f>AZ16+AZ17</f>
        <v>76762</v>
      </c>
      <c r="BA15" s="249">
        <f t="shared" si="37"/>
        <v>4.8632551023196084</v>
      </c>
      <c r="BB15" s="248">
        <v>64550</v>
      </c>
      <c r="BC15" s="248">
        <f>BC16+BC17</f>
        <v>76762</v>
      </c>
      <c r="BD15" s="249">
        <f>((BC15-BB15)/BB15)*100</f>
        <v>18.918667699457785</v>
      </c>
      <c r="BE15" s="247" t="s">
        <v>2</v>
      </c>
      <c r="BF15" s="247" t="s">
        <v>60</v>
      </c>
      <c r="BG15" s="285">
        <v>68296</v>
      </c>
      <c r="BH15" s="248">
        <v>64550</v>
      </c>
      <c r="BI15" s="249">
        <f t="shared" si="38"/>
        <v>-5.4849478739604081</v>
      </c>
      <c r="BJ15" s="248">
        <v>61948</v>
      </c>
      <c r="BK15" s="248">
        <v>64550</v>
      </c>
      <c r="BL15" s="249">
        <f>((BK15-BJ15)/BJ15)*100</f>
        <v>4.2002970233098731</v>
      </c>
      <c r="BM15" s="247" t="s">
        <v>2</v>
      </c>
      <c r="BN15" s="247" t="s">
        <v>60</v>
      </c>
      <c r="BO15" s="248">
        <v>61795</v>
      </c>
      <c r="BP15" s="248">
        <v>61948</v>
      </c>
      <c r="BQ15" s="249">
        <f>((BP15-BO15)/BO15)*100</f>
        <v>0.24759284731774417</v>
      </c>
      <c r="BR15" s="248">
        <v>69744</v>
      </c>
      <c r="BS15" s="248">
        <v>61948</v>
      </c>
      <c r="BT15" s="249">
        <f>((BS15-BR15)/BR15)*100</f>
        <v>-11.178022482220692</v>
      </c>
      <c r="BU15" s="249"/>
      <c r="BV15" s="247" t="s">
        <v>2</v>
      </c>
      <c r="BW15" s="247" t="s">
        <v>60</v>
      </c>
      <c r="BX15" s="248">
        <v>63775</v>
      </c>
      <c r="BY15" s="248">
        <v>69744</v>
      </c>
      <c r="BZ15" s="249">
        <f t="shared" si="20"/>
        <v>9.3594668757350057</v>
      </c>
      <c r="CA15" s="248">
        <v>64962</v>
      </c>
      <c r="CB15" s="248">
        <v>69744</v>
      </c>
      <c r="CC15" s="249">
        <f>((CB15-CA15)/CA15)*100</f>
        <v>7.3612265632215763</v>
      </c>
      <c r="CD15" s="249"/>
      <c r="CF15" s="247" t="s">
        <v>2</v>
      </c>
      <c r="CG15" s="247" t="s">
        <v>60</v>
      </c>
      <c r="CH15" s="248">
        <v>65960</v>
      </c>
      <c r="CI15" s="248">
        <v>64962</v>
      </c>
      <c r="CJ15" s="249">
        <f t="shared" si="21"/>
        <v>-1.5130382049727107</v>
      </c>
      <c r="CK15" s="248">
        <f>SUM(CK16:CK17)</f>
        <v>79577</v>
      </c>
      <c r="CL15" s="248">
        <v>64962</v>
      </c>
      <c r="CM15" s="249">
        <f t="shared" si="22"/>
        <v>-18.365859482011135</v>
      </c>
      <c r="CN15" s="249"/>
      <c r="CO15" s="73"/>
      <c r="CP15" s="247" t="s">
        <v>2</v>
      </c>
      <c r="CQ15" s="247" t="s">
        <v>60</v>
      </c>
      <c r="CR15" s="248">
        <f>SUM(CR16:CR17)</f>
        <v>71300</v>
      </c>
      <c r="CS15" s="248">
        <f>SUM(CS16:CS17)</f>
        <v>79577</v>
      </c>
      <c r="CT15" s="249">
        <f t="shared" si="23"/>
        <v>11.608695652173912</v>
      </c>
      <c r="CU15" s="248">
        <v>64330</v>
      </c>
      <c r="CV15" s="248">
        <v>79577</v>
      </c>
      <c r="CW15" s="249">
        <f t="shared" si="24"/>
        <v>23.701228042903779</v>
      </c>
      <c r="CX15" s="73"/>
      <c r="CY15" s="229" t="s">
        <v>2</v>
      </c>
      <c r="CZ15" s="229" t="s">
        <v>60</v>
      </c>
      <c r="DA15" s="242">
        <f>SUM(DA16:DA17)</f>
        <v>97432</v>
      </c>
      <c r="DB15" s="242">
        <f>SUM(DB16:DB17)</f>
        <v>64330</v>
      </c>
      <c r="DC15" s="231">
        <f t="shared" si="4"/>
        <v>-33.974464241727567</v>
      </c>
      <c r="DD15" s="230">
        <v>61307</v>
      </c>
      <c r="DE15" s="242">
        <v>64330</v>
      </c>
      <c r="DF15" s="231">
        <f t="shared" si="5"/>
        <v>4.9309214282218994</v>
      </c>
      <c r="DG15" s="73"/>
      <c r="DH15" s="100" t="s">
        <v>2</v>
      </c>
      <c r="DI15" s="100" t="s">
        <v>60</v>
      </c>
      <c r="DJ15" s="101">
        <f>SUM(DJ16:DJ17)</f>
        <v>64801</v>
      </c>
      <c r="DK15" s="101">
        <f>SUM(DK16:DK17)</f>
        <v>61307</v>
      </c>
      <c r="DL15" s="102">
        <f t="shared" si="6"/>
        <v>-5.3918921004305487</v>
      </c>
      <c r="DM15" s="101">
        <f>SUM(DM16:DM17)</f>
        <v>126871</v>
      </c>
      <c r="DN15" s="101">
        <v>61307</v>
      </c>
      <c r="DO15" s="102">
        <f t="shared" si="7"/>
        <v>-51.677688360618269</v>
      </c>
      <c r="DP15" s="73"/>
      <c r="DQ15" s="100" t="s">
        <v>2</v>
      </c>
      <c r="DR15" s="100" t="s">
        <v>60</v>
      </c>
      <c r="DS15" s="101">
        <f>SUM(DS16:DS17)</f>
        <v>104628</v>
      </c>
      <c r="DT15" s="101">
        <f>SUM(DT16:DT17)</f>
        <v>126871</v>
      </c>
      <c r="DU15" s="102">
        <f t="shared" si="8"/>
        <v>21.259127575792331</v>
      </c>
      <c r="DV15" s="101">
        <v>61330</v>
      </c>
      <c r="DW15" s="101">
        <f>SUM(DW16:DW17)</f>
        <v>126871</v>
      </c>
      <c r="DX15" s="102">
        <f t="shared" si="9"/>
        <v>106.86613402902331</v>
      </c>
      <c r="DY15" s="73"/>
      <c r="DZ15" s="120" t="s">
        <v>2</v>
      </c>
      <c r="EA15" s="120" t="s">
        <v>60</v>
      </c>
      <c r="EB15" s="121">
        <f>SUM(EB16:EB17)</f>
        <v>74210</v>
      </c>
      <c r="EC15" s="133">
        <f>SUM(EC16:EC17)</f>
        <v>61330</v>
      </c>
      <c r="ED15" s="125">
        <f t="shared" si="10"/>
        <v>-17.356151462067107</v>
      </c>
      <c r="EE15" s="121">
        <v>46990</v>
      </c>
      <c r="EF15" s="121">
        <v>61330</v>
      </c>
      <c r="EG15" s="125">
        <f t="shared" si="11"/>
        <v>30.517131304532878</v>
      </c>
      <c r="EH15" s="127"/>
      <c r="EI15" s="100" t="s">
        <v>2</v>
      </c>
      <c r="EJ15" s="100" t="s">
        <v>60</v>
      </c>
      <c r="EK15" s="101">
        <f>SUM(EK16:EK17)</f>
        <v>36272</v>
      </c>
      <c r="EL15" s="101">
        <f>SUM(EL16:EL17)</f>
        <v>46990</v>
      </c>
      <c r="EM15" s="102">
        <f t="shared" si="12"/>
        <v>29.5489633877371</v>
      </c>
      <c r="EN15" s="101">
        <f>SUM(EN16:EN17)</f>
        <v>76986</v>
      </c>
      <c r="EO15" s="101">
        <f>SUM(EO16:EO17)</f>
        <v>46990</v>
      </c>
      <c r="EP15" s="102">
        <f t="shared" si="13"/>
        <v>-38.962928324630454</v>
      </c>
      <c r="EQ15" s="73"/>
      <c r="ER15" s="74" t="s">
        <v>2</v>
      </c>
      <c r="ES15" s="74" t="s">
        <v>60</v>
      </c>
      <c r="ET15" s="75">
        <f>SUM(ET16:ET17)</f>
        <v>124346</v>
      </c>
      <c r="EU15" s="75">
        <f>SUM(EU16:EU17)</f>
        <v>76986</v>
      </c>
      <c r="EV15" s="76">
        <f t="shared" si="14"/>
        <v>-38.087272610297077</v>
      </c>
      <c r="EW15" s="75">
        <v>150867</v>
      </c>
      <c r="EX15" s="75">
        <v>76986</v>
      </c>
      <c r="EY15" s="76">
        <f t="shared" si="15"/>
        <v>-48.970947921016524</v>
      </c>
      <c r="EZ15" s="73"/>
      <c r="FA15" s="63" t="s">
        <v>2</v>
      </c>
      <c r="FB15" s="63" t="s">
        <v>60</v>
      </c>
      <c r="FC15" s="64">
        <v>170349</v>
      </c>
      <c r="FD15" s="64">
        <v>150867</v>
      </c>
      <c r="FE15" s="65">
        <f t="shared" si="2"/>
        <v>-11.436521494109151</v>
      </c>
      <c r="FF15" s="64">
        <v>116346</v>
      </c>
      <c r="FG15" s="64">
        <v>150867</v>
      </c>
      <c r="FH15" s="65">
        <f t="shared" si="3"/>
        <v>29.67098138311588</v>
      </c>
      <c r="FI15" s="73"/>
      <c r="FJ15" s="20" t="s">
        <v>1</v>
      </c>
      <c r="FK15" s="21">
        <v>50638</v>
      </c>
      <c r="FL15" s="21">
        <v>53653</v>
      </c>
      <c r="FM15" s="31">
        <f>(FL15-FK15)/FK15*100</f>
        <v>5.9540266203246572</v>
      </c>
      <c r="FN15" s="35">
        <v>52829</v>
      </c>
      <c r="FO15" s="21">
        <v>53653</v>
      </c>
      <c r="FP15" s="31">
        <f>(FO15-FN15)/FN15*100</f>
        <v>1.5597493800753375</v>
      </c>
      <c r="FR15" s="42" t="s">
        <v>1</v>
      </c>
      <c r="FS15" s="43">
        <v>50872</v>
      </c>
      <c r="FT15" s="43">
        <v>52829</v>
      </c>
      <c r="FU15" s="44">
        <f>(FT15-FS15)/FS15*100</f>
        <v>3.8469098914923725</v>
      </c>
      <c r="FV15" s="45">
        <v>43668</v>
      </c>
      <c r="FW15" s="43">
        <v>52829</v>
      </c>
      <c r="FX15" s="44">
        <f>(FW15-FV15)/FV15*100</f>
        <v>20.978748740496471</v>
      </c>
    </row>
    <row r="16" spans="1:180" x14ac:dyDescent="0.5">
      <c r="A16" s="250"/>
      <c r="B16" s="250" t="s">
        <v>61</v>
      </c>
      <c r="C16" s="252">
        <v>34673</v>
      </c>
      <c r="D16" s="248">
        <v>31445</v>
      </c>
      <c r="E16" s="249">
        <f t="shared" si="25"/>
        <v>-9.3098376258183588</v>
      </c>
      <c r="F16" s="252">
        <v>30648</v>
      </c>
      <c r="G16" s="248">
        <v>31445</v>
      </c>
      <c r="H16" s="249">
        <f>((G16-F16)/F16)*100</f>
        <v>2.6004959540589923</v>
      </c>
      <c r="I16" s="250"/>
      <c r="J16" s="250" t="s">
        <v>61</v>
      </c>
      <c r="K16" s="252">
        <v>30528</v>
      </c>
      <c r="L16" s="252">
        <v>30648</v>
      </c>
      <c r="M16" s="249">
        <f t="shared" si="27"/>
        <v>0.39308176100628933</v>
      </c>
      <c r="N16" s="252">
        <v>33098</v>
      </c>
      <c r="O16" s="252">
        <v>30648</v>
      </c>
      <c r="P16" s="249">
        <f>((O16-N16)/N16)*100</f>
        <v>-7.4022599552843076</v>
      </c>
      <c r="Q16" s="250"/>
      <c r="R16" s="250" t="s">
        <v>61</v>
      </c>
      <c r="S16" s="289">
        <v>39588</v>
      </c>
      <c r="T16" s="252">
        <v>33098</v>
      </c>
      <c r="U16" s="249">
        <f t="shared" si="29"/>
        <v>-16.393856724259877</v>
      </c>
      <c r="V16" s="252">
        <v>33307</v>
      </c>
      <c r="W16" s="252">
        <v>33098</v>
      </c>
      <c r="X16" s="249">
        <f>((W16-V16)/V16)*100</f>
        <v>-0.62749572162007994</v>
      </c>
      <c r="Y16" s="250"/>
      <c r="Z16" s="250" t="s">
        <v>61</v>
      </c>
      <c r="AA16" s="289">
        <v>21260</v>
      </c>
      <c r="AB16" s="252">
        <v>33307</v>
      </c>
      <c r="AC16" s="249">
        <f t="shared" si="31"/>
        <v>56.665098777046097</v>
      </c>
      <c r="AD16" s="252">
        <v>36779</v>
      </c>
      <c r="AE16" s="252">
        <v>33307</v>
      </c>
      <c r="AF16" s="249">
        <f>((AE16-AD16)/AD16)*100</f>
        <v>-9.4401696620354016</v>
      </c>
      <c r="AG16" s="250"/>
      <c r="AH16" s="250" t="s">
        <v>61</v>
      </c>
      <c r="AI16" s="289">
        <v>39840</v>
      </c>
      <c r="AJ16" s="252">
        <v>36779</v>
      </c>
      <c r="AK16" s="249">
        <f t="shared" si="33"/>
        <v>-7.6832329317269075</v>
      </c>
      <c r="AL16" s="252">
        <v>28291</v>
      </c>
      <c r="AM16" s="252">
        <v>36779</v>
      </c>
      <c r="AN16" s="249">
        <f>((AM16-AL16)/AL16)*100</f>
        <v>30.002474285108338</v>
      </c>
      <c r="AO16" s="250"/>
      <c r="AP16" s="250" t="s">
        <v>61</v>
      </c>
      <c r="AQ16" s="289">
        <v>14036</v>
      </c>
      <c r="AR16" s="252">
        <v>28291</v>
      </c>
      <c r="AS16" s="249">
        <f t="shared" si="35"/>
        <v>101.56027358221715</v>
      </c>
      <c r="AT16" s="252">
        <v>27876</v>
      </c>
      <c r="AU16" s="252">
        <v>28291</v>
      </c>
      <c r="AV16" s="249">
        <f>((AU16-AT16)/AT16)*100</f>
        <v>1.4887358301047495</v>
      </c>
      <c r="AW16" s="250"/>
      <c r="AX16" s="250" t="s">
        <v>61</v>
      </c>
      <c r="AY16" s="289">
        <v>32036</v>
      </c>
      <c r="AZ16" s="252">
        <v>34447</v>
      </c>
      <c r="BA16" s="249">
        <f t="shared" si="37"/>
        <v>7.5259083531027589</v>
      </c>
      <c r="BB16" s="252">
        <v>28940</v>
      </c>
      <c r="BC16" s="252">
        <v>34447</v>
      </c>
      <c r="BD16" s="249">
        <f>((BC16-BB16)/BB16)*100</f>
        <v>19.029025570145127</v>
      </c>
      <c r="BE16" s="250"/>
      <c r="BF16" s="250" t="s">
        <v>61</v>
      </c>
      <c r="BG16" s="289">
        <v>31941</v>
      </c>
      <c r="BH16" s="252">
        <v>28940</v>
      </c>
      <c r="BI16" s="249">
        <f t="shared" si="38"/>
        <v>-9.3954478569863173</v>
      </c>
      <c r="BJ16" s="252">
        <v>29407</v>
      </c>
      <c r="BK16" s="252">
        <v>28940</v>
      </c>
      <c r="BL16" s="249">
        <f>((BK16-BJ16)/BJ16)*100</f>
        <v>-1.5880572652769747</v>
      </c>
      <c r="BM16" s="250"/>
      <c r="BN16" s="250" t="s">
        <v>61</v>
      </c>
      <c r="BO16" s="252">
        <v>29301</v>
      </c>
      <c r="BP16" s="252">
        <v>29407</v>
      </c>
      <c r="BQ16" s="249">
        <f>((BP16-BO16)/BO16)*100</f>
        <v>0.36176239718780928</v>
      </c>
      <c r="BR16" s="252">
        <v>21424</v>
      </c>
      <c r="BS16" s="252">
        <v>29407</v>
      </c>
      <c r="BT16" s="249">
        <f>((BS16-BR16)/BR16)*100</f>
        <v>37.261949215832715</v>
      </c>
      <c r="BU16" s="249"/>
      <c r="BV16" s="250"/>
      <c r="BW16" s="250" t="s">
        <v>61</v>
      </c>
      <c r="BX16" s="252">
        <v>19399</v>
      </c>
      <c r="BY16" s="252">
        <v>21424</v>
      </c>
      <c r="BZ16" s="249">
        <f t="shared" si="20"/>
        <v>10.438682406309603</v>
      </c>
      <c r="CA16" s="252">
        <v>19442</v>
      </c>
      <c r="CB16" s="252">
        <v>21424</v>
      </c>
      <c r="CC16" s="249">
        <f>((CB16-CA16)/CA16)*100</f>
        <v>10.194424441929844</v>
      </c>
      <c r="CD16" s="249"/>
      <c r="CF16" s="250"/>
      <c r="CG16" s="250" t="s">
        <v>61</v>
      </c>
      <c r="CH16" s="252">
        <v>23705</v>
      </c>
      <c r="CI16" s="252">
        <v>19442</v>
      </c>
      <c r="CJ16" s="249">
        <f t="shared" si="21"/>
        <v>-17.983547774731072</v>
      </c>
      <c r="CK16" s="252">
        <v>23290</v>
      </c>
      <c r="CL16" s="252">
        <v>19442</v>
      </c>
      <c r="CM16" s="249">
        <f t="shared" si="22"/>
        <v>-16.522112494632889</v>
      </c>
      <c r="CN16" s="249"/>
      <c r="CO16" s="73"/>
      <c r="CP16" s="250"/>
      <c r="CQ16" s="250" t="s">
        <v>61</v>
      </c>
      <c r="CR16" s="252">
        <v>24058</v>
      </c>
      <c r="CS16" s="252">
        <v>23290</v>
      </c>
      <c r="CT16" s="249">
        <f t="shared" si="23"/>
        <v>-3.1922853104996256</v>
      </c>
      <c r="CU16" s="252">
        <v>30353</v>
      </c>
      <c r="CV16" s="252">
        <v>23290</v>
      </c>
      <c r="CW16" s="249">
        <f t="shared" si="24"/>
        <v>-23.269528547425296</v>
      </c>
      <c r="CX16" s="73"/>
      <c r="CY16" s="232"/>
      <c r="CZ16" s="232" t="s">
        <v>61</v>
      </c>
      <c r="DA16" s="244">
        <v>34385</v>
      </c>
      <c r="DB16" s="244">
        <v>30353</v>
      </c>
      <c r="DC16" s="231">
        <f t="shared" si="4"/>
        <v>-11.726043332848626</v>
      </c>
      <c r="DD16" s="234">
        <v>18578</v>
      </c>
      <c r="DE16" s="244">
        <v>30353</v>
      </c>
      <c r="DF16" s="231">
        <f t="shared" si="5"/>
        <v>63.381418882549255</v>
      </c>
      <c r="DG16" s="73"/>
      <c r="DH16" s="103"/>
      <c r="DI16" s="103" t="s">
        <v>61</v>
      </c>
      <c r="DJ16" s="105">
        <v>25953</v>
      </c>
      <c r="DK16" s="105">
        <v>18578</v>
      </c>
      <c r="DL16" s="102">
        <f t="shared" si="6"/>
        <v>-28.416753361846414</v>
      </c>
      <c r="DM16" s="105">
        <v>28736</v>
      </c>
      <c r="DN16" s="105">
        <v>18578</v>
      </c>
      <c r="DO16" s="102">
        <f t="shared" si="7"/>
        <v>-35.349387527839646</v>
      </c>
      <c r="DP16" s="73"/>
      <c r="DQ16" s="103"/>
      <c r="DR16" s="103" t="s">
        <v>61</v>
      </c>
      <c r="DS16" s="105">
        <v>21428</v>
      </c>
      <c r="DT16" s="105">
        <v>28736</v>
      </c>
      <c r="DU16" s="102">
        <f t="shared" si="8"/>
        <v>34.10490946425238</v>
      </c>
      <c r="DV16" s="105">
        <v>16319</v>
      </c>
      <c r="DW16" s="105">
        <v>28736</v>
      </c>
      <c r="DX16" s="102">
        <f t="shared" si="9"/>
        <v>76.089221153256943</v>
      </c>
      <c r="DY16" s="73"/>
      <c r="DZ16" s="24"/>
      <c r="EA16" s="24" t="s">
        <v>61</v>
      </c>
      <c r="EB16" s="25">
        <v>17323</v>
      </c>
      <c r="EC16" s="50">
        <v>16319</v>
      </c>
      <c r="ED16" s="128">
        <f t="shared" si="10"/>
        <v>-5.795762858627258</v>
      </c>
      <c r="EE16" s="25">
        <v>8397</v>
      </c>
      <c r="EF16" s="25">
        <v>16319</v>
      </c>
      <c r="EG16" s="128">
        <f t="shared" si="11"/>
        <v>94.343217815886632</v>
      </c>
      <c r="EH16" s="130"/>
      <c r="EI16" s="103"/>
      <c r="EJ16" s="103" t="s">
        <v>61</v>
      </c>
      <c r="EK16" s="105">
        <v>4536</v>
      </c>
      <c r="EL16" s="105">
        <v>8397</v>
      </c>
      <c r="EM16" s="102">
        <f t="shared" si="12"/>
        <v>85.11904761904762</v>
      </c>
      <c r="EN16" s="105">
        <v>10770</v>
      </c>
      <c r="EO16" s="105">
        <v>8397</v>
      </c>
      <c r="EP16" s="102">
        <f t="shared" si="13"/>
        <v>-22.033426183844011</v>
      </c>
      <c r="EQ16" s="73"/>
      <c r="ER16" s="77"/>
      <c r="ES16" s="77" t="s">
        <v>61</v>
      </c>
      <c r="ET16" s="80">
        <v>10281</v>
      </c>
      <c r="EU16" s="80">
        <v>10770</v>
      </c>
      <c r="EV16" s="79">
        <f t="shared" si="14"/>
        <v>4.756346658885322</v>
      </c>
      <c r="EW16" s="81">
        <v>7209</v>
      </c>
      <c r="EX16" s="80">
        <v>10770</v>
      </c>
      <c r="EY16" s="79">
        <f t="shared" si="15"/>
        <v>49.396587598834792</v>
      </c>
      <c r="EZ16" s="61"/>
      <c r="FA16" s="42"/>
      <c r="FB16" s="42" t="s">
        <v>61</v>
      </c>
      <c r="FC16" s="43">
        <v>8480</v>
      </c>
      <c r="FD16" s="43">
        <v>7209</v>
      </c>
      <c r="FE16" s="44">
        <f t="shared" si="2"/>
        <v>-14.988207547169811</v>
      </c>
      <c r="FF16" s="45">
        <v>6496</v>
      </c>
      <c r="FG16" s="43">
        <v>7209</v>
      </c>
      <c r="FH16" s="44">
        <f t="shared" si="3"/>
        <v>10.975985221674875</v>
      </c>
      <c r="FI16" s="61"/>
      <c r="FJ16" s="20" t="s">
        <v>2</v>
      </c>
      <c r="FK16" s="21">
        <v>40561</v>
      </c>
      <c r="FL16" s="21">
        <v>44253</v>
      </c>
      <c r="FM16" s="31">
        <f>(FL16-FK16)/FK16*100</f>
        <v>9.1023396859051786</v>
      </c>
      <c r="FN16" s="35">
        <v>40283</v>
      </c>
      <c r="FO16" s="21">
        <v>44253</v>
      </c>
      <c r="FP16" s="31">
        <f>(FO16-FN16)/FN16*100</f>
        <v>9.8552739368964577</v>
      </c>
      <c r="FR16" s="42" t="s">
        <v>2</v>
      </c>
      <c r="FS16" s="43">
        <v>38049</v>
      </c>
      <c r="FT16" s="43">
        <v>40283</v>
      </c>
      <c r="FU16" s="44">
        <f>(FT16-FS16)/FS16*100</f>
        <v>5.8713763830849697</v>
      </c>
      <c r="FV16" s="45">
        <v>24200</v>
      </c>
      <c r="FW16" s="43">
        <v>40283</v>
      </c>
      <c r="FX16" s="44">
        <f>(FW16-FV16)/FV16*100</f>
        <v>66.45867768595042</v>
      </c>
    </row>
    <row r="17" spans="1:165" x14ac:dyDescent="0.5">
      <c r="A17" s="250"/>
      <c r="B17" s="250" t="s">
        <v>62</v>
      </c>
      <c r="C17" s="252">
        <v>36577</v>
      </c>
      <c r="D17" s="248">
        <v>31145</v>
      </c>
      <c r="E17" s="249">
        <f t="shared" si="25"/>
        <v>-14.850862563906281</v>
      </c>
      <c r="F17" s="252">
        <v>27820</v>
      </c>
      <c r="G17" s="248">
        <v>31145</v>
      </c>
      <c r="H17" s="249">
        <f>((G17-F17)/F17)*100</f>
        <v>11.951833213515457</v>
      </c>
      <c r="I17" s="250"/>
      <c r="J17" s="250" t="s">
        <v>62</v>
      </c>
      <c r="K17" s="252">
        <v>28229</v>
      </c>
      <c r="L17" s="252">
        <v>27820</v>
      </c>
      <c r="M17" s="249">
        <f t="shared" si="27"/>
        <v>-1.4488646427432783</v>
      </c>
      <c r="N17" s="252">
        <v>15660</v>
      </c>
      <c r="O17" s="252">
        <v>27820</v>
      </c>
      <c r="P17" s="249">
        <f>((O17-N17)/N17)*100</f>
        <v>77.650063856960401</v>
      </c>
      <c r="Q17" s="250"/>
      <c r="R17" s="250" t="s">
        <v>62</v>
      </c>
      <c r="S17" s="289">
        <v>24650</v>
      </c>
      <c r="T17" s="252">
        <v>15660</v>
      </c>
      <c r="U17" s="249">
        <f t="shared" si="29"/>
        <v>-36.470588235294116</v>
      </c>
      <c r="V17" s="252">
        <v>55360</v>
      </c>
      <c r="W17" s="252">
        <v>15660</v>
      </c>
      <c r="X17" s="249">
        <f>((W17-V17)/V17)*100</f>
        <v>-71.712427745664741</v>
      </c>
      <c r="Y17" s="250"/>
      <c r="Z17" s="250" t="s">
        <v>62</v>
      </c>
      <c r="AA17" s="289">
        <v>58163</v>
      </c>
      <c r="AB17" s="252">
        <v>55360</v>
      </c>
      <c r="AC17" s="249">
        <f t="shared" si="31"/>
        <v>-4.8192149648401905</v>
      </c>
      <c r="AD17" s="252">
        <v>40200</v>
      </c>
      <c r="AE17" s="252">
        <v>55360</v>
      </c>
      <c r="AF17" s="249">
        <f>((AE17-AD17)/AD17)*100</f>
        <v>37.711442786069654</v>
      </c>
      <c r="AG17" s="250"/>
      <c r="AH17" s="250" t="s">
        <v>62</v>
      </c>
      <c r="AI17" s="289">
        <v>47228</v>
      </c>
      <c r="AJ17" s="252">
        <v>40200</v>
      </c>
      <c r="AK17" s="249">
        <f t="shared" si="33"/>
        <v>-14.881002794952147</v>
      </c>
      <c r="AL17" s="252">
        <v>31700</v>
      </c>
      <c r="AM17" s="252">
        <v>40200</v>
      </c>
      <c r="AN17" s="249">
        <f>((AM17-AL17)/AL17)*100</f>
        <v>26.813880126182966</v>
      </c>
      <c r="AO17" s="250"/>
      <c r="AP17" s="250" t="s">
        <v>62</v>
      </c>
      <c r="AQ17" s="289">
        <v>25222</v>
      </c>
      <c r="AR17" s="252">
        <v>31700</v>
      </c>
      <c r="AS17" s="249">
        <f t="shared" si="35"/>
        <v>25.683926730631988</v>
      </c>
      <c r="AT17" s="252">
        <v>42315</v>
      </c>
      <c r="AU17" s="252">
        <v>31700</v>
      </c>
      <c r="AV17" s="249">
        <f>((AU17-AT17)/AT17)*100</f>
        <v>-25.085667021150893</v>
      </c>
      <c r="AW17" s="250"/>
      <c r="AX17" s="250" t="s">
        <v>62</v>
      </c>
      <c r="AY17" s="289">
        <v>41166</v>
      </c>
      <c r="AZ17" s="252">
        <v>42315</v>
      </c>
      <c r="BA17" s="249">
        <f t="shared" si="37"/>
        <v>2.7911383180294416</v>
      </c>
      <c r="BB17" s="252">
        <v>35610</v>
      </c>
      <c r="BC17" s="252">
        <v>42315</v>
      </c>
      <c r="BD17" s="249">
        <f>((BC17-BB17)/BB17)*100</f>
        <v>18.828980623420389</v>
      </c>
      <c r="BE17" s="250"/>
      <c r="BF17" s="250" t="s">
        <v>62</v>
      </c>
      <c r="BG17" s="289">
        <v>36355</v>
      </c>
      <c r="BH17" s="252">
        <v>35610</v>
      </c>
      <c r="BI17" s="249">
        <f t="shared" si="38"/>
        <v>-2.0492366937147573</v>
      </c>
      <c r="BJ17" s="252">
        <v>32541</v>
      </c>
      <c r="BK17" s="252">
        <v>35610</v>
      </c>
      <c r="BL17" s="249">
        <f>((BK17-BJ17)/BJ17)*100</f>
        <v>9.4311791278694574</v>
      </c>
      <c r="BM17" s="250"/>
      <c r="BN17" s="250" t="s">
        <v>62</v>
      </c>
      <c r="BO17" s="252">
        <v>32494</v>
      </c>
      <c r="BP17" s="252">
        <v>32541</v>
      </c>
      <c r="BQ17" s="249">
        <f>((BP17-BO17)/BO17)*100</f>
        <v>0.14464208777004986</v>
      </c>
      <c r="BR17" s="252">
        <v>48320</v>
      </c>
      <c r="BS17" s="252">
        <v>32541</v>
      </c>
      <c r="BT17" s="249">
        <f>((BS17-BR17)/BR17)*100</f>
        <v>-32.655215231788084</v>
      </c>
      <c r="BU17" s="249"/>
      <c r="BV17" s="250"/>
      <c r="BW17" s="250" t="s">
        <v>62</v>
      </c>
      <c r="BX17" s="252">
        <v>44376</v>
      </c>
      <c r="BY17" s="252">
        <v>48320</v>
      </c>
      <c r="BZ17" s="249">
        <f t="shared" si="20"/>
        <v>8.8876870380385782</v>
      </c>
      <c r="CA17" s="252">
        <v>45520</v>
      </c>
      <c r="CB17" s="252">
        <v>48320</v>
      </c>
      <c r="CC17" s="249">
        <f>((CB17-CA17)/CA17)*100</f>
        <v>6.1511423550087869</v>
      </c>
      <c r="CD17" s="249"/>
      <c r="CF17" s="250"/>
      <c r="CG17" s="250" t="s">
        <v>62</v>
      </c>
      <c r="CH17" s="252">
        <v>42255</v>
      </c>
      <c r="CI17" s="252">
        <v>45520</v>
      </c>
      <c r="CJ17" s="249">
        <f t="shared" si="21"/>
        <v>7.7268962252987805</v>
      </c>
      <c r="CK17" s="252">
        <v>56287</v>
      </c>
      <c r="CL17" s="252">
        <v>45520</v>
      </c>
      <c r="CM17" s="249">
        <f t="shared" si="22"/>
        <v>-19.128750866096965</v>
      </c>
      <c r="CN17" s="249"/>
      <c r="CO17" s="73"/>
      <c r="CP17" s="250"/>
      <c r="CQ17" s="250" t="s">
        <v>62</v>
      </c>
      <c r="CR17" s="252">
        <v>47242</v>
      </c>
      <c r="CS17" s="252">
        <v>56287</v>
      </c>
      <c r="CT17" s="249">
        <f t="shared" si="23"/>
        <v>19.146098810380593</v>
      </c>
      <c r="CU17" s="252">
        <v>33977</v>
      </c>
      <c r="CV17" s="252">
        <v>56287</v>
      </c>
      <c r="CW17" s="249">
        <f t="shared" si="24"/>
        <v>65.662065514907141</v>
      </c>
      <c r="CX17" s="73"/>
      <c r="CY17" s="232"/>
      <c r="CZ17" s="232" t="s">
        <v>62</v>
      </c>
      <c r="DA17" s="244">
        <v>63047</v>
      </c>
      <c r="DB17" s="244">
        <v>33977</v>
      </c>
      <c r="DC17" s="231">
        <f t="shared" si="4"/>
        <v>-46.10845876885498</v>
      </c>
      <c r="DD17" s="234">
        <v>42729</v>
      </c>
      <c r="DE17" s="244">
        <v>33977</v>
      </c>
      <c r="DF17" s="231">
        <f t="shared" si="5"/>
        <v>-20.482576236279808</v>
      </c>
      <c r="DG17" s="73"/>
      <c r="DH17" s="103"/>
      <c r="DI17" s="103" t="s">
        <v>62</v>
      </c>
      <c r="DJ17" s="105">
        <v>38848</v>
      </c>
      <c r="DK17" s="105">
        <v>42729</v>
      </c>
      <c r="DL17" s="102">
        <f t="shared" si="6"/>
        <v>9.9902182866556828</v>
      </c>
      <c r="DM17" s="105">
        <v>98135</v>
      </c>
      <c r="DN17" s="105">
        <v>42729</v>
      </c>
      <c r="DO17" s="102">
        <f t="shared" si="7"/>
        <v>-56.458959596474244</v>
      </c>
      <c r="DP17" s="73"/>
      <c r="DQ17" s="103"/>
      <c r="DR17" s="103" t="s">
        <v>62</v>
      </c>
      <c r="DS17" s="105">
        <v>83200</v>
      </c>
      <c r="DT17" s="105">
        <v>98135</v>
      </c>
      <c r="DU17" s="102">
        <f t="shared" si="8"/>
        <v>17.950721153846153</v>
      </c>
      <c r="DV17" s="105">
        <v>45011</v>
      </c>
      <c r="DW17" s="105">
        <v>98135</v>
      </c>
      <c r="DX17" s="102">
        <f t="shared" si="9"/>
        <v>118.02448290417897</v>
      </c>
      <c r="DY17" s="73"/>
      <c r="DZ17" s="24"/>
      <c r="EA17" s="24" t="s">
        <v>62</v>
      </c>
      <c r="EB17" s="25">
        <v>56887</v>
      </c>
      <c r="EC17" s="50">
        <v>45011</v>
      </c>
      <c r="ED17" s="128">
        <f t="shared" si="10"/>
        <v>-20.876474414189534</v>
      </c>
      <c r="EE17" s="25">
        <v>38593</v>
      </c>
      <c r="EF17" s="25">
        <v>45011</v>
      </c>
      <c r="EG17" s="128">
        <f t="shared" si="11"/>
        <v>16.629958800818802</v>
      </c>
      <c r="EH17" s="130"/>
      <c r="EI17" s="103"/>
      <c r="EJ17" s="103" t="s">
        <v>62</v>
      </c>
      <c r="EK17" s="105">
        <v>31736</v>
      </c>
      <c r="EL17" s="105">
        <v>38593</v>
      </c>
      <c r="EM17" s="102">
        <f t="shared" si="12"/>
        <v>21.606377615326444</v>
      </c>
      <c r="EN17" s="105">
        <v>66216</v>
      </c>
      <c r="EO17" s="105">
        <v>38593</v>
      </c>
      <c r="EP17" s="102">
        <f t="shared" si="13"/>
        <v>-41.716503564093273</v>
      </c>
      <c r="EQ17" s="73"/>
      <c r="ER17" s="77"/>
      <c r="ES17" s="77" t="s">
        <v>62</v>
      </c>
      <c r="ET17" s="80">
        <v>114065</v>
      </c>
      <c r="EU17" s="80">
        <v>66216</v>
      </c>
      <c r="EV17" s="79">
        <f t="shared" si="14"/>
        <v>-41.948888791478545</v>
      </c>
      <c r="EW17" s="81">
        <v>143658</v>
      </c>
      <c r="EX17" s="80">
        <v>66216</v>
      </c>
      <c r="EY17" s="79">
        <f t="shared" si="15"/>
        <v>-53.907196257778892</v>
      </c>
      <c r="EZ17" s="61"/>
      <c r="FA17" s="42"/>
      <c r="FB17" s="42" t="s">
        <v>62</v>
      </c>
      <c r="FC17" s="43">
        <v>161869</v>
      </c>
      <c r="FD17" s="43">
        <v>143658</v>
      </c>
      <c r="FE17" s="44">
        <f t="shared" si="2"/>
        <v>-11.250455615343272</v>
      </c>
      <c r="FF17" s="45">
        <v>109850</v>
      </c>
      <c r="FG17" s="43">
        <v>143658</v>
      </c>
      <c r="FH17" s="44">
        <f t="shared" si="3"/>
        <v>30.776513427401003</v>
      </c>
      <c r="FI17" s="61"/>
    </row>
    <row r="18" spans="1:165" x14ac:dyDescent="0.5">
      <c r="A18" s="250"/>
      <c r="B18" s="250" t="s">
        <v>63</v>
      </c>
      <c r="C18" s="256">
        <v>5246.1960052190898</v>
      </c>
      <c r="D18" s="248">
        <v>4437.5839634464401</v>
      </c>
      <c r="E18" s="249">
        <f t="shared" si="25"/>
        <v>-15.413302152039604</v>
      </c>
      <c r="F18" s="256">
        <v>4329.6433986970815</v>
      </c>
      <c r="G18" s="248">
        <v>4437.5839634464401</v>
      </c>
      <c r="H18" s="249">
        <f>((G18-F18)/F18)*100</f>
        <v>2.4930590076273056</v>
      </c>
      <c r="I18" s="250"/>
      <c r="J18" s="250" t="s">
        <v>63</v>
      </c>
      <c r="K18" s="256">
        <v>4624.9229228499998</v>
      </c>
      <c r="L18" s="256">
        <v>4329.6433986970815</v>
      </c>
      <c r="M18" s="249">
        <f t="shared" si="27"/>
        <v>-6.3845285441202408</v>
      </c>
      <c r="N18" s="256">
        <v>4540.62</v>
      </c>
      <c r="O18" s="256">
        <v>4329.6433986970815</v>
      </c>
      <c r="P18" s="249">
        <f>((O18-N18)/N18)*100</f>
        <v>-4.646427168600729</v>
      </c>
      <c r="Q18" s="250"/>
      <c r="R18" s="250" t="s">
        <v>63</v>
      </c>
      <c r="S18" s="290">
        <v>5690.3665062574701</v>
      </c>
      <c r="T18" s="256">
        <v>4540.62</v>
      </c>
      <c r="U18" s="249">
        <f t="shared" si="29"/>
        <v>-20.205139774268311</v>
      </c>
      <c r="V18" s="256">
        <v>6279.38</v>
      </c>
      <c r="W18" s="256">
        <v>4540.62</v>
      </c>
      <c r="X18" s="249">
        <f>((W18-V18)/V18)*100</f>
        <v>-27.68999487210521</v>
      </c>
      <c r="Y18" s="250"/>
      <c r="Z18" s="250" t="s">
        <v>63</v>
      </c>
      <c r="AA18" s="290">
        <v>5565.65</v>
      </c>
      <c r="AB18" s="256">
        <v>6279.38</v>
      </c>
      <c r="AC18" s="249">
        <f t="shared" si="31"/>
        <v>12.823839084383684</v>
      </c>
      <c r="AD18" s="256">
        <v>6055.71</v>
      </c>
      <c r="AE18" s="256">
        <v>6279.38</v>
      </c>
      <c r="AF18" s="249">
        <f>((AE18-AD18)/AD18)*100</f>
        <v>3.6935388253400521</v>
      </c>
      <c r="AG18" s="250"/>
      <c r="AH18" s="250" t="s">
        <v>63</v>
      </c>
      <c r="AI18" s="290">
        <v>6317.7</v>
      </c>
      <c r="AJ18" s="256">
        <v>6055.71</v>
      </c>
      <c r="AK18" s="249">
        <f t="shared" si="33"/>
        <v>-4.1469205565316454</v>
      </c>
      <c r="AL18" s="256">
        <v>3433.2150042908502</v>
      </c>
      <c r="AM18" s="256">
        <v>6055.71</v>
      </c>
      <c r="AN18" s="249">
        <f>((AM18-AL18)/AL18)*100</f>
        <v>76.385982014861924</v>
      </c>
      <c r="AO18" s="250"/>
      <c r="AP18" s="250" t="s">
        <v>63</v>
      </c>
      <c r="AQ18" s="290">
        <v>3155.8444632625101</v>
      </c>
      <c r="AR18" s="256">
        <v>3433.2150042908502</v>
      </c>
      <c r="AS18" s="249">
        <f t="shared" si="35"/>
        <v>8.7891068225078044</v>
      </c>
      <c r="AT18" s="256">
        <v>5527.4734395900005</v>
      </c>
      <c r="AU18" s="256">
        <v>3433.2150042908502</v>
      </c>
      <c r="AV18" s="249">
        <f>((AU18-AT18)/AT18)*100</f>
        <v>-37.888168223463985</v>
      </c>
      <c r="AW18" s="250"/>
      <c r="AX18" s="250" t="s">
        <v>63</v>
      </c>
      <c r="AY18" s="290">
        <v>5605.0349399099996</v>
      </c>
      <c r="AZ18" s="256">
        <v>6153.1550622200002</v>
      </c>
      <c r="BA18" s="249">
        <f t="shared" si="37"/>
        <v>9.7790670029043891</v>
      </c>
      <c r="BB18" s="256">
        <v>4812.5600000000004</v>
      </c>
      <c r="BC18" s="256">
        <v>6153.1550622200002</v>
      </c>
      <c r="BD18" s="249">
        <f>((BC18-BB18)/BB18)*100</f>
        <v>27.856173475655361</v>
      </c>
      <c r="BE18" s="250"/>
      <c r="BF18" s="250" t="s">
        <v>63</v>
      </c>
      <c r="BG18" s="290">
        <v>5287.87</v>
      </c>
      <c r="BH18" s="256">
        <v>4812.5600000000004</v>
      </c>
      <c r="BI18" s="249">
        <f t="shared" si="38"/>
        <v>-8.9886854253224726</v>
      </c>
      <c r="BJ18" s="256">
        <v>4012.23</v>
      </c>
      <c r="BK18" s="256">
        <v>4812.5600000000004</v>
      </c>
      <c r="BL18" s="249">
        <f>((BK18-BJ18)/BJ18)*100</f>
        <v>19.947261248732012</v>
      </c>
      <c r="BM18" s="250"/>
      <c r="BN18" s="250" t="s">
        <v>63</v>
      </c>
      <c r="BO18" s="256">
        <v>4328.07</v>
      </c>
      <c r="BP18" s="256">
        <v>4012.23</v>
      </c>
      <c r="BQ18" s="249">
        <f>((BP18-BO18)/BO18)*100</f>
        <v>-7.2974790148957789</v>
      </c>
      <c r="BR18" s="256">
        <v>3095.72</v>
      </c>
      <c r="BS18" s="256">
        <v>4012.23</v>
      </c>
      <c r="BT18" s="249">
        <f>((BS18-BR18)/BR18)*100</f>
        <v>29.605713695037029</v>
      </c>
      <c r="BU18" s="249"/>
      <c r="BV18" s="250"/>
      <c r="BW18" s="250" t="s">
        <v>63</v>
      </c>
      <c r="BX18" s="256">
        <v>2978.83</v>
      </c>
      <c r="BY18" s="256">
        <v>3095.72</v>
      </c>
      <c r="BZ18" s="249">
        <f t="shared" si="20"/>
        <v>3.9240238617175156</v>
      </c>
      <c r="CA18" s="256">
        <v>2908.89</v>
      </c>
      <c r="CB18" s="256">
        <v>3095.72</v>
      </c>
      <c r="CC18" s="249">
        <f>((CB18-CA18)/CA18)*100</f>
        <v>6.4227248194328403</v>
      </c>
      <c r="CD18" s="249"/>
      <c r="CF18" s="250"/>
      <c r="CG18" s="250" t="s">
        <v>63</v>
      </c>
      <c r="CH18" s="256">
        <v>3398.21</v>
      </c>
      <c r="CI18" s="256">
        <v>2908.89</v>
      </c>
      <c r="CJ18" s="249">
        <f t="shared" si="21"/>
        <v>-14.399345537797844</v>
      </c>
      <c r="CK18" s="256">
        <v>3570.16</v>
      </c>
      <c r="CL18" s="256">
        <v>2908.89</v>
      </c>
      <c r="CM18" s="249">
        <f t="shared" si="22"/>
        <v>-18.522139063795461</v>
      </c>
      <c r="CN18" s="249"/>
      <c r="CO18" s="73"/>
      <c r="CP18" s="250"/>
      <c r="CQ18" s="250" t="s">
        <v>63</v>
      </c>
      <c r="CR18" s="256">
        <v>3831.84</v>
      </c>
      <c r="CS18" s="256">
        <v>3570.16</v>
      </c>
      <c r="CT18" s="249">
        <f t="shared" si="23"/>
        <v>-6.8290951605495085</v>
      </c>
      <c r="CU18" s="256">
        <v>4240.49</v>
      </c>
      <c r="CV18" s="256">
        <v>3570.16</v>
      </c>
      <c r="CW18" s="249">
        <f t="shared" si="24"/>
        <v>-15.807842961544537</v>
      </c>
      <c r="CX18" s="73"/>
      <c r="CY18" s="232"/>
      <c r="CZ18" s="232" t="s">
        <v>63</v>
      </c>
      <c r="DA18" s="243">
        <v>4892.8</v>
      </c>
      <c r="DB18" s="243">
        <v>4240.49</v>
      </c>
      <c r="DC18" s="231">
        <f t="shared" si="4"/>
        <v>-13.332038914323094</v>
      </c>
      <c r="DD18" s="235">
        <v>1940.76</v>
      </c>
      <c r="DE18" s="243">
        <v>4240.49</v>
      </c>
      <c r="DF18" s="231">
        <f t="shared" si="5"/>
        <v>118.49636224984023</v>
      </c>
      <c r="DG18" s="73"/>
      <c r="DH18" s="103"/>
      <c r="DI18" s="103" t="s">
        <v>63</v>
      </c>
      <c r="DJ18" s="106">
        <v>2435.8200000000002</v>
      </c>
      <c r="DK18" s="106">
        <v>1940.76</v>
      </c>
      <c r="DL18" s="102">
        <f t="shared" si="6"/>
        <v>-20.32416188388305</v>
      </c>
      <c r="DM18" s="106">
        <v>1967.64</v>
      </c>
      <c r="DN18" s="106">
        <v>1940.76</v>
      </c>
      <c r="DO18" s="102">
        <f t="shared" si="7"/>
        <v>-1.3661035555284557</v>
      </c>
      <c r="DP18" s="73"/>
      <c r="DQ18" s="103"/>
      <c r="DR18" s="103" t="s">
        <v>63</v>
      </c>
      <c r="DS18" s="106">
        <v>1948.68</v>
      </c>
      <c r="DT18" s="106">
        <v>18321.759999999998</v>
      </c>
      <c r="DU18" s="102">
        <f t="shared" si="8"/>
        <v>840.2138883757209</v>
      </c>
      <c r="DV18" s="106">
        <v>2163.3200000000002</v>
      </c>
      <c r="DW18" s="106">
        <v>18321.759999999998</v>
      </c>
      <c r="DX18" s="102">
        <f t="shared" si="9"/>
        <v>746.92787012554766</v>
      </c>
      <c r="DY18" s="73"/>
      <c r="DZ18" s="24"/>
      <c r="EA18" s="24" t="s">
        <v>63</v>
      </c>
      <c r="EB18" s="124">
        <v>2311.63</v>
      </c>
      <c r="EC18" s="132">
        <v>2163.3200000000002</v>
      </c>
      <c r="ED18" s="128">
        <f t="shared" si="10"/>
        <v>-6.4158191406064091</v>
      </c>
      <c r="EE18" s="124">
        <v>1428.83</v>
      </c>
      <c r="EF18" s="124">
        <v>2163.3200000000002</v>
      </c>
      <c r="EG18" s="128">
        <f t="shared" si="11"/>
        <v>51.404995695779085</v>
      </c>
      <c r="EH18" s="127"/>
      <c r="EI18" s="103"/>
      <c r="EJ18" s="103" t="s">
        <v>63</v>
      </c>
      <c r="EK18" s="106">
        <v>944.61</v>
      </c>
      <c r="EL18" s="106">
        <v>1428.83</v>
      </c>
      <c r="EM18" s="102">
        <f t="shared" si="12"/>
        <v>51.261367125056893</v>
      </c>
      <c r="EN18" s="106">
        <v>1793.31</v>
      </c>
      <c r="EO18" s="106">
        <v>1428.83</v>
      </c>
      <c r="EP18" s="102">
        <f t="shared" si="13"/>
        <v>-20.324428013003889</v>
      </c>
      <c r="EQ18" s="73"/>
      <c r="ER18" s="77"/>
      <c r="ES18" s="77" t="s">
        <v>63</v>
      </c>
      <c r="ET18" s="82">
        <v>1933.67</v>
      </c>
      <c r="EU18" s="82">
        <v>1793.31</v>
      </c>
      <c r="EV18" s="79">
        <f t="shared" si="14"/>
        <v>-7.2587359787347445</v>
      </c>
      <c r="EW18" s="83">
        <v>1882.81</v>
      </c>
      <c r="EX18" s="82">
        <v>1793.31</v>
      </c>
      <c r="EY18" s="79">
        <f t="shared" si="15"/>
        <v>-4.7535332826997951</v>
      </c>
      <c r="EZ18" s="61"/>
      <c r="FA18" s="42"/>
      <c r="FB18" s="42" t="s">
        <v>63</v>
      </c>
      <c r="FC18" s="66">
        <v>2130.13</v>
      </c>
      <c r="FD18" s="66">
        <v>1882.81</v>
      </c>
      <c r="FE18" s="44">
        <f t="shared" si="2"/>
        <v>-11.610558979968367</v>
      </c>
      <c r="FF18" s="67">
        <v>2010.97</v>
      </c>
      <c r="FG18" s="66">
        <v>1882.81</v>
      </c>
      <c r="FH18" s="44">
        <f t="shared" si="3"/>
        <v>-6.3730438544583006</v>
      </c>
      <c r="FI18" s="61"/>
    </row>
    <row r="19" spans="1:165" x14ac:dyDescent="0.5">
      <c r="B19" s="97"/>
      <c r="J19" s="97"/>
      <c r="R19" s="97"/>
      <c r="Z19" s="97"/>
      <c r="AH19" s="97"/>
      <c r="AP19" s="97"/>
      <c r="AX19" s="97"/>
    </row>
    <row r="20" spans="1:165" x14ac:dyDescent="0.5">
      <c r="C20" s="62" t="s">
        <v>878</v>
      </c>
      <c r="K20" s="62" t="s">
        <v>838</v>
      </c>
      <c r="S20" s="62" t="s">
        <v>789</v>
      </c>
      <c r="AA20" s="62" t="s">
        <v>700</v>
      </c>
      <c r="AI20" s="62" t="s">
        <v>700</v>
      </c>
      <c r="AQ20" s="62" t="s">
        <v>602</v>
      </c>
      <c r="AY20" s="62" t="s">
        <v>602</v>
      </c>
      <c r="BG20" s="62" t="s">
        <v>557</v>
      </c>
      <c r="BO20" s="62" t="s">
        <v>513</v>
      </c>
      <c r="BX20" s="62" t="s">
        <v>455</v>
      </c>
      <c r="CH20" s="62" t="s">
        <v>405</v>
      </c>
      <c r="CR20" t="s">
        <v>362</v>
      </c>
      <c r="DA20" t="s">
        <v>308</v>
      </c>
      <c r="DJ20" t="s">
        <v>270</v>
      </c>
      <c r="DS20" t="s">
        <v>227</v>
      </c>
      <c r="EB20" t="s">
        <v>191</v>
      </c>
      <c r="EK20" t="s">
        <v>155</v>
      </c>
      <c r="ET20" t="s">
        <v>113</v>
      </c>
      <c r="FC20" t="s">
        <v>71</v>
      </c>
    </row>
    <row r="21" spans="1:165" x14ac:dyDescent="0.5">
      <c r="A21" s="163"/>
      <c r="B21" s="163"/>
      <c r="C21" s="356" t="s">
        <v>876</v>
      </c>
      <c r="D21" s="263" t="s">
        <v>879</v>
      </c>
      <c r="E21" s="302" t="s">
        <v>3</v>
      </c>
      <c r="F21" s="263" t="s">
        <v>840</v>
      </c>
      <c r="G21" s="263" t="s">
        <v>879</v>
      </c>
      <c r="H21" s="302" t="s">
        <v>3</v>
      </c>
      <c r="I21" s="163"/>
      <c r="J21" s="163"/>
      <c r="K21" s="356" t="s">
        <v>836</v>
      </c>
      <c r="L21" s="263" t="s">
        <v>840</v>
      </c>
      <c r="M21" s="302" t="s">
        <v>3</v>
      </c>
      <c r="N21" s="263" t="s">
        <v>841</v>
      </c>
      <c r="O21" s="263" t="s">
        <v>840</v>
      </c>
      <c r="P21" s="302" t="s">
        <v>3</v>
      </c>
      <c r="Q21" s="163"/>
      <c r="R21" s="163"/>
      <c r="S21" s="356" t="s">
        <v>784</v>
      </c>
      <c r="T21" s="263" t="s">
        <v>790</v>
      </c>
      <c r="U21" s="302" t="s">
        <v>3</v>
      </c>
      <c r="V21" s="263" t="s">
        <v>791</v>
      </c>
      <c r="W21" s="263" t="s">
        <v>740</v>
      </c>
      <c r="X21" s="302" t="s">
        <v>3</v>
      </c>
      <c r="Y21" s="163"/>
      <c r="Z21" s="163"/>
      <c r="AA21" s="356" t="s">
        <v>738</v>
      </c>
      <c r="AB21" s="263" t="s">
        <v>740</v>
      </c>
      <c r="AC21" s="302" t="s">
        <v>3</v>
      </c>
      <c r="AD21" s="263" t="s">
        <v>741</v>
      </c>
      <c r="AE21" s="263" t="s">
        <v>740</v>
      </c>
      <c r="AF21" s="302" t="s">
        <v>3</v>
      </c>
      <c r="AG21" s="163"/>
      <c r="AH21" s="163"/>
      <c r="AI21" s="356" t="s">
        <v>695</v>
      </c>
      <c r="AJ21" s="263" t="s">
        <v>698</v>
      </c>
      <c r="AK21" s="302" t="s">
        <v>3</v>
      </c>
      <c r="AL21" s="263" t="s">
        <v>699</v>
      </c>
      <c r="AM21" s="263">
        <v>23590</v>
      </c>
      <c r="AN21" s="302" t="s">
        <v>3</v>
      </c>
      <c r="AO21" s="163"/>
      <c r="AP21" s="163"/>
      <c r="AQ21" s="263" t="s">
        <v>649</v>
      </c>
      <c r="AR21" s="263" t="s">
        <v>650</v>
      </c>
      <c r="AS21" s="302" t="s">
        <v>3</v>
      </c>
      <c r="AT21" s="263" t="s">
        <v>651</v>
      </c>
      <c r="AU21" s="263" t="s">
        <v>650</v>
      </c>
      <c r="AV21" s="302" t="s">
        <v>3</v>
      </c>
      <c r="AW21" s="163"/>
      <c r="AX21" s="163"/>
      <c r="AY21" s="263">
        <v>22828</v>
      </c>
      <c r="AZ21" s="263">
        <v>22859</v>
      </c>
      <c r="BA21" s="302" t="s">
        <v>3</v>
      </c>
      <c r="BB21" s="263">
        <v>22494</v>
      </c>
      <c r="BC21" s="263">
        <v>22859</v>
      </c>
      <c r="BD21" s="302" t="s">
        <v>3</v>
      </c>
      <c r="BE21" s="163"/>
      <c r="BF21" s="163"/>
      <c r="BG21" s="263" t="s">
        <v>555</v>
      </c>
      <c r="BH21" s="263" t="s">
        <v>558</v>
      </c>
      <c r="BI21" s="302" t="s">
        <v>3</v>
      </c>
      <c r="BJ21" s="263" t="s">
        <v>559</v>
      </c>
      <c r="BK21" s="263" t="s">
        <v>558</v>
      </c>
      <c r="BL21" s="302" t="s">
        <v>3</v>
      </c>
      <c r="BM21" s="163"/>
      <c r="BN21" s="163"/>
      <c r="BO21" s="263" t="s">
        <v>508</v>
      </c>
      <c r="BP21" s="263" t="s">
        <v>512</v>
      </c>
      <c r="BQ21" s="302" t="s">
        <v>3</v>
      </c>
      <c r="BR21" s="263" t="s">
        <v>456</v>
      </c>
      <c r="BS21" s="263" t="s">
        <v>512</v>
      </c>
      <c r="BT21" s="302" t="s">
        <v>3</v>
      </c>
      <c r="BU21" s="163"/>
      <c r="BV21" s="163"/>
      <c r="BW21" s="163"/>
      <c r="BX21" s="263" t="str">
        <f t="shared" ref="BX21:CC21" si="39">BX2</f>
        <v>ก.ค. 59</v>
      </c>
      <c r="BY21" s="263" t="str">
        <f t="shared" si="39"/>
        <v>ส.ค. 59</v>
      </c>
      <c r="BZ21" s="302" t="str">
        <f t="shared" si="39"/>
        <v>ร้อยละ</v>
      </c>
      <c r="CA21" s="263" t="str">
        <f t="shared" si="39"/>
        <v>ส.ค. 58</v>
      </c>
      <c r="CB21" s="263" t="str">
        <f t="shared" si="39"/>
        <v>ส.ค. 59</v>
      </c>
      <c r="CC21" s="302" t="str">
        <f t="shared" si="39"/>
        <v>ร้อยละ</v>
      </c>
      <c r="CD21" s="163"/>
      <c r="CF21" s="163"/>
      <c r="CG21" s="163"/>
      <c r="CH21" s="172" t="s">
        <v>399</v>
      </c>
      <c r="CI21" s="172" t="s">
        <v>403</v>
      </c>
      <c r="CJ21" s="163" t="s">
        <v>3</v>
      </c>
      <c r="CK21" s="172" t="s">
        <v>363</v>
      </c>
      <c r="CL21" s="172" t="s">
        <v>403</v>
      </c>
      <c r="CM21" s="163" t="s">
        <v>3</v>
      </c>
      <c r="CN21" s="163"/>
      <c r="CO21" s="62"/>
      <c r="CP21" s="163"/>
      <c r="CQ21" s="163"/>
      <c r="CR21" s="172" t="s">
        <v>360</v>
      </c>
      <c r="CS21" s="172" t="s">
        <v>364</v>
      </c>
      <c r="CT21" s="163" t="s">
        <v>3</v>
      </c>
      <c r="CU21" s="172" t="s">
        <v>309</v>
      </c>
      <c r="CV21" s="172" t="s">
        <v>363</v>
      </c>
      <c r="CW21" s="163" t="s">
        <v>3</v>
      </c>
      <c r="CX21" s="62"/>
      <c r="CY21" s="239"/>
      <c r="CZ21" s="239"/>
      <c r="DA21" s="240" t="s">
        <v>305</v>
      </c>
      <c r="DB21" s="240" t="s">
        <v>309</v>
      </c>
      <c r="DC21" s="239" t="s">
        <v>3</v>
      </c>
      <c r="DD21" s="241" t="s">
        <v>271</v>
      </c>
      <c r="DE21" s="240" t="s">
        <v>309</v>
      </c>
      <c r="DF21" s="239" t="s">
        <v>3</v>
      </c>
      <c r="DG21" s="62"/>
      <c r="DH21" s="141"/>
      <c r="DI21" s="141"/>
      <c r="DJ21" s="144" t="s">
        <v>267</v>
      </c>
      <c r="DK21" s="144" t="s">
        <v>271</v>
      </c>
      <c r="DL21" s="141" t="s">
        <v>3</v>
      </c>
      <c r="DM21" s="144" t="s">
        <v>226</v>
      </c>
      <c r="DN21" s="144" t="s">
        <v>271</v>
      </c>
      <c r="DO21" s="141" t="s">
        <v>3</v>
      </c>
      <c r="DP21" s="62"/>
      <c r="DQ21" s="141"/>
      <c r="DR21" s="141"/>
      <c r="DS21" s="144" t="s">
        <v>224</v>
      </c>
      <c r="DT21" s="144" t="s">
        <v>226</v>
      </c>
      <c r="DU21" s="141" t="s">
        <v>3</v>
      </c>
      <c r="DV21" s="146" t="s">
        <v>192</v>
      </c>
      <c r="DW21" s="144" t="s">
        <v>226</v>
      </c>
      <c r="DX21" s="141" t="s">
        <v>3</v>
      </c>
      <c r="DY21" s="62"/>
      <c r="DZ21" s="95"/>
      <c r="EA21" s="95"/>
      <c r="EB21" s="96" t="s">
        <v>189</v>
      </c>
      <c r="EC21" s="96" t="s">
        <v>192</v>
      </c>
      <c r="ED21" s="95" t="s">
        <v>3</v>
      </c>
      <c r="EE21" s="96" t="s">
        <v>156</v>
      </c>
      <c r="EF21" s="96" t="s">
        <v>192</v>
      </c>
      <c r="EG21" s="95" t="s">
        <v>3</v>
      </c>
      <c r="EH21" s="62"/>
      <c r="EI21" s="107"/>
      <c r="EJ21" s="107"/>
      <c r="EK21" s="108" t="s">
        <v>151</v>
      </c>
      <c r="EL21" s="108" t="s">
        <v>156</v>
      </c>
      <c r="EM21" s="107" t="s">
        <v>3</v>
      </c>
      <c r="EN21" s="108" t="s">
        <v>114</v>
      </c>
      <c r="EO21" s="108" t="s">
        <v>156</v>
      </c>
      <c r="EP21" s="107" t="s">
        <v>3</v>
      </c>
      <c r="EQ21" s="62"/>
      <c r="ER21" s="95"/>
      <c r="ES21" s="95"/>
      <c r="ET21" s="96">
        <v>18810</v>
      </c>
      <c r="EU21" s="96">
        <v>18841</v>
      </c>
      <c r="EV21" s="95" t="s">
        <v>3</v>
      </c>
      <c r="EW21" s="96" t="s">
        <v>115</v>
      </c>
      <c r="EX21" s="96" t="s">
        <v>114</v>
      </c>
      <c r="EY21" s="95" t="s">
        <v>3</v>
      </c>
      <c r="EZ21" s="62"/>
      <c r="FA21" s="54"/>
      <c r="FB21" s="54"/>
      <c r="FC21" s="55">
        <v>18445</v>
      </c>
      <c r="FD21" s="55">
        <v>18476</v>
      </c>
      <c r="FE21" s="54" t="s">
        <v>3</v>
      </c>
      <c r="FF21" s="55">
        <v>18111</v>
      </c>
      <c r="FG21" s="55">
        <v>18476</v>
      </c>
      <c r="FH21" s="54" t="s">
        <v>3</v>
      </c>
      <c r="FI21" s="62"/>
    </row>
    <row r="22" spans="1:165" x14ac:dyDescent="0.5">
      <c r="A22" s="165" t="s">
        <v>0</v>
      </c>
      <c r="B22" s="165"/>
      <c r="C22" s="166">
        <v>110616</v>
      </c>
      <c r="D22" s="166">
        <v>112366</v>
      </c>
      <c r="E22" s="167">
        <f>((D22-C22)/C22)*100</f>
        <v>1.5820496130758661</v>
      </c>
      <c r="F22" s="166">
        <v>119680</v>
      </c>
      <c r="G22" s="166">
        <v>112366</v>
      </c>
      <c r="H22" s="167">
        <f t="shared" ref="H22:H32" si="40">((G22-F22)/F22)*100</f>
        <v>-6.1112967914438503</v>
      </c>
      <c r="I22" s="165" t="s">
        <v>0</v>
      </c>
      <c r="J22" s="165"/>
      <c r="K22" s="166">
        <v>124829</v>
      </c>
      <c r="L22" s="166">
        <v>119680</v>
      </c>
      <c r="M22" s="167">
        <f>((L22-K22)/K22)*100</f>
        <v>-4.1248427849297835</v>
      </c>
      <c r="N22" s="166">
        <v>150657</v>
      </c>
      <c r="O22" s="166">
        <v>119680</v>
      </c>
      <c r="P22" s="167">
        <f t="shared" ref="P22:P32" si="41">((O22-N22)/N22)*100</f>
        <v>-20.561274949056465</v>
      </c>
      <c r="Q22" s="165" t="s">
        <v>0</v>
      </c>
      <c r="R22" s="165"/>
      <c r="S22" s="166">
        <v>149709</v>
      </c>
      <c r="T22" s="166">
        <v>150657</v>
      </c>
      <c r="U22" s="167">
        <f>((T22-S22)/S22)*100</f>
        <v>0.63322846321864412</v>
      </c>
      <c r="V22" s="166">
        <v>171731</v>
      </c>
      <c r="W22" s="166">
        <v>150657</v>
      </c>
      <c r="X22" s="167">
        <f t="shared" ref="X22:X32" si="42">((W22-V22)/V22)*100</f>
        <v>-12.271517664253977</v>
      </c>
      <c r="Y22" s="165" t="s">
        <v>0</v>
      </c>
      <c r="Z22" s="165"/>
      <c r="AA22" s="166">
        <v>142958</v>
      </c>
      <c r="AB22" s="166">
        <v>171731</v>
      </c>
      <c r="AC22" s="167">
        <f>((AB22-AA22)/AA22)*100</f>
        <v>20.126890415366752</v>
      </c>
      <c r="AD22" s="166">
        <v>104144</v>
      </c>
      <c r="AE22" s="166">
        <v>171731</v>
      </c>
      <c r="AF22" s="167">
        <f t="shared" ref="AF22:AF32" si="43">((AE22-AD22)/AD22)*100</f>
        <v>64.897641726839765</v>
      </c>
      <c r="AG22" s="165" t="s">
        <v>0</v>
      </c>
      <c r="AH22" s="165"/>
      <c r="AI22" s="166">
        <v>123163</v>
      </c>
      <c r="AJ22" s="166">
        <v>104144</v>
      </c>
      <c r="AK22" s="167">
        <f>((AJ22-AI22)/AI22)*100</f>
        <v>-15.44213765497755</v>
      </c>
      <c r="AL22" s="166">
        <v>117253</v>
      </c>
      <c r="AM22" s="166">
        <v>104144</v>
      </c>
      <c r="AN22" s="167">
        <f t="shared" ref="AN22:AN32" si="44">((AM22-AL22)/AL22)*100</f>
        <v>-11.180097737371325</v>
      </c>
      <c r="AO22" s="165" t="s">
        <v>0</v>
      </c>
      <c r="AP22" s="165"/>
      <c r="AQ22" s="166">
        <v>89336</v>
      </c>
      <c r="AR22" s="166">
        <v>117253</v>
      </c>
      <c r="AS22" s="167">
        <f>((AR22-AQ22)/AQ22)*100</f>
        <v>31.249440315214471</v>
      </c>
      <c r="AT22" s="166">
        <v>166361</v>
      </c>
      <c r="AU22" s="166">
        <v>117253</v>
      </c>
      <c r="AV22" s="167">
        <f t="shared" ref="AV22:AV32" si="45">((AU22-AT22)/AT22)*100</f>
        <v>-29.518937731800122</v>
      </c>
      <c r="AW22" s="165" t="s">
        <v>0</v>
      </c>
      <c r="AX22" s="165"/>
      <c r="AY22" s="166">
        <v>170847</v>
      </c>
      <c r="AZ22" s="166">
        <v>166361</v>
      </c>
      <c r="BA22" s="167">
        <f>((AZ22-AY22)/AY22)*100</f>
        <v>-2.6257411602193774</v>
      </c>
      <c r="BB22" s="166">
        <v>181237</v>
      </c>
      <c r="BC22" s="166">
        <v>166361</v>
      </c>
      <c r="BD22" s="167">
        <f t="shared" ref="BD22:BD32" si="46">((BC22-BB22)/BB22)*100</f>
        <v>-8.2080369902393002</v>
      </c>
      <c r="BE22" s="165" t="s">
        <v>0</v>
      </c>
      <c r="BF22" s="165"/>
      <c r="BG22" s="166">
        <v>183119</v>
      </c>
      <c r="BH22" s="166">
        <v>181237</v>
      </c>
      <c r="BI22" s="167">
        <f>((BH22-BG22)/BG22)*100</f>
        <v>-1.0277469842015301</v>
      </c>
      <c r="BJ22" s="166">
        <v>177415</v>
      </c>
      <c r="BK22" s="166">
        <v>181237</v>
      </c>
      <c r="BL22" s="167">
        <f t="shared" ref="BL22:BL32" si="47">((BK22-BJ22)/BJ22)*100</f>
        <v>2.1542710593805485</v>
      </c>
      <c r="BM22" s="165" t="s">
        <v>0</v>
      </c>
      <c r="BN22" s="165"/>
      <c r="BO22" s="166">
        <v>159091</v>
      </c>
      <c r="BP22" s="166">
        <v>177415</v>
      </c>
      <c r="BQ22" s="167">
        <f>((BP22-BO22)/BO22)*100</f>
        <v>11.517936275464985</v>
      </c>
      <c r="BR22" s="166">
        <v>156337</v>
      </c>
      <c r="BS22" s="166">
        <v>177415</v>
      </c>
      <c r="BT22" s="167">
        <f t="shared" ref="BT22:BT32" si="48">((BS22-BR22)/BR22)*100</f>
        <v>13.482412992445806</v>
      </c>
      <c r="BU22" s="167"/>
      <c r="BV22" s="165" t="s">
        <v>0</v>
      </c>
      <c r="BW22" s="165"/>
      <c r="BX22" s="166">
        <v>153950</v>
      </c>
      <c r="BY22" s="166">
        <v>156337</v>
      </c>
      <c r="BZ22" s="167">
        <f>((BY22-BX22)/BX22)*100</f>
        <v>1.5505034101981163</v>
      </c>
      <c r="CA22" s="166">
        <v>159149</v>
      </c>
      <c r="CB22" s="166">
        <v>156337</v>
      </c>
      <c r="CC22" s="167">
        <f t="shared" ref="CC22:CC32" si="49">((CB22-CA22)/CA22)*100</f>
        <v>-1.7668976870731201</v>
      </c>
      <c r="CD22" s="167"/>
      <c r="CF22" s="165" t="s">
        <v>0</v>
      </c>
      <c r="CG22" s="165"/>
      <c r="CH22" s="166">
        <v>165863</v>
      </c>
      <c r="CI22" s="166">
        <v>159470</v>
      </c>
      <c r="CJ22" s="167">
        <f>((CI22-CH22)/CH22)*100</f>
        <v>-3.854385848561765</v>
      </c>
      <c r="CK22" s="166">
        <f>SUM(CK23:CK25)</f>
        <v>140797</v>
      </c>
      <c r="CL22" s="166">
        <v>159470</v>
      </c>
      <c r="CM22" s="167">
        <f t="shared" ref="CM22:CM32" si="50">((CL22-CK22)/CK22)*100</f>
        <v>13.262356442253742</v>
      </c>
      <c r="CN22" s="167"/>
      <c r="CO22" s="73"/>
      <c r="CP22" s="165" t="s">
        <v>0</v>
      </c>
      <c r="CQ22" s="165"/>
      <c r="CR22" s="166">
        <f>SUM(CR23:CR25)</f>
        <v>151339</v>
      </c>
      <c r="CS22" s="166">
        <f>SUM(CS23:CS25)</f>
        <v>140797</v>
      </c>
      <c r="CT22" s="167">
        <f>((CS22-CR22)/CR22)*100</f>
        <v>-6.9658184605422262</v>
      </c>
      <c r="CU22" s="166">
        <v>193074</v>
      </c>
      <c r="CV22" s="166">
        <f>SUM(CV23:CV25)</f>
        <v>140797</v>
      </c>
      <c r="CW22" s="167">
        <f t="shared" ref="CW22:CW32" si="51">((CV22-CU22)/CU22)*100</f>
        <v>-27.076146969555715</v>
      </c>
      <c r="CX22" s="73"/>
      <c r="CY22" s="224" t="s">
        <v>0</v>
      </c>
      <c r="CZ22" s="224"/>
      <c r="DA22" s="238">
        <f>SUM(DA23:DA25)</f>
        <v>201481</v>
      </c>
      <c r="DB22" s="238">
        <f>SUM(DB23:DB25)</f>
        <v>193074</v>
      </c>
      <c r="DC22" s="225">
        <f>((DB22-DA22)/DA22)*100</f>
        <v>-4.1726018830559708</v>
      </c>
      <c r="DD22" s="238">
        <f>SUM(DD23:DD25)</f>
        <v>214386</v>
      </c>
      <c r="DE22" s="238">
        <v>193074</v>
      </c>
      <c r="DF22" s="225">
        <f>((DE22-DD22)/DD22)*100</f>
        <v>-9.9409476365061149</v>
      </c>
      <c r="DG22" s="73"/>
      <c r="DH22" s="150" t="s">
        <v>0</v>
      </c>
      <c r="DI22" s="150"/>
      <c r="DJ22" s="147">
        <f>SUM(DJ23:DJ25)</f>
        <v>209917</v>
      </c>
      <c r="DK22" s="147">
        <f>SUM(DK23:DK25)</f>
        <v>210334</v>
      </c>
      <c r="DL22" s="151">
        <f>((DK22-DJ22)/DJ22)*100</f>
        <v>0.19864994259635951</v>
      </c>
      <c r="DM22" s="147">
        <f>SUM(DM23:DM25)</f>
        <v>153180</v>
      </c>
      <c r="DN22" s="147">
        <f>SUM(DN23:DN25)</f>
        <v>210334</v>
      </c>
      <c r="DO22" s="151">
        <f>((DN22-DM22)/DM22)*100</f>
        <v>37.311659485572527</v>
      </c>
      <c r="DP22" s="73"/>
      <c r="DQ22" s="150" t="s">
        <v>0</v>
      </c>
      <c r="DR22" s="150"/>
      <c r="DS22" s="147">
        <f>SUM(DS23:DS25)</f>
        <v>147236</v>
      </c>
      <c r="DT22" s="147">
        <f>SUM(DT23:DT25)</f>
        <v>157680</v>
      </c>
      <c r="DU22" s="151">
        <f>((DT22-DS22)/DS22)*100</f>
        <v>7.0933739031215195</v>
      </c>
      <c r="DV22" s="147">
        <v>141043</v>
      </c>
      <c r="DW22" s="147">
        <f>SUM(DW23:DW25)</f>
        <v>157680</v>
      </c>
      <c r="DX22" s="151">
        <f>((DW22-DV22)/DV22)*100</f>
        <v>11.795693511907716</v>
      </c>
      <c r="DY22" s="73"/>
      <c r="DZ22" s="86" t="s">
        <v>0</v>
      </c>
      <c r="EA22" s="86"/>
      <c r="EB22" s="87">
        <f>SUM(EB23:EB25)</f>
        <v>145771</v>
      </c>
      <c r="EC22" s="87">
        <f>SUM(EC23:EC25)</f>
        <v>141043</v>
      </c>
      <c r="ED22" s="126">
        <f>((EC22-EB22)/EB22)*100</f>
        <v>-3.2434434832717067</v>
      </c>
      <c r="EE22" s="87">
        <f>SUM(EE23:EE25)</f>
        <v>84170</v>
      </c>
      <c r="EF22" s="87">
        <v>141043</v>
      </c>
      <c r="EG22" s="126">
        <f>((EF22-EE22)/EE22)*100</f>
        <v>67.569205179992878</v>
      </c>
      <c r="EH22" s="127"/>
      <c r="EI22" s="63" t="s">
        <v>0</v>
      </c>
      <c r="EJ22" s="63"/>
      <c r="EK22" s="68">
        <f>SUM(EK23:EK25)</f>
        <v>74983</v>
      </c>
      <c r="EL22" s="68">
        <f>SUM(EL23:EL25)</f>
        <v>84170</v>
      </c>
      <c r="EM22" s="65">
        <f t="shared" ref="EM22:EM32" si="52">(EL22-EK22)/EK22*100</f>
        <v>12.252110478375098</v>
      </c>
      <c r="EN22" s="68">
        <f>SUM(EN23:EN25)</f>
        <v>103737</v>
      </c>
      <c r="EO22" s="68">
        <v>84170</v>
      </c>
      <c r="EP22" s="65">
        <f t="shared" ref="EP22:EP32" si="53">(EO22-EN22)/EN22*100</f>
        <v>-18.862122482817124</v>
      </c>
      <c r="EQ22" s="73"/>
      <c r="ER22" s="86" t="s">
        <v>0</v>
      </c>
      <c r="ES22" s="86"/>
      <c r="ET22" s="87">
        <f>SUM(ET23:ET25)</f>
        <v>121672</v>
      </c>
      <c r="EU22" s="87">
        <f>SUM(EU23:EU25)</f>
        <v>103737</v>
      </c>
      <c r="EV22" s="88">
        <f>((EU22-ET22)/ET22)*100</f>
        <v>-14.740449733710303</v>
      </c>
      <c r="EW22" s="87">
        <v>109486</v>
      </c>
      <c r="EX22" s="87">
        <v>103737</v>
      </c>
      <c r="EY22" s="88">
        <f>((EX22-EW22)/EW22)*100</f>
        <v>-5.2508996584038137</v>
      </c>
      <c r="EZ22" s="73"/>
      <c r="FA22" s="63" t="s">
        <v>0</v>
      </c>
      <c r="FB22" s="63"/>
      <c r="FC22" s="68">
        <v>107213</v>
      </c>
      <c r="FD22" s="68">
        <v>109486</v>
      </c>
      <c r="FE22" s="65">
        <f t="shared" ref="FE22:FE32" si="54">(FD22-FC22)/FC22*100</f>
        <v>2.1200787217967969</v>
      </c>
      <c r="FF22" s="68">
        <v>105365</v>
      </c>
      <c r="FG22" s="68">
        <v>109486</v>
      </c>
      <c r="FH22" s="65">
        <f t="shared" ref="FH22:FH32" si="55">(FG22-FF22)/FF22*100</f>
        <v>3.9111659469463294</v>
      </c>
      <c r="FI22" s="73"/>
    </row>
    <row r="23" spans="1:165" x14ac:dyDescent="0.5">
      <c r="A23" s="168"/>
      <c r="B23" s="168" t="s">
        <v>51</v>
      </c>
      <c r="C23" s="169">
        <v>37590</v>
      </c>
      <c r="D23" s="166">
        <v>42202</v>
      </c>
      <c r="E23" s="167">
        <f>((D23-C23)/C23)*100</f>
        <v>12.269220537376963</v>
      </c>
      <c r="F23" s="169">
        <v>46066</v>
      </c>
      <c r="G23" s="169">
        <v>42202</v>
      </c>
      <c r="H23" s="167">
        <f t="shared" si="40"/>
        <v>-8.3879650935614123</v>
      </c>
      <c r="I23" s="168"/>
      <c r="J23" s="168" t="s">
        <v>51</v>
      </c>
      <c r="K23" s="169">
        <v>45479</v>
      </c>
      <c r="L23" s="169">
        <v>46066</v>
      </c>
      <c r="M23" s="167">
        <f>((L23-K23)/K23)*100</f>
        <v>1.2907056003869919</v>
      </c>
      <c r="N23" s="169">
        <v>50558</v>
      </c>
      <c r="O23" s="169">
        <v>46066</v>
      </c>
      <c r="P23" s="167">
        <f t="shared" si="41"/>
        <v>-8.8848451283674184</v>
      </c>
      <c r="Q23" s="168"/>
      <c r="R23" s="168" t="s">
        <v>51</v>
      </c>
      <c r="S23" s="169">
        <v>49894</v>
      </c>
      <c r="T23" s="169">
        <v>50558</v>
      </c>
      <c r="U23" s="167">
        <f>((T23-S23)/S23)*100</f>
        <v>1.330821341243436</v>
      </c>
      <c r="V23" s="169">
        <v>52771</v>
      </c>
      <c r="W23" s="169">
        <v>50558</v>
      </c>
      <c r="X23" s="167">
        <f t="shared" si="42"/>
        <v>-4.193591176972201</v>
      </c>
      <c r="Y23" s="168"/>
      <c r="Z23" s="168" t="s">
        <v>51</v>
      </c>
      <c r="AA23" s="169">
        <v>44700</v>
      </c>
      <c r="AB23" s="169">
        <v>52771</v>
      </c>
      <c r="AC23" s="167">
        <f>((AB23-AA23)/AA23)*100</f>
        <v>18.055928411633111</v>
      </c>
      <c r="AD23" s="169">
        <v>40796</v>
      </c>
      <c r="AE23" s="169">
        <v>52771</v>
      </c>
      <c r="AF23" s="167">
        <f t="shared" si="43"/>
        <v>29.35336797725267</v>
      </c>
      <c r="AG23" s="168"/>
      <c r="AH23" s="168" t="s">
        <v>51</v>
      </c>
      <c r="AI23" s="169">
        <v>45203</v>
      </c>
      <c r="AJ23" s="169">
        <v>40796</v>
      </c>
      <c r="AK23" s="167">
        <f>((AJ23-AI23)/AI23)*100</f>
        <v>-9.7493529190540453</v>
      </c>
      <c r="AL23" s="169">
        <v>44813</v>
      </c>
      <c r="AM23" s="169">
        <v>40796</v>
      </c>
      <c r="AN23" s="167">
        <f t="shared" si="44"/>
        <v>-8.9639167205944705</v>
      </c>
      <c r="AO23" s="168"/>
      <c r="AP23" s="168" t="s">
        <v>51</v>
      </c>
      <c r="AQ23" s="169">
        <v>34482</v>
      </c>
      <c r="AR23" s="169">
        <v>44813</v>
      </c>
      <c r="AS23" s="167">
        <f>((AR23-AQ23)/AQ23)*100</f>
        <v>29.960559132300912</v>
      </c>
      <c r="AT23" s="169">
        <v>65935</v>
      </c>
      <c r="AU23" s="169">
        <v>44813</v>
      </c>
      <c r="AV23" s="167">
        <f t="shared" si="45"/>
        <v>-32.034579510123606</v>
      </c>
      <c r="AW23" s="168"/>
      <c r="AX23" s="168" t="s">
        <v>51</v>
      </c>
      <c r="AY23" s="169">
        <v>64826</v>
      </c>
      <c r="AZ23" s="169">
        <v>65935</v>
      </c>
      <c r="BA23" s="167">
        <f>((AZ23-AY23)/AY23)*100</f>
        <v>1.7107333477308486</v>
      </c>
      <c r="BB23" s="169">
        <v>75779</v>
      </c>
      <c r="BC23" s="169">
        <v>65935</v>
      </c>
      <c r="BD23" s="167">
        <f t="shared" si="46"/>
        <v>-12.990406313094658</v>
      </c>
      <c r="BE23" s="168"/>
      <c r="BF23" s="168" t="s">
        <v>51</v>
      </c>
      <c r="BG23" s="169">
        <v>73919</v>
      </c>
      <c r="BH23" s="169">
        <v>75779</v>
      </c>
      <c r="BI23" s="167">
        <f>((BH23-BG23)/BG23)*100</f>
        <v>2.5162678066532282</v>
      </c>
      <c r="BJ23" s="169">
        <v>71690</v>
      </c>
      <c r="BK23" s="169">
        <v>75779</v>
      </c>
      <c r="BL23" s="167">
        <f t="shared" si="47"/>
        <v>5.7037243688101551</v>
      </c>
      <c r="BM23" s="168"/>
      <c r="BN23" s="168" t="s">
        <v>51</v>
      </c>
      <c r="BO23" s="169">
        <v>64796</v>
      </c>
      <c r="BP23" s="169">
        <v>71690</v>
      </c>
      <c r="BQ23" s="167">
        <f>((BP23-BO23)/BO23)*100</f>
        <v>10.639545650966109</v>
      </c>
      <c r="BR23" s="169">
        <v>71241</v>
      </c>
      <c r="BS23" s="169">
        <v>71690</v>
      </c>
      <c r="BT23" s="167">
        <f t="shared" si="48"/>
        <v>0.63025504976067148</v>
      </c>
      <c r="BU23" s="167"/>
      <c r="BV23" s="168"/>
      <c r="BW23" s="168" t="s">
        <v>51</v>
      </c>
      <c r="BX23" s="169">
        <v>69297</v>
      </c>
      <c r="BY23" s="169">
        <v>71241</v>
      </c>
      <c r="BZ23" s="167">
        <f>((BY23-BX23)/BX23)*100</f>
        <v>2.8053162474565996</v>
      </c>
      <c r="CA23" s="169">
        <v>63415</v>
      </c>
      <c r="CB23" s="169">
        <v>71241</v>
      </c>
      <c r="CC23" s="167">
        <f t="shared" si="49"/>
        <v>12.340928802333833</v>
      </c>
      <c r="CD23" s="167"/>
      <c r="CF23" s="168"/>
      <c r="CG23" s="168" t="s">
        <v>51</v>
      </c>
      <c r="CH23" s="169">
        <v>64174</v>
      </c>
      <c r="CI23" s="169">
        <v>63415</v>
      </c>
      <c r="CJ23" s="167">
        <f>((CI23-CH23)/CH23)*100</f>
        <v>-1.1827219746314706</v>
      </c>
      <c r="CK23" s="169">
        <v>54177</v>
      </c>
      <c r="CL23" s="169">
        <v>63415</v>
      </c>
      <c r="CM23" s="167">
        <f t="shared" si="50"/>
        <v>17.051516326116246</v>
      </c>
      <c r="CN23" s="167"/>
      <c r="CO23" s="73"/>
      <c r="CP23" s="168"/>
      <c r="CQ23" s="168" t="s">
        <v>51</v>
      </c>
      <c r="CR23" s="169">
        <v>58666</v>
      </c>
      <c r="CS23" s="169">
        <v>54177</v>
      </c>
      <c r="CT23" s="167">
        <f>((CS23-CR23)/CR23)*100</f>
        <v>-7.651791497630656</v>
      </c>
      <c r="CU23" s="169">
        <v>82188</v>
      </c>
      <c r="CV23" s="169">
        <v>54177</v>
      </c>
      <c r="CW23" s="167">
        <f t="shared" si="51"/>
        <v>-34.081617754416705</v>
      </c>
      <c r="CX23" s="73"/>
      <c r="CY23" s="226"/>
      <c r="CZ23" s="226" t="s">
        <v>51</v>
      </c>
      <c r="DA23" s="227">
        <v>87861</v>
      </c>
      <c r="DB23" s="227">
        <v>82188</v>
      </c>
      <c r="DC23" s="225">
        <f t="shared" ref="DC23:DC32" si="56">((DB23-DA23)/DA23)*100</f>
        <v>-6.4567897019155263</v>
      </c>
      <c r="DD23" s="227">
        <v>87012</v>
      </c>
      <c r="DE23" s="227">
        <v>82188</v>
      </c>
      <c r="DF23" s="225">
        <f t="shared" ref="DF23:DF32" si="57">((DE23-DD23)/DD23)*100</f>
        <v>-5.5440628878775344</v>
      </c>
      <c r="DG23" s="73"/>
      <c r="DH23" s="152"/>
      <c r="DI23" s="152" t="s">
        <v>51</v>
      </c>
      <c r="DJ23" s="148">
        <v>88837</v>
      </c>
      <c r="DK23" s="148">
        <v>82960</v>
      </c>
      <c r="DL23" s="151">
        <f t="shared" ref="DL23:DL32" si="58">((DK23-DJ23)/DJ23)*100</f>
        <v>-6.6154867904139047</v>
      </c>
      <c r="DM23" s="148">
        <v>57335</v>
      </c>
      <c r="DN23" s="148">
        <v>82960</v>
      </c>
      <c r="DO23" s="151">
        <f t="shared" ref="DO23:DO32" si="59">((DN23-DM23)/DM23)*100</f>
        <v>44.693468213133343</v>
      </c>
      <c r="DP23" s="73"/>
      <c r="DQ23" s="152"/>
      <c r="DR23" s="152" t="s">
        <v>51</v>
      </c>
      <c r="DS23" s="148">
        <v>50205</v>
      </c>
      <c r="DT23" s="148">
        <v>57335</v>
      </c>
      <c r="DU23" s="151">
        <f t="shared" ref="DU23:DU32" si="60">((DT23-DS23)/DS23)*100</f>
        <v>14.201772731799622</v>
      </c>
      <c r="DV23" s="148">
        <v>49603</v>
      </c>
      <c r="DW23" s="148">
        <v>57335</v>
      </c>
      <c r="DX23" s="151">
        <f t="shared" ref="DX23:DX32" si="61">((DW23-DV23)/DV23)*100</f>
        <v>15.587766868939379</v>
      </c>
      <c r="DY23" s="73"/>
      <c r="DZ23" s="89"/>
      <c r="EA23" s="89" t="s">
        <v>51</v>
      </c>
      <c r="EB23" s="90">
        <f>7963+25963+7940+4415+3447+122+292</f>
        <v>50142</v>
      </c>
      <c r="EC23" s="90">
        <v>49603</v>
      </c>
      <c r="ED23" s="129">
        <f t="shared" ref="ED23:ED32" si="62">((EC23-EB23)/EB23)*100</f>
        <v>-1.0749471500937338</v>
      </c>
      <c r="EE23" s="90">
        <v>26688</v>
      </c>
      <c r="EF23" s="90">
        <v>49603</v>
      </c>
      <c r="EG23" s="129">
        <f t="shared" ref="EG23:EG32" si="63">((EF23-EE23)/EE23)*100</f>
        <v>85.862559952038367</v>
      </c>
      <c r="EH23" s="130"/>
      <c r="EI23" s="42"/>
      <c r="EJ23" s="42" t="s">
        <v>51</v>
      </c>
      <c r="EK23" s="43">
        <v>26358</v>
      </c>
      <c r="EL23" s="43">
        <v>26688</v>
      </c>
      <c r="EM23" s="44">
        <f>((EL23-EK23)/EK23)*100</f>
        <v>1.2519918051445482</v>
      </c>
      <c r="EN23" s="43">
        <v>33453</v>
      </c>
      <c r="EO23" s="43">
        <v>26688</v>
      </c>
      <c r="EP23" s="44">
        <f t="shared" si="53"/>
        <v>-20.22240157833378</v>
      </c>
      <c r="EQ23" s="61"/>
      <c r="ER23" s="89"/>
      <c r="ES23" s="89" t="s">
        <v>51</v>
      </c>
      <c r="ET23" s="90">
        <v>36155</v>
      </c>
      <c r="EU23" s="90">
        <v>33453</v>
      </c>
      <c r="EV23" s="91">
        <f t="shared" ref="EV23:EV32" si="64">((EU23-ET23)/ET23)*100</f>
        <v>-7.4733785091965155</v>
      </c>
      <c r="EW23" s="92">
        <v>29773</v>
      </c>
      <c r="EX23" s="90">
        <v>33453</v>
      </c>
      <c r="EY23" s="91">
        <f t="shared" ref="EY23:EY31" si="65">((EX23-EW23)/EW23)*100</f>
        <v>12.360192120377524</v>
      </c>
      <c r="EZ23" s="61"/>
      <c r="FA23" s="42"/>
      <c r="FB23" s="42" t="s">
        <v>51</v>
      </c>
      <c r="FC23" s="43">
        <v>28932</v>
      </c>
      <c r="FD23" s="43">
        <v>29773</v>
      </c>
      <c r="FE23" s="44">
        <f t="shared" si="54"/>
        <v>2.9068159823033319</v>
      </c>
      <c r="FF23" s="45">
        <v>26466</v>
      </c>
      <c r="FG23" s="43">
        <v>29773</v>
      </c>
      <c r="FH23" s="44">
        <f t="shared" si="55"/>
        <v>12.495276959117358</v>
      </c>
      <c r="FI23" s="61"/>
    </row>
    <row r="24" spans="1:165" x14ac:dyDescent="0.5">
      <c r="A24" s="168"/>
      <c r="B24" s="168" t="s">
        <v>52</v>
      </c>
      <c r="C24" s="169">
        <v>71471</v>
      </c>
      <c r="D24" s="166">
        <v>68410</v>
      </c>
      <c r="E24" s="167">
        <f>((D24-C24)/C24)*100</f>
        <v>-4.2828559835457742</v>
      </c>
      <c r="F24" s="169">
        <v>71973</v>
      </c>
      <c r="G24" s="169">
        <v>68410</v>
      </c>
      <c r="H24" s="167">
        <f t="shared" si="40"/>
        <v>-4.9504675364372748</v>
      </c>
      <c r="I24" s="168"/>
      <c r="J24" s="168" t="s">
        <v>52</v>
      </c>
      <c r="K24" s="169">
        <v>77838</v>
      </c>
      <c r="L24" s="169">
        <v>71973</v>
      </c>
      <c r="M24" s="167">
        <f>((L24-K24)/K24)*100</f>
        <v>-7.5348801356663841</v>
      </c>
      <c r="N24" s="169">
        <v>95538</v>
      </c>
      <c r="O24" s="169">
        <v>71973</v>
      </c>
      <c r="P24" s="167">
        <f t="shared" si="41"/>
        <v>-24.665578094580169</v>
      </c>
      <c r="Q24" s="168"/>
      <c r="R24" s="168" t="s">
        <v>52</v>
      </c>
      <c r="S24" s="169">
        <v>96257</v>
      </c>
      <c r="T24" s="169">
        <v>95538</v>
      </c>
      <c r="U24" s="167">
        <f>((T24-S24)/S24)*100</f>
        <v>-0.74695866274660538</v>
      </c>
      <c r="V24" s="169">
        <v>114128</v>
      </c>
      <c r="W24" s="169">
        <v>95538</v>
      </c>
      <c r="X24" s="167">
        <f t="shared" si="42"/>
        <v>-16.288728445254453</v>
      </c>
      <c r="Y24" s="168"/>
      <c r="Z24" s="168" t="s">
        <v>52</v>
      </c>
      <c r="AA24" s="169">
        <v>94310</v>
      </c>
      <c r="AB24" s="169">
        <v>114128</v>
      </c>
      <c r="AC24" s="167">
        <f>((AB24-AA24)/AA24)*100</f>
        <v>21.013678294984626</v>
      </c>
      <c r="AD24" s="169">
        <v>59865</v>
      </c>
      <c r="AE24" s="169">
        <v>114128</v>
      </c>
      <c r="AF24" s="167">
        <f t="shared" si="43"/>
        <v>90.642278459868038</v>
      </c>
      <c r="AG24" s="168"/>
      <c r="AH24" s="168" t="s">
        <v>52</v>
      </c>
      <c r="AI24" s="169">
        <v>74890</v>
      </c>
      <c r="AJ24" s="169">
        <v>59865</v>
      </c>
      <c r="AK24" s="167">
        <f>((AJ24-AI24)/AI24)*100</f>
        <v>-20.062758712778741</v>
      </c>
      <c r="AL24" s="169">
        <v>70179</v>
      </c>
      <c r="AM24" s="169">
        <v>59865</v>
      </c>
      <c r="AN24" s="167">
        <f t="shared" si="44"/>
        <v>-14.69670414226478</v>
      </c>
      <c r="AO24" s="168"/>
      <c r="AP24" s="168" t="s">
        <v>52</v>
      </c>
      <c r="AQ24" s="169">
        <v>53541</v>
      </c>
      <c r="AR24" s="169">
        <v>70179</v>
      </c>
      <c r="AS24" s="167">
        <f>((AR24-AQ24)/AQ24)*100</f>
        <v>31.075250742421694</v>
      </c>
      <c r="AT24" s="169">
        <v>96499</v>
      </c>
      <c r="AU24" s="169">
        <v>70179</v>
      </c>
      <c r="AV24" s="167">
        <f t="shared" si="45"/>
        <v>-27.274894040352748</v>
      </c>
      <c r="AW24" s="168"/>
      <c r="AX24" s="168" t="s">
        <v>52</v>
      </c>
      <c r="AY24" s="169">
        <v>102074</v>
      </c>
      <c r="AZ24" s="169">
        <v>96499</v>
      </c>
      <c r="BA24" s="167">
        <f>((AZ24-AY24)/AY24)*100</f>
        <v>-5.4617238474048238</v>
      </c>
      <c r="BB24" s="169">
        <v>101864</v>
      </c>
      <c r="BC24" s="169">
        <v>96499</v>
      </c>
      <c r="BD24" s="167">
        <f t="shared" si="46"/>
        <v>-5.2668263567109088</v>
      </c>
      <c r="BE24" s="168"/>
      <c r="BF24" s="168" t="s">
        <v>52</v>
      </c>
      <c r="BG24" s="169">
        <v>105778</v>
      </c>
      <c r="BH24" s="169">
        <v>101864</v>
      </c>
      <c r="BI24" s="167">
        <f>((BH24-BG24)/BG24)*100</f>
        <v>-3.7002023104993476</v>
      </c>
      <c r="BJ24" s="169">
        <v>101710</v>
      </c>
      <c r="BK24" s="169">
        <v>101864</v>
      </c>
      <c r="BL24" s="167">
        <f t="shared" si="47"/>
        <v>0.15141087405368203</v>
      </c>
      <c r="BM24" s="168"/>
      <c r="BN24" s="168" t="s">
        <v>52</v>
      </c>
      <c r="BO24" s="169">
        <v>90914</v>
      </c>
      <c r="BP24" s="169">
        <v>101710</v>
      </c>
      <c r="BQ24" s="167">
        <f>((BP24-BO24)/BO24)*100</f>
        <v>11.87495875222738</v>
      </c>
      <c r="BR24" s="169">
        <v>81758</v>
      </c>
      <c r="BS24" s="169">
        <v>101710</v>
      </c>
      <c r="BT24" s="167">
        <f t="shared" si="48"/>
        <v>24.403728075540005</v>
      </c>
      <c r="BU24" s="167"/>
      <c r="BV24" s="168"/>
      <c r="BW24" s="168" t="s">
        <v>52</v>
      </c>
      <c r="BX24" s="169">
        <v>81167</v>
      </c>
      <c r="BY24" s="169">
        <v>81758</v>
      </c>
      <c r="BZ24" s="167">
        <f>((BY24-BX24)/BX24)*100</f>
        <v>0.72812842657730359</v>
      </c>
      <c r="CA24" s="169">
        <v>92778</v>
      </c>
      <c r="CB24" s="169">
        <v>81758</v>
      </c>
      <c r="CC24" s="167">
        <f t="shared" si="49"/>
        <v>-11.877815861518895</v>
      </c>
      <c r="CD24" s="167"/>
      <c r="CF24" s="168"/>
      <c r="CG24" s="168" t="s">
        <v>52</v>
      </c>
      <c r="CH24" s="169">
        <v>98545</v>
      </c>
      <c r="CI24" s="169">
        <v>92778</v>
      </c>
      <c r="CJ24" s="167">
        <f>((CI24-CH24)/CH24)*100</f>
        <v>-5.8521487645238217</v>
      </c>
      <c r="CK24" s="169">
        <v>85091</v>
      </c>
      <c r="CL24" s="169">
        <v>92778</v>
      </c>
      <c r="CM24" s="167">
        <f t="shared" si="50"/>
        <v>9.0338578698099674</v>
      </c>
      <c r="CN24" s="167"/>
      <c r="CO24" s="73"/>
      <c r="CP24" s="168"/>
      <c r="CQ24" s="168" t="s">
        <v>52</v>
      </c>
      <c r="CR24" s="169">
        <v>90895</v>
      </c>
      <c r="CS24" s="169">
        <v>85091</v>
      </c>
      <c r="CT24" s="167">
        <f>((CS24-CR24)/CR24)*100</f>
        <v>-6.3853897354089888</v>
      </c>
      <c r="CU24" s="169">
        <v>106010</v>
      </c>
      <c r="CV24" s="169">
        <v>85091</v>
      </c>
      <c r="CW24" s="167">
        <f t="shared" si="51"/>
        <v>-19.73304405244788</v>
      </c>
      <c r="CX24" s="73"/>
      <c r="CY24" s="226"/>
      <c r="CZ24" s="226" t="s">
        <v>52</v>
      </c>
      <c r="DA24" s="227">
        <v>107830</v>
      </c>
      <c r="DB24" s="227">
        <v>106010</v>
      </c>
      <c r="DC24" s="225">
        <f t="shared" si="56"/>
        <v>-1.6878419734767689</v>
      </c>
      <c r="DD24" s="227">
        <v>124152</v>
      </c>
      <c r="DE24" s="227">
        <v>106010</v>
      </c>
      <c r="DF24" s="225">
        <f t="shared" si="57"/>
        <v>-14.612732779173914</v>
      </c>
      <c r="DG24" s="73"/>
      <c r="DH24" s="152"/>
      <c r="DI24" s="152" t="s">
        <v>52</v>
      </c>
      <c r="DJ24" s="148">
        <v>118101</v>
      </c>
      <c r="DK24" s="148">
        <v>124152</v>
      </c>
      <c r="DL24" s="151">
        <f t="shared" si="58"/>
        <v>5.1235806640079256</v>
      </c>
      <c r="DM24" s="148">
        <v>93874</v>
      </c>
      <c r="DN24" s="148">
        <v>124152</v>
      </c>
      <c r="DO24" s="151">
        <f t="shared" si="59"/>
        <v>32.253872211688005</v>
      </c>
      <c r="DP24" s="73"/>
      <c r="DQ24" s="152"/>
      <c r="DR24" s="152" t="s">
        <v>52</v>
      </c>
      <c r="DS24" s="148">
        <v>94985</v>
      </c>
      <c r="DT24" s="148">
        <v>98374</v>
      </c>
      <c r="DU24" s="151">
        <f t="shared" si="60"/>
        <v>3.5679317787019</v>
      </c>
      <c r="DV24" s="148">
        <v>89639</v>
      </c>
      <c r="DW24" s="148">
        <v>98374</v>
      </c>
      <c r="DX24" s="151">
        <f t="shared" si="61"/>
        <v>9.7446423989558113</v>
      </c>
      <c r="DY24" s="73"/>
      <c r="DZ24" s="89"/>
      <c r="EA24" s="89" t="s">
        <v>52</v>
      </c>
      <c r="EB24" s="90">
        <f>12193+31052+50384</f>
        <v>93629</v>
      </c>
      <c r="EC24" s="90">
        <v>89639</v>
      </c>
      <c r="ED24" s="129">
        <f t="shared" si="62"/>
        <v>-4.2615001762274503</v>
      </c>
      <c r="EE24" s="90">
        <v>56383</v>
      </c>
      <c r="EF24" s="90">
        <v>89639</v>
      </c>
      <c r="EG24" s="129">
        <f t="shared" si="63"/>
        <v>58.982317365163262</v>
      </c>
      <c r="EH24" s="130"/>
      <c r="EI24" s="42"/>
      <c r="EJ24" s="42" t="s">
        <v>52</v>
      </c>
      <c r="EK24" s="43">
        <v>47395</v>
      </c>
      <c r="EL24" s="43">
        <v>56383</v>
      </c>
      <c r="EM24" s="44">
        <f t="shared" si="52"/>
        <v>18.964025741111932</v>
      </c>
      <c r="EN24" s="43">
        <v>69102</v>
      </c>
      <c r="EO24" s="43">
        <v>56383</v>
      </c>
      <c r="EP24" s="44">
        <f t="shared" si="53"/>
        <v>-18.406124280049781</v>
      </c>
      <c r="EQ24" s="61"/>
      <c r="ER24" s="89"/>
      <c r="ES24" s="89" t="s">
        <v>52</v>
      </c>
      <c r="ET24" s="90">
        <v>83785</v>
      </c>
      <c r="EU24" s="90">
        <v>69102</v>
      </c>
      <c r="EV24" s="91">
        <f t="shared" si="64"/>
        <v>-17.524616578146446</v>
      </c>
      <c r="EW24" s="92">
        <v>77582</v>
      </c>
      <c r="EX24" s="90">
        <v>69102</v>
      </c>
      <c r="EY24" s="91">
        <f t="shared" si="65"/>
        <v>-10.930370446753113</v>
      </c>
      <c r="EZ24" s="61"/>
      <c r="FA24" s="42"/>
      <c r="FB24" s="42" t="s">
        <v>52</v>
      </c>
      <c r="FC24" s="43">
        <v>76521</v>
      </c>
      <c r="FD24" s="43">
        <v>77582</v>
      </c>
      <c r="FE24" s="44">
        <f t="shared" si="54"/>
        <v>1.3865474836972858</v>
      </c>
      <c r="FF24" s="45">
        <v>76869</v>
      </c>
      <c r="FG24" s="43">
        <v>77582</v>
      </c>
      <c r="FH24" s="44">
        <f t="shared" si="55"/>
        <v>0.92755206910458043</v>
      </c>
      <c r="FI24" s="61"/>
    </row>
    <row r="25" spans="1:165" x14ac:dyDescent="0.5">
      <c r="A25" s="168"/>
      <c r="B25" s="168" t="s">
        <v>53</v>
      </c>
      <c r="C25" s="169">
        <v>1555</v>
      </c>
      <c r="D25" s="166">
        <f>D22-D23-D24</f>
        <v>1754</v>
      </c>
      <c r="E25" s="167">
        <f>((D25-C25)/C25)*100</f>
        <v>12.797427652733118</v>
      </c>
      <c r="F25" s="169">
        <v>1641</v>
      </c>
      <c r="G25" s="169">
        <v>1754</v>
      </c>
      <c r="H25" s="167">
        <f t="shared" si="40"/>
        <v>6.8860450944546017</v>
      </c>
      <c r="I25" s="168"/>
      <c r="J25" s="168" t="s">
        <v>53</v>
      </c>
      <c r="K25" s="169">
        <v>1512</v>
      </c>
      <c r="L25" s="169">
        <v>1641</v>
      </c>
      <c r="M25" s="167">
        <f>((L25-K25)/K25)*100</f>
        <v>8.5317460317460316</v>
      </c>
      <c r="N25" s="169">
        <v>4561</v>
      </c>
      <c r="O25" s="169">
        <v>1641</v>
      </c>
      <c r="P25" s="167">
        <f t="shared" si="41"/>
        <v>-64.021048015786008</v>
      </c>
      <c r="Q25" s="168"/>
      <c r="R25" s="168" t="s">
        <v>53</v>
      </c>
      <c r="S25" s="169">
        <v>3558</v>
      </c>
      <c r="T25" s="169">
        <v>4561</v>
      </c>
      <c r="U25" s="167">
        <f>((T25-S25)/S25)*100</f>
        <v>28.18999437886453</v>
      </c>
      <c r="V25" s="169">
        <v>4832</v>
      </c>
      <c r="W25" s="169">
        <v>4561</v>
      </c>
      <c r="X25" s="167">
        <f t="shared" si="42"/>
        <v>-5.608443708609272</v>
      </c>
      <c r="Y25" s="168"/>
      <c r="Z25" s="168" t="s">
        <v>53</v>
      </c>
      <c r="AA25" s="169">
        <v>3948</v>
      </c>
      <c r="AB25" s="169">
        <v>4832</v>
      </c>
      <c r="AC25" s="167">
        <f>((AB25-AA25)/AA25)*100</f>
        <v>22.391084093211752</v>
      </c>
      <c r="AD25" s="169">
        <v>3483</v>
      </c>
      <c r="AE25" s="169">
        <v>4832</v>
      </c>
      <c r="AF25" s="167">
        <f t="shared" si="43"/>
        <v>38.730979041056564</v>
      </c>
      <c r="AG25" s="168"/>
      <c r="AH25" s="168" t="s">
        <v>53</v>
      </c>
      <c r="AI25" s="169">
        <v>3070</v>
      </c>
      <c r="AJ25" s="169">
        <v>3483</v>
      </c>
      <c r="AK25" s="167">
        <f>((AJ25-AI25)/AI25)*100</f>
        <v>13.452768729641692</v>
      </c>
      <c r="AL25" s="169">
        <v>2261</v>
      </c>
      <c r="AM25" s="169">
        <v>3483</v>
      </c>
      <c r="AN25" s="167">
        <f t="shared" si="44"/>
        <v>54.046881910659003</v>
      </c>
      <c r="AO25" s="168"/>
      <c r="AP25" s="168" t="s">
        <v>53</v>
      </c>
      <c r="AQ25" s="169">
        <v>1313</v>
      </c>
      <c r="AR25" s="169">
        <v>2261</v>
      </c>
      <c r="AS25" s="167">
        <f>((AR25-AQ25)/AQ25)*100</f>
        <v>72.201066260472203</v>
      </c>
      <c r="AT25" s="169">
        <v>3927</v>
      </c>
      <c r="AU25" s="169">
        <v>2261</v>
      </c>
      <c r="AV25" s="167">
        <f t="shared" si="45"/>
        <v>-42.424242424242422</v>
      </c>
      <c r="AW25" s="168"/>
      <c r="AX25" s="168" t="s">
        <v>53</v>
      </c>
      <c r="AY25" s="169">
        <v>3947</v>
      </c>
      <c r="AZ25" s="169">
        <v>3927</v>
      </c>
      <c r="BA25" s="167">
        <f>((AZ25-AY25)/AY25)*100</f>
        <v>-0.50671395996959712</v>
      </c>
      <c r="BB25" s="169">
        <v>3594</v>
      </c>
      <c r="BC25" s="169">
        <v>3927</v>
      </c>
      <c r="BD25" s="167">
        <f t="shared" si="46"/>
        <v>9.265442404006679</v>
      </c>
      <c r="BE25" s="168"/>
      <c r="BF25" s="168" t="s">
        <v>53</v>
      </c>
      <c r="BG25" s="169">
        <v>3422</v>
      </c>
      <c r="BH25" s="169">
        <v>3594</v>
      </c>
      <c r="BI25" s="167">
        <f>((BH25-BG25)/BG25)*100</f>
        <v>5.026300409117475</v>
      </c>
      <c r="BJ25" s="169">
        <v>4015</v>
      </c>
      <c r="BK25" s="169">
        <v>3594</v>
      </c>
      <c r="BL25" s="167">
        <f t="shared" si="47"/>
        <v>-10.485678704856786</v>
      </c>
      <c r="BM25" s="168"/>
      <c r="BN25" s="168" t="s">
        <v>53</v>
      </c>
      <c r="BO25" s="169">
        <v>3381</v>
      </c>
      <c r="BP25" s="169">
        <v>4015</v>
      </c>
      <c r="BQ25" s="167">
        <f>((BP25-BO25)/BO25)*100</f>
        <v>18.751848565513164</v>
      </c>
      <c r="BR25" s="169">
        <v>3338</v>
      </c>
      <c r="BS25" s="169">
        <v>4015</v>
      </c>
      <c r="BT25" s="167">
        <f t="shared" si="48"/>
        <v>20.281605751947275</v>
      </c>
      <c r="BU25" s="167"/>
      <c r="BV25" s="168"/>
      <c r="BW25" s="168" t="s">
        <v>53</v>
      </c>
      <c r="BX25" s="169">
        <v>3486</v>
      </c>
      <c r="BY25" s="169">
        <v>3338</v>
      </c>
      <c r="BZ25" s="167">
        <f>((BY25-BX25)/BX25)*100</f>
        <v>-4.2455536431440049</v>
      </c>
      <c r="CA25" s="169">
        <v>2956</v>
      </c>
      <c r="CB25" s="169">
        <v>3338</v>
      </c>
      <c r="CC25" s="167">
        <f t="shared" si="49"/>
        <v>12.922868741542626</v>
      </c>
      <c r="CD25" s="167"/>
      <c r="CF25" s="168"/>
      <c r="CG25" s="168" t="s">
        <v>53</v>
      </c>
      <c r="CH25" s="169">
        <v>3144</v>
      </c>
      <c r="CI25" s="169">
        <v>3277</v>
      </c>
      <c r="CJ25" s="167">
        <f>((CI25-CH25)/CH25)*100</f>
        <v>4.2302798982188294</v>
      </c>
      <c r="CK25" s="169">
        <v>1529</v>
      </c>
      <c r="CL25" s="169">
        <v>3277</v>
      </c>
      <c r="CM25" s="167">
        <f t="shared" si="50"/>
        <v>114.32308698495748</v>
      </c>
      <c r="CN25" s="167"/>
      <c r="CO25" s="73"/>
      <c r="CP25" s="168"/>
      <c r="CQ25" s="168" t="s">
        <v>53</v>
      </c>
      <c r="CR25" s="169">
        <v>1778</v>
      </c>
      <c r="CS25" s="169">
        <v>1529</v>
      </c>
      <c r="CT25" s="167">
        <f>((CS25-CR25)/CR25)*100</f>
        <v>-14.004499437570303</v>
      </c>
      <c r="CU25" s="169">
        <v>4876</v>
      </c>
      <c r="CV25" s="169">
        <v>1529</v>
      </c>
      <c r="CW25" s="167">
        <f t="shared" si="51"/>
        <v>-68.642329778506976</v>
      </c>
      <c r="CX25" s="73"/>
      <c r="CY25" s="226"/>
      <c r="CZ25" s="226" t="s">
        <v>53</v>
      </c>
      <c r="DA25" s="227">
        <v>5790</v>
      </c>
      <c r="DB25" s="227">
        <v>4876</v>
      </c>
      <c r="DC25" s="225">
        <f t="shared" si="56"/>
        <v>-15.785837651122625</v>
      </c>
      <c r="DD25" s="227">
        <v>3222</v>
      </c>
      <c r="DE25" s="227">
        <v>4876</v>
      </c>
      <c r="DF25" s="225">
        <f t="shared" si="57"/>
        <v>51.334574798261947</v>
      </c>
      <c r="DG25" s="73"/>
      <c r="DH25" s="152"/>
      <c r="DI25" s="152" t="s">
        <v>53</v>
      </c>
      <c r="DJ25" s="148">
        <v>2979</v>
      </c>
      <c r="DK25" s="148">
        <v>3222</v>
      </c>
      <c r="DL25" s="151">
        <f t="shared" si="58"/>
        <v>8.1570996978851973</v>
      </c>
      <c r="DM25" s="148">
        <v>1971</v>
      </c>
      <c r="DN25" s="148">
        <v>3222</v>
      </c>
      <c r="DO25" s="151">
        <f t="shared" si="59"/>
        <v>63.470319634703202</v>
      </c>
      <c r="DP25" s="73"/>
      <c r="DQ25" s="152"/>
      <c r="DR25" s="152" t="s">
        <v>53</v>
      </c>
      <c r="DS25" s="148">
        <v>2046</v>
      </c>
      <c r="DT25" s="148">
        <v>1971</v>
      </c>
      <c r="DU25" s="151">
        <f t="shared" si="60"/>
        <v>-3.6656891495601176</v>
      </c>
      <c r="DV25" s="148">
        <v>1807</v>
      </c>
      <c r="DW25" s="148">
        <v>1971</v>
      </c>
      <c r="DX25" s="151">
        <f t="shared" si="61"/>
        <v>9.0758162700608747</v>
      </c>
      <c r="DY25" s="73"/>
      <c r="DZ25" s="89"/>
      <c r="EA25" s="89" t="s">
        <v>53</v>
      </c>
      <c r="EB25" s="90">
        <f>46+674+238+1042</f>
        <v>2000</v>
      </c>
      <c r="EC25" s="90">
        <v>1801</v>
      </c>
      <c r="ED25" s="129">
        <f t="shared" si="62"/>
        <v>-9.9500000000000011</v>
      </c>
      <c r="EE25" s="90">
        <v>1099</v>
      </c>
      <c r="EF25" s="90">
        <v>1801</v>
      </c>
      <c r="EG25" s="129">
        <f t="shared" si="63"/>
        <v>63.876251137397631</v>
      </c>
      <c r="EH25" s="130"/>
      <c r="EI25" s="42"/>
      <c r="EJ25" s="42" t="s">
        <v>53</v>
      </c>
      <c r="EK25" s="43">
        <v>1230</v>
      </c>
      <c r="EL25" s="43">
        <v>1099</v>
      </c>
      <c r="EM25" s="44">
        <f t="shared" si="52"/>
        <v>-10.650406504065041</v>
      </c>
      <c r="EN25" s="43">
        <v>1182</v>
      </c>
      <c r="EO25" s="43">
        <v>1099</v>
      </c>
      <c r="EP25" s="44">
        <f t="shared" si="53"/>
        <v>-7.0219966159052447</v>
      </c>
      <c r="EQ25" s="61"/>
      <c r="ER25" s="89"/>
      <c r="ES25" s="89" t="s">
        <v>53</v>
      </c>
      <c r="ET25" s="90">
        <v>1732</v>
      </c>
      <c r="EU25" s="90">
        <v>1182</v>
      </c>
      <c r="EV25" s="91">
        <f t="shared" si="64"/>
        <v>-31.755196304849886</v>
      </c>
      <c r="EW25" s="92">
        <v>2131</v>
      </c>
      <c r="EX25" s="90">
        <v>1182</v>
      </c>
      <c r="EY25" s="91">
        <f t="shared" si="65"/>
        <v>-44.533083059596436</v>
      </c>
      <c r="EZ25" s="61"/>
      <c r="FA25" s="42"/>
      <c r="FB25" s="42" t="s">
        <v>53</v>
      </c>
      <c r="FC25" s="43">
        <v>1760</v>
      </c>
      <c r="FD25" s="43">
        <v>2131</v>
      </c>
      <c r="FE25" s="44">
        <f t="shared" si="54"/>
        <v>21.079545454545453</v>
      </c>
      <c r="FF25" s="45">
        <v>2030</v>
      </c>
      <c r="FG25" s="43">
        <v>2131</v>
      </c>
      <c r="FH25" s="44">
        <f t="shared" si="55"/>
        <v>4.9753694581280792</v>
      </c>
      <c r="FI25" s="61"/>
    </row>
    <row r="26" spans="1:165" x14ac:dyDescent="0.5">
      <c r="A26" s="165" t="s">
        <v>1</v>
      </c>
      <c r="B26" s="165"/>
      <c r="C26" s="166">
        <v>49102</v>
      </c>
      <c r="D26" s="166">
        <v>47622</v>
      </c>
      <c r="E26" s="167">
        <f t="shared" ref="E26:E32" si="66">((D26-C26)/C26)*100</f>
        <v>-3.0141338438352818</v>
      </c>
      <c r="F26" s="166">
        <v>45190</v>
      </c>
      <c r="G26" s="166">
        <v>47622</v>
      </c>
      <c r="H26" s="167">
        <f t="shared" si="40"/>
        <v>5.3817216198273954</v>
      </c>
      <c r="I26" s="165" t="s">
        <v>1</v>
      </c>
      <c r="J26" s="165"/>
      <c r="K26" s="166">
        <v>46393</v>
      </c>
      <c r="L26" s="166">
        <v>45190</v>
      </c>
      <c r="M26" s="167">
        <f t="shared" ref="M26:M32" si="67">((L26-K26)/K26)*100</f>
        <v>-2.5930636087340764</v>
      </c>
      <c r="N26" s="166">
        <v>60234</v>
      </c>
      <c r="O26" s="166">
        <v>45190</v>
      </c>
      <c r="P26" s="167">
        <f t="shared" si="41"/>
        <v>-24.975927217186307</v>
      </c>
      <c r="Q26" s="165" t="s">
        <v>1</v>
      </c>
      <c r="R26" s="165"/>
      <c r="S26" s="166">
        <v>58419</v>
      </c>
      <c r="T26" s="166">
        <v>60234</v>
      </c>
      <c r="U26" s="167">
        <f t="shared" ref="U26:U32" si="68">((T26-S26)/S26)*100</f>
        <v>3.1068659169105941</v>
      </c>
      <c r="V26" s="166">
        <v>68208</v>
      </c>
      <c r="W26" s="166">
        <v>60234</v>
      </c>
      <c r="X26" s="167">
        <f t="shared" si="42"/>
        <v>-11.690710767065447</v>
      </c>
      <c r="Y26" s="165" t="s">
        <v>1</v>
      </c>
      <c r="Z26" s="165"/>
      <c r="AA26" s="166">
        <v>64033</v>
      </c>
      <c r="AB26" s="166">
        <v>68208</v>
      </c>
      <c r="AC26" s="167">
        <f t="shared" ref="AC26:AC32" si="69">((AB26-AA26)/AA26)*100</f>
        <v>6.520075586025956</v>
      </c>
      <c r="AD26" s="166">
        <v>42176</v>
      </c>
      <c r="AE26" s="166">
        <v>68208</v>
      </c>
      <c r="AF26" s="167">
        <f t="shared" si="43"/>
        <v>61.722306525037936</v>
      </c>
      <c r="AG26" s="165" t="s">
        <v>1</v>
      </c>
      <c r="AH26" s="165"/>
      <c r="AI26" s="166">
        <v>52442</v>
      </c>
      <c r="AJ26" s="166">
        <v>42176</v>
      </c>
      <c r="AK26" s="167">
        <f t="shared" ref="AK26:AK32" si="70">((AJ26-AI26)/AI26)*100</f>
        <v>-19.575912436596621</v>
      </c>
      <c r="AL26" s="166">
        <v>68883</v>
      </c>
      <c r="AM26" s="166">
        <v>42176</v>
      </c>
      <c r="AN26" s="167">
        <f t="shared" si="44"/>
        <v>-38.771540147786823</v>
      </c>
      <c r="AO26" s="165" t="s">
        <v>1</v>
      </c>
      <c r="AP26" s="165"/>
      <c r="AQ26" s="166">
        <v>59335</v>
      </c>
      <c r="AR26" s="166">
        <v>68883</v>
      </c>
      <c r="AS26" s="167">
        <f t="shared" ref="AS26:AS32" si="71">((AR26-AQ26)/AQ26)*100</f>
        <v>16.091682817898374</v>
      </c>
      <c r="AT26" s="166">
        <v>80838</v>
      </c>
      <c r="AU26" s="166">
        <v>68883</v>
      </c>
      <c r="AV26" s="167">
        <f t="shared" si="45"/>
        <v>-14.788836933125509</v>
      </c>
      <c r="AW26" s="165" t="s">
        <v>1</v>
      </c>
      <c r="AX26" s="165"/>
      <c r="AY26" s="166">
        <v>81044</v>
      </c>
      <c r="AZ26" s="166">
        <v>80838</v>
      </c>
      <c r="BA26" s="167">
        <f t="shared" ref="BA26:BA32" si="72">((AZ26-AY26)/AY26)*100</f>
        <v>-0.25418291298553869</v>
      </c>
      <c r="BB26" s="166">
        <v>86814</v>
      </c>
      <c r="BC26" s="166">
        <v>80838</v>
      </c>
      <c r="BD26" s="167">
        <f t="shared" si="46"/>
        <v>-6.8836823553804685</v>
      </c>
      <c r="BE26" s="165" t="s">
        <v>1</v>
      </c>
      <c r="BF26" s="165"/>
      <c r="BG26" s="166">
        <v>81946</v>
      </c>
      <c r="BH26" s="166">
        <v>86814</v>
      </c>
      <c r="BI26" s="167">
        <f t="shared" ref="BI26:BI32" si="73">((BH26-BG26)/BG26)*100</f>
        <v>5.9404974007273088</v>
      </c>
      <c r="BJ26" s="166">
        <v>67965</v>
      </c>
      <c r="BK26" s="166">
        <v>86814</v>
      </c>
      <c r="BL26" s="167">
        <f t="shared" si="47"/>
        <v>27.733392187155154</v>
      </c>
      <c r="BM26" s="165" t="s">
        <v>1</v>
      </c>
      <c r="BN26" s="165"/>
      <c r="BO26" s="166">
        <v>65178</v>
      </c>
      <c r="BP26" s="166">
        <v>67965</v>
      </c>
      <c r="BQ26" s="167">
        <f t="shared" ref="BQ26:BQ32" si="74">((BP26-BO26)/BO26)*100</f>
        <v>4.2759826935469025</v>
      </c>
      <c r="BR26" s="166">
        <v>63619</v>
      </c>
      <c r="BS26" s="166">
        <v>67965</v>
      </c>
      <c r="BT26" s="167">
        <f t="shared" si="48"/>
        <v>6.831292538392618</v>
      </c>
      <c r="BU26" s="167"/>
      <c r="BV26" s="165" t="s">
        <v>1</v>
      </c>
      <c r="BW26" s="165"/>
      <c r="BX26" s="166">
        <v>60635</v>
      </c>
      <c r="BY26" s="166">
        <v>63619</v>
      </c>
      <c r="BZ26" s="167">
        <f t="shared" ref="BZ26:BZ32" si="75">((BY26-BX26)/BX26)*100</f>
        <v>4.9212501030757814</v>
      </c>
      <c r="CA26" s="166">
        <v>61991</v>
      </c>
      <c r="CB26" s="166">
        <v>63619</v>
      </c>
      <c r="CC26" s="167">
        <f t="shared" si="49"/>
        <v>2.6261876724040589</v>
      </c>
      <c r="CD26" s="167"/>
      <c r="CF26" s="165" t="s">
        <v>1</v>
      </c>
      <c r="CG26" s="165"/>
      <c r="CH26" s="166">
        <v>60863</v>
      </c>
      <c r="CI26" s="166">
        <v>61991</v>
      </c>
      <c r="CJ26" s="167">
        <f t="shared" ref="CJ26:CJ32" si="76">((CI26-CH26)/CH26)*100</f>
        <v>1.8533427533969735</v>
      </c>
      <c r="CK26" s="166">
        <f>SUM(CK27:CK30)</f>
        <v>68835</v>
      </c>
      <c r="CL26" s="166">
        <v>61991</v>
      </c>
      <c r="CM26" s="167">
        <f t="shared" si="50"/>
        <v>-9.9426164015399134</v>
      </c>
      <c r="CN26" s="167"/>
      <c r="CO26" s="73"/>
      <c r="CP26" s="165" t="s">
        <v>1</v>
      </c>
      <c r="CQ26" s="165"/>
      <c r="CR26" s="166">
        <f>SUM(CR27:CR30)</f>
        <v>69267</v>
      </c>
      <c r="CS26" s="166">
        <f>SUM(CS27:CS30)</f>
        <v>68835</v>
      </c>
      <c r="CT26" s="167">
        <f t="shared" ref="CT26:CT32" si="77">((CS26-CR26)/CR26)*100</f>
        <v>-0.62367361081034256</v>
      </c>
      <c r="CU26" s="166">
        <v>100289</v>
      </c>
      <c r="CV26" s="166">
        <f>SUM(CV27:CV30)</f>
        <v>68835</v>
      </c>
      <c r="CW26" s="167">
        <f t="shared" si="51"/>
        <v>-31.363359889918137</v>
      </c>
      <c r="CX26" s="73"/>
      <c r="CY26" s="224" t="s">
        <v>1</v>
      </c>
      <c r="CZ26" s="224"/>
      <c r="DA26" s="238">
        <f>SUM(DA27:DA30)</f>
        <v>98258</v>
      </c>
      <c r="DB26" s="238">
        <f>SUM(DB27:DB30)</f>
        <v>100289</v>
      </c>
      <c r="DC26" s="225">
        <f t="shared" si="56"/>
        <v>2.0670072665838912</v>
      </c>
      <c r="DD26" s="238">
        <v>128306</v>
      </c>
      <c r="DE26" s="238">
        <v>100289</v>
      </c>
      <c r="DF26" s="225">
        <f t="shared" si="57"/>
        <v>-21.83607937274952</v>
      </c>
      <c r="DG26" s="73"/>
      <c r="DH26" s="150" t="s">
        <v>1</v>
      </c>
      <c r="DI26" s="150"/>
      <c r="DJ26" s="147">
        <f>SUM(DJ27:DJ30)</f>
        <v>131646</v>
      </c>
      <c r="DK26" s="147">
        <f>SUM(DK27:DK30)</f>
        <v>128306</v>
      </c>
      <c r="DL26" s="151">
        <f t="shared" si="58"/>
        <v>-2.5371070902268205</v>
      </c>
      <c r="DM26" s="147">
        <f>SUM(DM27:DM30)</f>
        <v>79043</v>
      </c>
      <c r="DN26" s="147">
        <f>SUM(DN27:DN30)</f>
        <v>128306</v>
      </c>
      <c r="DO26" s="151">
        <f t="shared" si="59"/>
        <v>62.324304492491436</v>
      </c>
      <c r="DP26" s="73"/>
      <c r="DQ26" s="150" t="s">
        <v>1</v>
      </c>
      <c r="DR26" s="150"/>
      <c r="DS26" s="147">
        <f>SUM(DS27:DS30)</f>
        <v>72902</v>
      </c>
      <c r="DT26" s="147">
        <f>SUM(DT27:DT30)</f>
        <v>79043</v>
      </c>
      <c r="DU26" s="151">
        <f t="shared" si="60"/>
        <v>8.4236372115991323</v>
      </c>
      <c r="DV26" s="147">
        <v>65724</v>
      </c>
      <c r="DW26" s="147">
        <f>SUM(DW27:DW30)</f>
        <v>79043</v>
      </c>
      <c r="DX26" s="151">
        <f t="shared" si="61"/>
        <v>20.265047775546225</v>
      </c>
      <c r="DY26" s="73"/>
      <c r="DZ26" s="86" t="s">
        <v>1</v>
      </c>
      <c r="EA26" s="86"/>
      <c r="EB26" s="87">
        <f>SUM(EB27:EB30)</f>
        <v>65672</v>
      </c>
      <c r="EC26" s="87">
        <f>SUM(EC27:EC30)</f>
        <v>65724</v>
      </c>
      <c r="ED26" s="126">
        <f t="shared" si="62"/>
        <v>7.9181386283347546E-2</v>
      </c>
      <c r="EE26" s="87">
        <f>SUM(EE27:EE30)</f>
        <v>43251</v>
      </c>
      <c r="EF26" s="87">
        <v>65724</v>
      </c>
      <c r="EG26" s="126">
        <f t="shared" si="63"/>
        <v>51.959492266074768</v>
      </c>
      <c r="EH26" s="127" t="s">
        <v>193</v>
      </c>
      <c r="EI26" s="63" t="s">
        <v>1</v>
      </c>
      <c r="EJ26" s="63"/>
      <c r="EK26" s="68">
        <f>SUM(EK27:EK30)</f>
        <v>43156</v>
      </c>
      <c r="EL26" s="68">
        <f>SUM(EL27:EL30)</f>
        <v>43251</v>
      </c>
      <c r="EM26" s="65">
        <f t="shared" si="52"/>
        <v>0.22013161553434052</v>
      </c>
      <c r="EN26" s="68">
        <f>SUM(EN27:EN30)</f>
        <v>47130</v>
      </c>
      <c r="EO26" s="68">
        <v>43251</v>
      </c>
      <c r="EP26" s="65">
        <f t="shared" si="53"/>
        <v>-8.2304264799490774</v>
      </c>
      <c r="EQ26" s="73"/>
      <c r="ER26" s="86" t="s">
        <v>1</v>
      </c>
      <c r="ES26" s="86"/>
      <c r="ET26" s="87">
        <f>SUM(ET27:ET30)</f>
        <v>44772</v>
      </c>
      <c r="EU26" s="87">
        <f>SUM(EU27:EU30)</f>
        <v>47130</v>
      </c>
      <c r="EV26" s="88">
        <f t="shared" si="64"/>
        <v>5.2666845349772178</v>
      </c>
      <c r="EW26" s="87">
        <v>54163</v>
      </c>
      <c r="EX26" s="87">
        <v>47130</v>
      </c>
      <c r="EY26" s="88">
        <f t="shared" si="65"/>
        <v>-12.984878976423019</v>
      </c>
      <c r="EZ26" s="73"/>
      <c r="FA26" s="63" t="s">
        <v>1</v>
      </c>
      <c r="FB26" s="63"/>
      <c r="FC26" s="68">
        <v>51158</v>
      </c>
      <c r="FD26" s="68">
        <v>54163</v>
      </c>
      <c r="FE26" s="65">
        <f t="shared" si="54"/>
        <v>5.8739591070800268</v>
      </c>
      <c r="FF26" s="68">
        <v>53653</v>
      </c>
      <c r="FG26" s="68">
        <v>54163</v>
      </c>
      <c r="FH26" s="65">
        <f t="shared" si="55"/>
        <v>0.95055262520269135</v>
      </c>
      <c r="FI26" s="73"/>
    </row>
    <row r="27" spans="1:165" x14ac:dyDescent="0.5">
      <c r="A27" s="168"/>
      <c r="B27" s="168" t="s">
        <v>51</v>
      </c>
      <c r="C27" s="169">
        <v>18814</v>
      </c>
      <c r="D27" s="166">
        <f>D26-D28-D29-D30</f>
        <v>19559</v>
      </c>
      <c r="E27" s="167">
        <f t="shared" si="66"/>
        <v>3.959817157435952</v>
      </c>
      <c r="F27" s="169">
        <v>18305</v>
      </c>
      <c r="G27" s="169">
        <v>19559</v>
      </c>
      <c r="H27" s="167">
        <f t="shared" si="40"/>
        <v>6.8505872712373668</v>
      </c>
      <c r="I27" s="168"/>
      <c r="J27" s="168" t="s">
        <v>51</v>
      </c>
      <c r="K27" s="169">
        <v>16571</v>
      </c>
      <c r="L27" s="169">
        <v>18305</v>
      </c>
      <c r="M27" s="167">
        <f t="shared" si="67"/>
        <v>10.464063725786012</v>
      </c>
      <c r="N27" s="169">
        <v>23645</v>
      </c>
      <c r="O27" s="169">
        <v>18305</v>
      </c>
      <c r="P27" s="167">
        <f t="shared" si="41"/>
        <v>-22.584055825755975</v>
      </c>
      <c r="Q27" s="168"/>
      <c r="R27" s="168" t="s">
        <v>51</v>
      </c>
      <c r="S27" s="169">
        <v>22511</v>
      </c>
      <c r="T27" s="169">
        <v>23645</v>
      </c>
      <c r="U27" s="167">
        <f t="shared" si="68"/>
        <v>5.0375372040335833</v>
      </c>
      <c r="V27" s="169">
        <v>22530</v>
      </c>
      <c r="W27" s="169">
        <v>23645</v>
      </c>
      <c r="X27" s="167">
        <f t="shared" si="42"/>
        <v>4.9489569462938299</v>
      </c>
      <c r="Y27" s="168"/>
      <c r="Z27" s="168" t="s">
        <v>51</v>
      </c>
      <c r="AA27" s="169">
        <v>19194</v>
      </c>
      <c r="AB27" s="169">
        <v>22530</v>
      </c>
      <c r="AC27" s="167">
        <f t="shared" si="69"/>
        <v>17.38043138480775</v>
      </c>
      <c r="AD27" s="169">
        <v>13845</v>
      </c>
      <c r="AE27" s="169">
        <v>22530</v>
      </c>
      <c r="AF27" s="167">
        <f t="shared" si="43"/>
        <v>62.730227518959914</v>
      </c>
      <c r="AG27" s="168"/>
      <c r="AH27" s="168" t="s">
        <v>51</v>
      </c>
      <c r="AI27" s="169">
        <v>16689</v>
      </c>
      <c r="AJ27" s="169">
        <v>13845</v>
      </c>
      <c r="AK27" s="167">
        <f t="shared" si="70"/>
        <v>-17.041164839115584</v>
      </c>
      <c r="AL27" s="169">
        <v>21300</v>
      </c>
      <c r="AM27" s="169">
        <v>13845</v>
      </c>
      <c r="AN27" s="167">
        <f t="shared" si="44"/>
        <v>-35</v>
      </c>
      <c r="AO27" s="168"/>
      <c r="AP27" s="168" t="s">
        <v>51</v>
      </c>
      <c r="AQ27" s="169">
        <v>18500</v>
      </c>
      <c r="AR27" s="169">
        <v>21300</v>
      </c>
      <c r="AS27" s="167">
        <f t="shared" si="71"/>
        <v>15.135135135135137</v>
      </c>
      <c r="AT27" s="169">
        <v>33036</v>
      </c>
      <c r="AU27" s="169">
        <v>21300</v>
      </c>
      <c r="AV27" s="167">
        <f t="shared" si="45"/>
        <v>-35.524881946966943</v>
      </c>
      <c r="AW27" s="168"/>
      <c r="AX27" s="168" t="s">
        <v>51</v>
      </c>
      <c r="AY27" s="169">
        <v>32794</v>
      </c>
      <c r="AZ27" s="169">
        <v>33036</v>
      </c>
      <c r="BA27" s="167">
        <f t="shared" si="72"/>
        <v>0.7379398670488504</v>
      </c>
      <c r="BB27" s="169">
        <v>34164</v>
      </c>
      <c r="BC27" s="169">
        <v>33036</v>
      </c>
      <c r="BD27" s="167">
        <f t="shared" si="46"/>
        <v>-3.3017211099402881</v>
      </c>
      <c r="BE27" s="168"/>
      <c r="BF27" s="168" t="s">
        <v>51</v>
      </c>
      <c r="BG27" s="169">
        <v>32531</v>
      </c>
      <c r="BH27" s="169">
        <v>34164</v>
      </c>
      <c r="BI27" s="167">
        <f t="shared" si="73"/>
        <v>5.0198272417079099</v>
      </c>
      <c r="BJ27" s="169">
        <v>26871</v>
      </c>
      <c r="BK27" s="169">
        <v>34164</v>
      </c>
      <c r="BL27" s="167">
        <f t="shared" si="47"/>
        <v>27.140783744557329</v>
      </c>
      <c r="BM27" s="168"/>
      <c r="BN27" s="168" t="s">
        <v>51</v>
      </c>
      <c r="BO27" s="169">
        <v>26799</v>
      </c>
      <c r="BP27" s="169">
        <v>26871</v>
      </c>
      <c r="BQ27" s="167">
        <f t="shared" si="74"/>
        <v>0.26866674129631701</v>
      </c>
      <c r="BR27" s="169">
        <v>24768</v>
      </c>
      <c r="BS27" s="169">
        <v>26871</v>
      </c>
      <c r="BT27" s="167">
        <f t="shared" si="48"/>
        <v>8.4907945736434112</v>
      </c>
      <c r="BU27" s="167"/>
      <c r="BV27" s="168"/>
      <c r="BW27" s="168" t="s">
        <v>51</v>
      </c>
      <c r="BX27" s="169">
        <v>24358</v>
      </c>
      <c r="BY27" s="169">
        <v>24768</v>
      </c>
      <c r="BZ27" s="167">
        <f t="shared" si="75"/>
        <v>1.6832252237457921</v>
      </c>
      <c r="CA27" s="169">
        <v>22790</v>
      </c>
      <c r="CB27" s="169">
        <v>24768</v>
      </c>
      <c r="CC27" s="167">
        <f t="shared" si="49"/>
        <v>8.6792452830188669</v>
      </c>
      <c r="CD27" s="167"/>
      <c r="CF27" s="168"/>
      <c r="CG27" s="168" t="s">
        <v>51</v>
      </c>
      <c r="CH27" s="169">
        <v>22229</v>
      </c>
      <c r="CI27" s="169">
        <v>22790</v>
      </c>
      <c r="CJ27" s="167">
        <f t="shared" si="76"/>
        <v>2.5237302622700075</v>
      </c>
      <c r="CK27" s="169">
        <v>29990</v>
      </c>
      <c r="CL27" s="169">
        <v>22790</v>
      </c>
      <c r="CM27" s="167">
        <f t="shared" si="50"/>
        <v>-24.008002667555854</v>
      </c>
      <c r="CN27" s="167"/>
      <c r="CO27" s="73"/>
      <c r="CP27" s="168"/>
      <c r="CQ27" s="168" t="s">
        <v>51</v>
      </c>
      <c r="CR27" s="169">
        <v>29440</v>
      </c>
      <c r="CS27" s="169">
        <v>29990</v>
      </c>
      <c r="CT27" s="167">
        <f t="shared" si="77"/>
        <v>1.8682065217391304</v>
      </c>
      <c r="CU27" s="169">
        <v>51006</v>
      </c>
      <c r="CV27" s="169">
        <v>29990</v>
      </c>
      <c r="CW27" s="167">
        <f t="shared" si="51"/>
        <v>-41.20299572599302</v>
      </c>
      <c r="CX27" s="73"/>
      <c r="CY27" s="226"/>
      <c r="CZ27" s="226" t="s">
        <v>51</v>
      </c>
      <c r="DA27" s="227">
        <v>47491</v>
      </c>
      <c r="DB27" s="227">
        <v>51006</v>
      </c>
      <c r="DC27" s="225">
        <f t="shared" si="56"/>
        <v>7.4014023709755534</v>
      </c>
      <c r="DD27" s="227">
        <v>59885</v>
      </c>
      <c r="DE27" s="227">
        <v>51006</v>
      </c>
      <c r="DF27" s="225">
        <f t="shared" si="57"/>
        <v>-14.826751273273775</v>
      </c>
      <c r="DG27" s="73"/>
      <c r="DH27" s="152"/>
      <c r="DI27" s="152" t="s">
        <v>51</v>
      </c>
      <c r="DJ27" s="148">
        <v>64430</v>
      </c>
      <c r="DK27" s="148">
        <v>59885</v>
      </c>
      <c r="DL27" s="151">
        <f t="shared" si="58"/>
        <v>-7.0541673133633394</v>
      </c>
      <c r="DM27" s="148">
        <v>35545</v>
      </c>
      <c r="DN27" s="148">
        <v>59885</v>
      </c>
      <c r="DO27" s="151">
        <f t="shared" si="59"/>
        <v>68.476578984385995</v>
      </c>
      <c r="DP27" s="73"/>
      <c r="DQ27" s="152"/>
      <c r="DR27" s="152" t="s">
        <v>51</v>
      </c>
      <c r="DS27" s="148">
        <v>32277</v>
      </c>
      <c r="DT27" s="148">
        <v>35545</v>
      </c>
      <c r="DU27" s="151">
        <f t="shared" si="60"/>
        <v>10.124856709111752</v>
      </c>
      <c r="DV27" s="148">
        <v>28118</v>
      </c>
      <c r="DW27" s="148">
        <v>35545</v>
      </c>
      <c r="DX27" s="151">
        <f t="shared" si="61"/>
        <v>26.413685183867987</v>
      </c>
      <c r="DY27" s="73"/>
      <c r="DZ27" s="89"/>
      <c r="EA27" s="89" t="s">
        <v>51</v>
      </c>
      <c r="EB27" s="90">
        <v>28780</v>
      </c>
      <c r="EC27" s="90">
        <v>28118</v>
      </c>
      <c r="ED27" s="129">
        <f t="shared" si="62"/>
        <v>-2.3002084781097984</v>
      </c>
      <c r="EE27" s="90">
        <v>17790</v>
      </c>
      <c r="EF27" s="90">
        <v>28118</v>
      </c>
      <c r="EG27" s="129">
        <f t="shared" si="63"/>
        <v>58.055087127599784</v>
      </c>
      <c r="EH27" s="130"/>
      <c r="EI27" s="42"/>
      <c r="EJ27" s="42" t="s">
        <v>51</v>
      </c>
      <c r="EK27" s="43">
        <v>17533</v>
      </c>
      <c r="EL27" s="43">
        <v>17790</v>
      </c>
      <c r="EM27" s="44">
        <f t="shared" si="52"/>
        <v>1.4658073347402041</v>
      </c>
      <c r="EN27" s="43">
        <v>17991</v>
      </c>
      <c r="EO27" s="43">
        <v>17790</v>
      </c>
      <c r="EP27" s="44">
        <f t="shared" si="53"/>
        <v>-1.11722527930632</v>
      </c>
      <c r="EQ27" s="61"/>
      <c r="ER27" s="89"/>
      <c r="ES27" s="89" t="s">
        <v>51</v>
      </c>
      <c r="ET27" s="90">
        <v>19280</v>
      </c>
      <c r="EU27" s="90">
        <v>17991</v>
      </c>
      <c r="EV27" s="91">
        <f t="shared" si="64"/>
        <v>-6.6856846473029048</v>
      </c>
      <c r="EW27" s="92">
        <v>14954</v>
      </c>
      <c r="EX27" s="90">
        <v>17991</v>
      </c>
      <c r="EY27" s="91">
        <f t="shared" si="65"/>
        <v>20.308947438812357</v>
      </c>
      <c r="EZ27" s="61"/>
      <c r="FA27" s="42"/>
      <c r="FB27" s="42" t="s">
        <v>51</v>
      </c>
      <c r="FC27" s="43">
        <v>15125</v>
      </c>
      <c r="FD27" s="43">
        <v>14954</v>
      </c>
      <c r="FE27" s="44">
        <f t="shared" si="54"/>
        <v>-1.130578512396694</v>
      </c>
      <c r="FF27" s="45">
        <v>14283</v>
      </c>
      <c r="FG27" s="43">
        <v>14954</v>
      </c>
      <c r="FH27" s="44">
        <f t="shared" si="55"/>
        <v>4.6978925995939234</v>
      </c>
      <c r="FI27" s="61"/>
    </row>
    <row r="28" spans="1:165" x14ac:dyDescent="0.5">
      <c r="A28" s="168"/>
      <c r="B28" s="168" t="s">
        <v>52</v>
      </c>
      <c r="C28" s="169">
        <v>11022</v>
      </c>
      <c r="D28" s="166">
        <v>11023</v>
      </c>
      <c r="E28" s="167">
        <f t="shared" si="66"/>
        <v>9.0727635637815277E-3</v>
      </c>
      <c r="F28" s="169">
        <v>12303</v>
      </c>
      <c r="G28" s="169">
        <v>11023</v>
      </c>
      <c r="H28" s="167">
        <f t="shared" si="40"/>
        <v>-10.403966512232788</v>
      </c>
      <c r="I28" s="168"/>
      <c r="J28" s="168" t="s">
        <v>52</v>
      </c>
      <c r="K28" s="169">
        <v>13167</v>
      </c>
      <c r="L28" s="169">
        <v>12303</v>
      </c>
      <c r="M28" s="167">
        <f t="shared" si="67"/>
        <v>-6.5618591934381412</v>
      </c>
      <c r="N28" s="169">
        <v>19561</v>
      </c>
      <c r="O28" s="169">
        <v>12303</v>
      </c>
      <c r="P28" s="167">
        <f t="shared" si="41"/>
        <v>-37.104442513163946</v>
      </c>
      <c r="Q28" s="168"/>
      <c r="R28" s="168" t="s">
        <v>52</v>
      </c>
      <c r="S28" s="169">
        <v>20309</v>
      </c>
      <c r="T28" s="169">
        <v>19561</v>
      </c>
      <c r="U28" s="167">
        <f t="shared" si="68"/>
        <v>-3.68309616426215</v>
      </c>
      <c r="V28" s="169">
        <v>30720</v>
      </c>
      <c r="W28" s="169">
        <v>19561</v>
      </c>
      <c r="X28" s="167">
        <f t="shared" si="42"/>
        <v>-36.324869791666664</v>
      </c>
      <c r="Y28" s="168"/>
      <c r="Z28" s="168" t="s">
        <v>52</v>
      </c>
      <c r="AA28" s="169">
        <v>29814</v>
      </c>
      <c r="AB28" s="169">
        <v>30720</v>
      </c>
      <c r="AC28" s="167">
        <f t="shared" si="69"/>
        <v>3.0388408130408533</v>
      </c>
      <c r="AD28" s="169">
        <v>19388</v>
      </c>
      <c r="AE28" s="169">
        <v>30720</v>
      </c>
      <c r="AF28" s="167">
        <f t="shared" si="43"/>
        <v>58.448524860738601</v>
      </c>
      <c r="AG28" s="168"/>
      <c r="AH28" s="168" t="s">
        <v>52</v>
      </c>
      <c r="AI28" s="169">
        <v>25121</v>
      </c>
      <c r="AJ28" s="169">
        <v>19388</v>
      </c>
      <c r="AK28" s="167">
        <f t="shared" si="70"/>
        <v>-22.821543728354762</v>
      </c>
      <c r="AL28" s="169">
        <v>33283</v>
      </c>
      <c r="AM28" s="169">
        <v>19388</v>
      </c>
      <c r="AN28" s="167">
        <f t="shared" si="44"/>
        <v>-41.748039539704955</v>
      </c>
      <c r="AO28" s="168"/>
      <c r="AP28" s="168" t="s">
        <v>52</v>
      </c>
      <c r="AQ28" s="169">
        <v>29720</v>
      </c>
      <c r="AR28" s="169">
        <v>33283</v>
      </c>
      <c r="AS28" s="167">
        <f t="shared" si="71"/>
        <v>11.988559892328398</v>
      </c>
      <c r="AT28" s="169">
        <v>33266</v>
      </c>
      <c r="AU28" s="169">
        <v>33283</v>
      </c>
      <c r="AV28" s="167">
        <f t="shared" si="45"/>
        <v>5.1103228521613663E-2</v>
      </c>
      <c r="AW28" s="168"/>
      <c r="AX28" s="168" t="s">
        <v>52</v>
      </c>
      <c r="AY28" s="169">
        <v>34363</v>
      </c>
      <c r="AZ28" s="169">
        <v>33266</v>
      </c>
      <c r="BA28" s="167">
        <f t="shared" si="72"/>
        <v>-3.1923871606087943</v>
      </c>
      <c r="BB28" s="169">
        <v>35468</v>
      </c>
      <c r="BC28" s="169">
        <v>33266</v>
      </c>
      <c r="BD28" s="167">
        <f t="shared" si="46"/>
        <v>-6.2084132175482125</v>
      </c>
      <c r="BE28" s="168"/>
      <c r="BF28" s="168" t="s">
        <v>52</v>
      </c>
      <c r="BG28" s="169">
        <v>34088</v>
      </c>
      <c r="BH28" s="169">
        <v>35468</v>
      </c>
      <c r="BI28" s="167">
        <f t="shared" si="73"/>
        <v>4.0483454588124861</v>
      </c>
      <c r="BJ28" s="169">
        <v>29175</v>
      </c>
      <c r="BK28" s="169">
        <v>35468</v>
      </c>
      <c r="BL28" s="167">
        <f t="shared" si="47"/>
        <v>21.569837189374464</v>
      </c>
      <c r="BM28" s="168"/>
      <c r="BN28" s="168" t="s">
        <v>52</v>
      </c>
      <c r="BO28" s="169">
        <v>27265</v>
      </c>
      <c r="BP28" s="169">
        <v>29175</v>
      </c>
      <c r="BQ28" s="167">
        <f t="shared" si="74"/>
        <v>7.005318173482487</v>
      </c>
      <c r="BR28" s="169">
        <v>25502</v>
      </c>
      <c r="BS28" s="169">
        <v>29175</v>
      </c>
      <c r="BT28" s="167">
        <f t="shared" si="48"/>
        <v>14.402791937887224</v>
      </c>
      <c r="BU28" s="167"/>
      <c r="BV28" s="168"/>
      <c r="BW28" s="168" t="s">
        <v>52</v>
      </c>
      <c r="BX28" s="169">
        <v>24951</v>
      </c>
      <c r="BY28" s="169">
        <v>25502</v>
      </c>
      <c r="BZ28" s="167">
        <f t="shared" si="75"/>
        <v>2.2083283235140878</v>
      </c>
      <c r="CA28" s="169">
        <v>26018</v>
      </c>
      <c r="CB28" s="169">
        <v>25502</v>
      </c>
      <c r="CC28" s="167">
        <f t="shared" si="49"/>
        <v>-1.9832423706664617</v>
      </c>
      <c r="CD28" s="167"/>
      <c r="CF28" s="168"/>
      <c r="CG28" s="168" t="s">
        <v>52</v>
      </c>
      <c r="CH28" s="169">
        <v>27828</v>
      </c>
      <c r="CI28" s="169">
        <v>26018</v>
      </c>
      <c r="CJ28" s="167">
        <f t="shared" si="76"/>
        <v>-6.5042403334770738</v>
      </c>
      <c r="CK28" s="169">
        <v>28152</v>
      </c>
      <c r="CL28" s="169">
        <v>26018</v>
      </c>
      <c r="CM28" s="167">
        <f t="shared" si="50"/>
        <v>-7.5802784882068766</v>
      </c>
      <c r="CN28" s="167"/>
      <c r="CO28" s="73"/>
      <c r="CP28" s="168"/>
      <c r="CQ28" s="168" t="s">
        <v>52</v>
      </c>
      <c r="CR28" s="169">
        <v>29467</v>
      </c>
      <c r="CS28" s="169">
        <v>28152</v>
      </c>
      <c r="CT28" s="167">
        <f t="shared" si="77"/>
        <v>-4.4626192011402592</v>
      </c>
      <c r="CU28" s="169">
        <v>36828</v>
      </c>
      <c r="CV28" s="169">
        <v>28152</v>
      </c>
      <c r="CW28" s="167">
        <f t="shared" si="51"/>
        <v>-23.558162267839688</v>
      </c>
      <c r="CX28" s="73"/>
      <c r="CY28" s="226"/>
      <c r="CZ28" s="226" t="s">
        <v>52</v>
      </c>
      <c r="DA28" s="227">
        <v>37133</v>
      </c>
      <c r="DB28" s="227">
        <v>36828</v>
      </c>
      <c r="DC28" s="225">
        <f t="shared" si="56"/>
        <v>-0.82137182559987065</v>
      </c>
      <c r="DD28" s="227">
        <v>53180</v>
      </c>
      <c r="DE28" s="227">
        <v>36828</v>
      </c>
      <c r="DF28" s="225">
        <f t="shared" si="57"/>
        <v>-30.74840165475743</v>
      </c>
      <c r="DG28" s="73"/>
      <c r="DH28" s="152"/>
      <c r="DI28" s="152" t="s">
        <v>52</v>
      </c>
      <c r="DJ28" s="148">
        <v>52245</v>
      </c>
      <c r="DK28" s="148">
        <v>53180</v>
      </c>
      <c r="DL28" s="151">
        <f t="shared" si="58"/>
        <v>1.7896449420997225</v>
      </c>
      <c r="DM28" s="148">
        <v>32950</v>
      </c>
      <c r="DN28" s="148">
        <v>53180</v>
      </c>
      <c r="DO28" s="151">
        <f t="shared" si="59"/>
        <v>61.396054628224583</v>
      </c>
      <c r="DP28" s="73"/>
      <c r="DQ28" s="152"/>
      <c r="DR28" s="152" t="s">
        <v>52</v>
      </c>
      <c r="DS28" s="148">
        <v>31393</v>
      </c>
      <c r="DT28" s="148">
        <v>32950</v>
      </c>
      <c r="DU28" s="151">
        <f t="shared" si="60"/>
        <v>4.9597043926990096</v>
      </c>
      <c r="DV28" s="148">
        <v>29307</v>
      </c>
      <c r="DW28" s="148">
        <v>32950</v>
      </c>
      <c r="DX28" s="151">
        <f t="shared" si="61"/>
        <v>12.430477360357592</v>
      </c>
      <c r="DY28" s="73"/>
      <c r="DZ28" s="89"/>
      <c r="EA28" s="89" t="s">
        <v>52</v>
      </c>
      <c r="EB28" s="90">
        <f>31115-3231</f>
        <v>27884</v>
      </c>
      <c r="EC28" s="90">
        <v>29307</v>
      </c>
      <c r="ED28" s="129">
        <f t="shared" si="62"/>
        <v>5.103285038014632</v>
      </c>
      <c r="EE28" s="90">
        <v>19751</v>
      </c>
      <c r="EF28" s="90">
        <v>29307</v>
      </c>
      <c r="EG28" s="129">
        <f t="shared" si="63"/>
        <v>48.382360386815861</v>
      </c>
      <c r="EH28" s="130"/>
      <c r="EI28" s="42"/>
      <c r="EJ28" s="42" t="s">
        <v>52</v>
      </c>
      <c r="EK28" s="43">
        <v>20220</v>
      </c>
      <c r="EL28" s="43">
        <v>19751</v>
      </c>
      <c r="EM28" s="44">
        <f t="shared" si="52"/>
        <v>-2.3194856577645897</v>
      </c>
      <c r="EN28" s="43">
        <v>23371</v>
      </c>
      <c r="EO28" s="43">
        <v>19751</v>
      </c>
      <c r="EP28" s="44">
        <f t="shared" si="53"/>
        <v>-15.489281588293183</v>
      </c>
      <c r="EQ28" s="61"/>
      <c r="ER28" s="89"/>
      <c r="ES28" s="89" t="s">
        <v>52</v>
      </c>
      <c r="ET28" s="90">
        <v>20459</v>
      </c>
      <c r="EU28" s="90">
        <v>23371</v>
      </c>
      <c r="EV28" s="91">
        <f t="shared" si="64"/>
        <v>14.233344738257001</v>
      </c>
      <c r="EW28" s="92">
        <v>32783</v>
      </c>
      <c r="EX28" s="90">
        <v>23371</v>
      </c>
      <c r="EY28" s="91">
        <f t="shared" si="65"/>
        <v>-28.710002135253028</v>
      </c>
      <c r="EZ28" s="61"/>
      <c r="FA28" s="42"/>
      <c r="FB28" s="42" t="s">
        <v>52</v>
      </c>
      <c r="FC28" s="43">
        <v>30112</v>
      </c>
      <c r="FD28" s="43">
        <v>32783</v>
      </c>
      <c r="FE28" s="44">
        <f t="shared" si="54"/>
        <v>8.8702178533475013</v>
      </c>
      <c r="FF28" s="45">
        <v>34510</v>
      </c>
      <c r="FG28" s="43">
        <v>32783</v>
      </c>
      <c r="FH28" s="44">
        <f t="shared" si="55"/>
        <v>-5.0043465662126918</v>
      </c>
      <c r="FI28" s="61"/>
    </row>
    <row r="29" spans="1:165" x14ac:dyDescent="0.5">
      <c r="A29" s="168"/>
      <c r="B29" s="168" t="s">
        <v>53</v>
      </c>
      <c r="C29" s="169">
        <v>2218</v>
      </c>
      <c r="D29" s="166">
        <v>2150</v>
      </c>
      <c r="E29" s="167">
        <f t="shared" si="66"/>
        <v>-3.0658250676284942</v>
      </c>
      <c r="F29" s="169">
        <v>2466</v>
      </c>
      <c r="G29" s="169">
        <v>2150</v>
      </c>
      <c r="H29" s="167">
        <f t="shared" si="40"/>
        <v>-12.814274128142742</v>
      </c>
      <c r="I29" s="168"/>
      <c r="J29" s="168" t="s">
        <v>53</v>
      </c>
      <c r="K29" s="169">
        <v>2532</v>
      </c>
      <c r="L29" s="169">
        <v>2466</v>
      </c>
      <c r="M29" s="167">
        <f t="shared" si="67"/>
        <v>-2.6066350710900474</v>
      </c>
      <c r="N29" s="169">
        <v>3703</v>
      </c>
      <c r="O29" s="169">
        <v>2466</v>
      </c>
      <c r="P29" s="167">
        <f t="shared" si="41"/>
        <v>-33.405347015933032</v>
      </c>
      <c r="Q29" s="168"/>
      <c r="R29" s="168" t="s">
        <v>53</v>
      </c>
      <c r="S29" s="169">
        <v>3603</v>
      </c>
      <c r="T29" s="169">
        <v>3703</v>
      </c>
      <c r="U29" s="167">
        <f t="shared" si="68"/>
        <v>2.775464890369137</v>
      </c>
      <c r="V29" s="169">
        <v>3388</v>
      </c>
      <c r="W29" s="169">
        <v>3703</v>
      </c>
      <c r="X29" s="167">
        <f t="shared" si="42"/>
        <v>9.2975206611570247</v>
      </c>
      <c r="Y29" s="168"/>
      <c r="Z29" s="168" t="s">
        <v>53</v>
      </c>
      <c r="AA29" s="169">
        <v>3611</v>
      </c>
      <c r="AB29" s="169">
        <v>3388</v>
      </c>
      <c r="AC29" s="167">
        <f t="shared" si="69"/>
        <v>-6.1755746330656329</v>
      </c>
      <c r="AD29" s="169">
        <v>3217</v>
      </c>
      <c r="AE29" s="169">
        <v>3388</v>
      </c>
      <c r="AF29" s="167">
        <f t="shared" si="43"/>
        <v>5.3155113459745102</v>
      </c>
      <c r="AG29" s="168"/>
      <c r="AH29" s="168" t="s">
        <v>53</v>
      </c>
      <c r="AI29" s="169">
        <v>3390</v>
      </c>
      <c r="AJ29" s="169">
        <v>3217</v>
      </c>
      <c r="AK29" s="167">
        <f t="shared" si="70"/>
        <v>-5.1032448377581119</v>
      </c>
      <c r="AL29" s="169">
        <v>3165</v>
      </c>
      <c r="AM29" s="169">
        <v>3217</v>
      </c>
      <c r="AN29" s="167">
        <f t="shared" si="44"/>
        <v>1.6429699842022119</v>
      </c>
      <c r="AO29" s="168"/>
      <c r="AP29" s="168" t="s">
        <v>53</v>
      </c>
      <c r="AQ29" s="169">
        <v>3079</v>
      </c>
      <c r="AR29" s="169">
        <f>47583-AR28-AR30</f>
        <v>3165</v>
      </c>
      <c r="AS29" s="167">
        <f t="shared" si="71"/>
        <v>2.7931146476128612</v>
      </c>
      <c r="AT29" s="169">
        <v>3929</v>
      </c>
      <c r="AU29" s="169">
        <f>47583-AU28-AU30</f>
        <v>3165</v>
      </c>
      <c r="AV29" s="167">
        <f t="shared" si="45"/>
        <v>-19.445151438024944</v>
      </c>
      <c r="AW29" s="168"/>
      <c r="AX29" s="168" t="s">
        <v>53</v>
      </c>
      <c r="AY29" s="169">
        <v>3877</v>
      </c>
      <c r="AZ29" s="169">
        <v>3929</v>
      </c>
      <c r="BA29" s="167">
        <f t="shared" si="72"/>
        <v>1.3412432293010059</v>
      </c>
      <c r="BB29" s="169">
        <v>4005</v>
      </c>
      <c r="BC29" s="169">
        <v>3929</v>
      </c>
      <c r="BD29" s="167">
        <f t="shared" si="46"/>
        <v>-1.8976279650436954</v>
      </c>
      <c r="BE29" s="168"/>
      <c r="BF29" s="168" t="s">
        <v>53</v>
      </c>
      <c r="BG29" s="169">
        <v>3626</v>
      </c>
      <c r="BH29" s="169">
        <v>4005</v>
      </c>
      <c r="BI29" s="167">
        <f t="shared" si="73"/>
        <v>10.452289023717595</v>
      </c>
      <c r="BJ29" s="169">
        <v>3424</v>
      </c>
      <c r="BK29" s="169">
        <v>4005</v>
      </c>
      <c r="BL29" s="167">
        <f t="shared" si="47"/>
        <v>16.968457943925234</v>
      </c>
      <c r="BM29" s="168"/>
      <c r="BN29" s="168" t="s">
        <v>53</v>
      </c>
      <c r="BO29" s="169">
        <v>3272</v>
      </c>
      <c r="BP29" s="169">
        <v>3424</v>
      </c>
      <c r="BQ29" s="167">
        <f t="shared" si="74"/>
        <v>4.6454767726161368</v>
      </c>
      <c r="BR29" s="169">
        <v>4476</v>
      </c>
      <c r="BS29" s="169">
        <v>3424</v>
      </c>
      <c r="BT29" s="167">
        <f t="shared" si="48"/>
        <v>-23.503127792672029</v>
      </c>
      <c r="BU29" s="167"/>
      <c r="BV29" s="168"/>
      <c r="BW29" s="168" t="s">
        <v>53</v>
      </c>
      <c r="BX29" s="169">
        <v>3315</v>
      </c>
      <c r="BY29" s="169">
        <v>4476</v>
      </c>
      <c r="BZ29" s="167">
        <f t="shared" si="75"/>
        <v>35.022624434389137</v>
      </c>
      <c r="CA29" s="169">
        <v>3695</v>
      </c>
      <c r="CB29" s="169">
        <v>4476</v>
      </c>
      <c r="CC29" s="167">
        <f t="shared" si="49"/>
        <v>21.136671177266578</v>
      </c>
      <c r="CD29" s="167"/>
      <c r="CF29" s="168"/>
      <c r="CG29" s="168" t="s">
        <v>53</v>
      </c>
      <c r="CH29" s="169">
        <v>3140</v>
      </c>
      <c r="CI29" s="169">
        <v>3695</v>
      </c>
      <c r="CJ29" s="167">
        <f t="shared" si="76"/>
        <v>17.67515923566879</v>
      </c>
      <c r="CK29" s="169">
        <v>4155</v>
      </c>
      <c r="CL29" s="169">
        <v>3695</v>
      </c>
      <c r="CM29" s="167">
        <f t="shared" si="50"/>
        <v>-11.070998796630565</v>
      </c>
      <c r="CN29" s="167"/>
      <c r="CO29" s="73"/>
      <c r="CP29" s="168"/>
      <c r="CQ29" s="168" t="s">
        <v>53</v>
      </c>
      <c r="CR29" s="169">
        <v>3845</v>
      </c>
      <c r="CS29" s="169">
        <v>4155</v>
      </c>
      <c r="CT29" s="167">
        <f t="shared" si="77"/>
        <v>8.062418725617686</v>
      </c>
      <c r="CU29" s="169">
        <v>6477</v>
      </c>
      <c r="CV29" s="169">
        <v>4155</v>
      </c>
      <c r="CW29" s="167">
        <f t="shared" si="51"/>
        <v>-35.849930523390462</v>
      </c>
      <c r="CX29" s="73"/>
      <c r="CY29" s="226"/>
      <c r="CZ29" s="226" t="s">
        <v>53</v>
      </c>
      <c r="DA29" s="227">
        <v>7157</v>
      </c>
      <c r="DB29" s="227">
        <v>6477</v>
      </c>
      <c r="DC29" s="225">
        <f t="shared" si="56"/>
        <v>-9.5011876484560567</v>
      </c>
      <c r="DD29" s="227">
        <v>6437</v>
      </c>
      <c r="DE29" s="227">
        <v>6477</v>
      </c>
      <c r="DF29" s="225">
        <f t="shared" si="57"/>
        <v>0.62140748796022993</v>
      </c>
      <c r="DG29" s="73"/>
      <c r="DH29" s="152"/>
      <c r="DI29" s="152" t="s">
        <v>53</v>
      </c>
      <c r="DJ29" s="148">
        <v>6765</v>
      </c>
      <c r="DK29" s="148">
        <v>6437</v>
      </c>
      <c r="DL29" s="151">
        <f t="shared" si="58"/>
        <v>-4.8484848484848486</v>
      </c>
      <c r="DM29" s="148">
        <v>4962</v>
      </c>
      <c r="DN29" s="148">
        <v>6437</v>
      </c>
      <c r="DO29" s="151">
        <f t="shared" si="59"/>
        <v>29.725916968964128</v>
      </c>
      <c r="DP29" s="73"/>
      <c r="DQ29" s="152"/>
      <c r="DR29" s="152" t="s">
        <v>53</v>
      </c>
      <c r="DS29" s="148">
        <v>4624</v>
      </c>
      <c r="DT29" s="148">
        <v>4962</v>
      </c>
      <c r="DU29" s="151">
        <f t="shared" si="60"/>
        <v>7.3096885813148784</v>
      </c>
      <c r="DV29" s="148">
        <v>3743</v>
      </c>
      <c r="DW29" s="148">
        <v>4962</v>
      </c>
      <c r="DX29" s="151">
        <f t="shared" si="61"/>
        <v>32.567459257280255</v>
      </c>
      <c r="DY29" s="73"/>
      <c r="DZ29" s="89"/>
      <c r="EA29" s="89" t="s">
        <v>53</v>
      </c>
      <c r="EB29" s="90">
        <f>1934+297+601+1289+4</f>
        <v>4125</v>
      </c>
      <c r="EC29" s="90">
        <v>3743</v>
      </c>
      <c r="ED29" s="129">
        <f t="shared" si="62"/>
        <v>-9.2606060606060616</v>
      </c>
      <c r="EE29" s="90">
        <v>2979</v>
      </c>
      <c r="EF29" s="90">
        <v>3743</v>
      </c>
      <c r="EG29" s="129">
        <f t="shared" si="63"/>
        <v>25.646189996643169</v>
      </c>
      <c r="EH29" s="130"/>
      <c r="EI29" s="42"/>
      <c r="EJ29" s="42" t="s">
        <v>53</v>
      </c>
      <c r="EK29" s="43">
        <v>2705</v>
      </c>
      <c r="EL29" s="43">
        <v>2979</v>
      </c>
      <c r="EM29" s="44">
        <f t="shared" si="52"/>
        <v>10.129390018484289</v>
      </c>
      <c r="EN29" s="43">
        <v>3589</v>
      </c>
      <c r="EO29" s="43">
        <v>2979</v>
      </c>
      <c r="EP29" s="44">
        <f t="shared" si="53"/>
        <v>-16.996377821120092</v>
      </c>
      <c r="EQ29" s="61"/>
      <c r="ER29" s="89"/>
      <c r="ES29" s="89" t="s">
        <v>53</v>
      </c>
      <c r="ET29" s="90">
        <v>3435</v>
      </c>
      <c r="EU29" s="90">
        <v>3589</v>
      </c>
      <c r="EV29" s="91">
        <f t="shared" si="64"/>
        <v>4.4832605531295489</v>
      </c>
      <c r="EW29" s="92">
        <v>3569</v>
      </c>
      <c r="EX29" s="90">
        <v>3589</v>
      </c>
      <c r="EY29" s="91">
        <f t="shared" si="65"/>
        <v>0.56038105912020175</v>
      </c>
      <c r="EZ29" s="61"/>
      <c r="FA29" s="42"/>
      <c r="FB29" s="42" t="s">
        <v>53</v>
      </c>
      <c r="FC29" s="43">
        <v>3259</v>
      </c>
      <c r="FD29" s="43">
        <v>3569</v>
      </c>
      <c r="FE29" s="44">
        <f t="shared" si="54"/>
        <v>9.5121202822951822</v>
      </c>
      <c r="FF29" s="45">
        <v>3010</v>
      </c>
      <c r="FG29" s="43">
        <v>3569</v>
      </c>
      <c r="FH29" s="44">
        <f t="shared" si="55"/>
        <v>18.571428571428573</v>
      </c>
      <c r="FI29" s="61"/>
    </row>
    <row r="30" spans="1:165" x14ac:dyDescent="0.5">
      <c r="A30" s="168"/>
      <c r="B30" s="168" t="s">
        <v>54</v>
      </c>
      <c r="C30" s="169">
        <v>17048</v>
      </c>
      <c r="D30" s="166">
        <v>14890</v>
      </c>
      <c r="E30" s="167">
        <f t="shared" si="66"/>
        <v>-12.658376349131863</v>
      </c>
      <c r="F30" s="169">
        <v>12116</v>
      </c>
      <c r="G30" s="169">
        <v>14890</v>
      </c>
      <c r="H30" s="167">
        <f t="shared" si="40"/>
        <v>22.895344998349291</v>
      </c>
      <c r="I30" s="168"/>
      <c r="J30" s="168" t="s">
        <v>54</v>
      </c>
      <c r="K30" s="169">
        <v>14123</v>
      </c>
      <c r="L30" s="169">
        <v>12116</v>
      </c>
      <c r="M30" s="167">
        <f t="shared" si="67"/>
        <v>-14.210861714933088</v>
      </c>
      <c r="N30" s="169">
        <v>13325</v>
      </c>
      <c r="O30" s="169">
        <v>12116</v>
      </c>
      <c r="P30" s="167">
        <f t="shared" si="41"/>
        <v>-9.0731707317073162</v>
      </c>
      <c r="Q30" s="168"/>
      <c r="R30" s="168" t="s">
        <v>54</v>
      </c>
      <c r="S30" s="169">
        <v>11996</v>
      </c>
      <c r="T30" s="169">
        <v>13325</v>
      </c>
      <c r="U30" s="167">
        <f t="shared" si="68"/>
        <v>11.078692897632545</v>
      </c>
      <c r="V30" s="169">
        <v>11570</v>
      </c>
      <c r="W30" s="169">
        <v>13325</v>
      </c>
      <c r="X30" s="167">
        <f t="shared" si="42"/>
        <v>15.168539325842698</v>
      </c>
      <c r="Y30" s="168"/>
      <c r="Z30" s="168" t="s">
        <v>54</v>
      </c>
      <c r="AA30" s="169">
        <v>11414</v>
      </c>
      <c r="AB30" s="169">
        <v>11570</v>
      </c>
      <c r="AC30" s="167">
        <f t="shared" si="69"/>
        <v>1.3667425968109339</v>
      </c>
      <c r="AD30" s="169">
        <v>5726</v>
      </c>
      <c r="AE30" s="169">
        <v>11570</v>
      </c>
      <c r="AF30" s="167">
        <f t="shared" si="43"/>
        <v>102.06077541040865</v>
      </c>
      <c r="AG30" s="168"/>
      <c r="AH30" s="168" t="s">
        <v>54</v>
      </c>
      <c r="AI30" s="169">
        <v>7242</v>
      </c>
      <c r="AJ30" s="169">
        <v>5726</v>
      </c>
      <c r="AK30" s="167">
        <f t="shared" si="70"/>
        <v>-20.933443800055233</v>
      </c>
      <c r="AL30" s="169">
        <v>11135</v>
      </c>
      <c r="AM30" s="169">
        <v>5726</v>
      </c>
      <c r="AN30" s="167">
        <f t="shared" si="44"/>
        <v>-48.576560395150423</v>
      </c>
      <c r="AO30" s="168"/>
      <c r="AP30" s="168" t="s">
        <v>54</v>
      </c>
      <c r="AQ30" s="169">
        <v>8036</v>
      </c>
      <c r="AR30" s="169">
        <v>11135</v>
      </c>
      <c r="AS30" s="167">
        <f t="shared" si="71"/>
        <v>38.563962170233943</v>
      </c>
      <c r="AT30" s="169">
        <v>10607</v>
      </c>
      <c r="AU30" s="169">
        <v>11135</v>
      </c>
      <c r="AV30" s="167">
        <f t="shared" si="45"/>
        <v>4.9778448194588476</v>
      </c>
      <c r="AW30" s="168"/>
      <c r="AX30" s="168" t="s">
        <v>54</v>
      </c>
      <c r="AY30" s="169">
        <v>10010</v>
      </c>
      <c r="AZ30" s="169">
        <v>10607</v>
      </c>
      <c r="BA30" s="167">
        <f t="shared" si="72"/>
        <v>5.9640359640359639</v>
      </c>
      <c r="BB30" s="169">
        <v>13177</v>
      </c>
      <c r="BC30" s="169">
        <v>10607</v>
      </c>
      <c r="BD30" s="167">
        <f t="shared" si="46"/>
        <v>-19.503680655687941</v>
      </c>
      <c r="BE30" s="168"/>
      <c r="BF30" s="168" t="s">
        <v>54</v>
      </c>
      <c r="BG30" s="169">
        <v>11701</v>
      </c>
      <c r="BH30" s="169">
        <v>13177</v>
      </c>
      <c r="BI30" s="167">
        <f t="shared" si="73"/>
        <v>12.614306469532519</v>
      </c>
      <c r="BJ30" s="169">
        <v>8495</v>
      </c>
      <c r="BK30" s="169">
        <v>13177</v>
      </c>
      <c r="BL30" s="167">
        <f t="shared" si="47"/>
        <v>55.114773396115361</v>
      </c>
      <c r="BM30" s="168"/>
      <c r="BN30" s="168" t="s">
        <v>54</v>
      </c>
      <c r="BO30" s="169">
        <v>7842</v>
      </c>
      <c r="BP30" s="169">
        <v>8495</v>
      </c>
      <c r="BQ30" s="167">
        <f t="shared" si="74"/>
        <v>8.3269574088242795</v>
      </c>
      <c r="BR30" s="169">
        <v>8873</v>
      </c>
      <c r="BS30" s="169">
        <v>8495</v>
      </c>
      <c r="BT30" s="167">
        <f t="shared" si="48"/>
        <v>-4.2601149554829254</v>
      </c>
      <c r="BU30" s="167"/>
      <c r="BV30" s="168"/>
      <c r="BW30" s="168" t="s">
        <v>54</v>
      </c>
      <c r="BX30" s="169">
        <v>8011</v>
      </c>
      <c r="BY30" s="169">
        <v>8873</v>
      </c>
      <c r="BZ30" s="167">
        <f t="shared" si="75"/>
        <v>10.760204718512046</v>
      </c>
      <c r="CA30" s="169">
        <v>9488</v>
      </c>
      <c r="CB30" s="169">
        <v>8873</v>
      </c>
      <c r="CC30" s="167">
        <f t="shared" si="49"/>
        <v>-6.4818718381112985</v>
      </c>
      <c r="CD30" s="167"/>
      <c r="CF30" s="168"/>
      <c r="CG30" s="168" t="s">
        <v>54</v>
      </c>
      <c r="CH30" s="169">
        <v>7666</v>
      </c>
      <c r="CI30" s="169">
        <v>9488</v>
      </c>
      <c r="CJ30" s="167">
        <f t="shared" si="76"/>
        <v>23.767284111661883</v>
      </c>
      <c r="CK30" s="169">
        <v>6538</v>
      </c>
      <c r="CL30" s="169">
        <v>9488</v>
      </c>
      <c r="CM30" s="167">
        <f t="shared" si="50"/>
        <v>45.120832058733555</v>
      </c>
      <c r="CN30" s="167"/>
      <c r="CO30" s="73"/>
      <c r="CP30" s="168"/>
      <c r="CQ30" s="168" t="s">
        <v>54</v>
      </c>
      <c r="CR30" s="169">
        <v>6515</v>
      </c>
      <c r="CS30" s="169">
        <v>6538</v>
      </c>
      <c r="CT30" s="167">
        <f t="shared" si="77"/>
        <v>0.35303146584804296</v>
      </c>
      <c r="CU30" s="169">
        <v>5978</v>
      </c>
      <c r="CV30" s="169">
        <v>6538</v>
      </c>
      <c r="CW30" s="167">
        <f t="shared" si="51"/>
        <v>9.3676814988290413</v>
      </c>
      <c r="CX30" s="73"/>
      <c r="CY30" s="226"/>
      <c r="CZ30" s="226" t="s">
        <v>54</v>
      </c>
      <c r="DA30" s="227">
        <v>6477</v>
      </c>
      <c r="DB30" s="227">
        <v>5978</v>
      </c>
      <c r="DC30" s="225">
        <f t="shared" si="56"/>
        <v>-7.7041840358190523</v>
      </c>
      <c r="DD30" s="227">
        <v>8804</v>
      </c>
      <c r="DE30" s="227">
        <v>5978</v>
      </c>
      <c r="DF30" s="225">
        <f t="shared" si="57"/>
        <v>-32.099045888232617</v>
      </c>
      <c r="DG30" s="73"/>
      <c r="DH30" s="152"/>
      <c r="DI30" s="152" t="s">
        <v>54</v>
      </c>
      <c r="DJ30" s="148">
        <v>8206</v>
      </c>
      <c r="DK30" s="148">
        <v>8804</v>
      </c>
      <c r="DL30" s="151">
        <f t="shared" si="58"/>
        <v>7.287350718986108</v>
      </c>
      <c r="DM30" s="148">
        <v>5586</v>
      </c>
      <c r="DN30" s="148">
        <v>8804</v>
      </c>
      <c r="DO30" s="151">
        <f t="shared" si="59"/>
        <v>57.608306480486938</v>
      </c>
      <c r="DP30" s="73"/>
      <c r="DQ30" s="152"/>
      <c r="DR30" s="152" t="s">
        <v>54</v>
      </c>
      <c r="DS30" s="148">
        <v>4608</v>
      </c>
      <c r="DT30" s="148">
        <v>5586</v>
      </c>
      <c r="DU30" s="151">
        <f t="shared" si="60"/>
        <v>21.223958333333336</v>
      </c>
      <c r="DV30" s="148">
        <v>4556</v>
      </c>
      <c r="DW30" s="148">
        <v>5586</v>
      </c>
      <c r="DX30" s="151">
        <f t="shared" si="61"/>
        <v>22.607550482879716</v>
      </c>
      <c r="DY30" s="73"/>
      <c r="DZ30" s="89"/>
      <c r="EA30" s="89" t="s">
        <v>54</v>
      </c>
      <c r="EB30" s="90">
        <f>3231+1652</f>
        <v>4883</v>
      </c>
      <c r="EC30" s="90">
        <v>4556</v>
      </c>
      <c r="ED30" s="129">
        <f t="shared" si="62"/>
        <v>-6.6967028466106902</v>
      </c>
      <c r="EE30" s="90">
        <v>2731</v>
      </c>
      <c r="EF30" s="90">
        <v>4556</v>
      </c>
      <c r="EG30" s="129">
        <f t="shared" si="63"/>
        <v>66.825338703771507</v>
      </c>
      <c r="EH30" s="130"/>
      <c r="EI30" s="42"/>
      <c r="EJ30" s="42" t="s">
        <v>54</v>
      </c>
      <c r="EK30" s="43">
        <v>2698</v>
      </c>
      <c r="EL30" s="43">
        <v>2731</v>
      </c>
      <c r="EM30" s="44">
        <f t="shared" si="52"/>
        <v>1.223128243143069</v>
      </c>
      <c r="EN30" s="43">
        <v>2179</v>
      </c>
      <c r="EO30" s="43">
        <v>2731</v>
      </c>
      <c r="EP30" s="44">
        <f t="shared" si="53"/>
        <v>25.332721431849471</v>
      </c>
      <c r="EQ30" s="61"/>
      <c r="ER30" s="89"/>
      <c r="ES30" s="89" t="s">
        <v>54</v>
      </c>
      <c r="ET30" s="90">
        <v>1598</v>
      </c>
      <c r="EU30" s="90">
        <v>2179</v>
      </c>
      <c r="EV30" s="91">
        <f t="shared" si="64"/>
        <v>36.357947434292868</v>
      </c>
      <c r="EW30" s="92">
        <v>2857</v>
      </c>
      <c r="EX30" s="90">
        <v>2179</v>
      </c>
      <c r="EY30" s="91">
        <f t="shared" si="65"/>
        <v>-23.731186559327966</v>
      </c>
      <c r="EZ30" s="61"/>
      <c r="FA30" s="42"/>
      <c r="FB30" s="42" t="s">
        <v>54</v>
      </c>
      <c r="FC30" s="43">
        <v>2662</v>
      </c>
      <c r="FD30" s="43">
        <v>2857</v>
      </c>
      <c r="FE30" s="44">
        <f t="shared" si="54"/>
        <v>7.325319308790383</v>
      </c>
      <c r="FF30" s="45">
        <v>1850</v>
      </c>
      <c r="FG30" s="43">
        <v>2857</v>
      </c>
      <c r="FH30" s="44">
        <f t="shared" si="55"/>
        <v>54.432432432432435</v>
      </c>
      <c r="FI30" s="61"/>
    </row>
    <row r="31" spans="1:165" x14ac:dyDescent="0.5">
      <c r="A31" s="165" t="s">
        <v>2</v>
      </c>
      <c r="B31" s="165" t="s">
        <v>55</v>
      </c>
      <c r="C31" s="166">
        <v>72439</v>
      </c>
      <c r="D31" s="166">
        <v>71179</v>
      </c>
      <c r="E31" s="167">
        <f t="shared" si="66"/>
        <v>-1.7393945250486615</v>
      </c>
      <c r="F31" s="166">
        <v>86066</v>
      </c>
      <c r="G31" s="166">
        <v>71179</v>
      </c>
      <c r="H31" s="167">
        <f t="shared" si="40"/>
        <v>-17.297190528199287</v>
      </c>
      <c r="I31" s="165" t="s">
        <v>2</v>
      </c>
      <c r="J31" s="165" t="s">
        <v>55</v>
      </c>
      <c r="K31" s="166">
        <v>83527</v>
      </c>
      <c r="L31" s="166">
        <v>86066</v>
      </c>
      <c r="M31" s="167">
        <f t="shared" si="67"/>
        <v>3.0397356543393155</v>
      </c>
      <c r="N31" s="166">
        <v>87555</v>
      </c>
      <c r="O31" s="166">
        <v>86066</v>
      </c>
      <c r="P31" s="167">
        <f t="shared" si="41"/>
        <v>-1.7006453086631259</v>
      </c>
      <c r="Q31" s="165" t="s">
        <v>2</v>
      </c>
      <c r="R31" s="165" t="s">
        <v>55</v>
      </c>
      <c r="S31" s="166">
        <v>108052</v>
      </c>
      <c r="T31" s="166">
        <v>87555</v>
      </c>
      <c r="U31" s="167">
        <f t="shared" si="68"/>
        <v>-18.969570206937401</v>
      </c>
      <c r="V31" s="166">
        <v>73325</v>
      </c>
      <c r="W31" s="166">
        <v>87555</v>
      </c>
      <c r="X31" s="167">
        <f t="shared" si="42"/>
        <v>19.406750767132628</v>
      </c>
      <c r="Y31" s="165" t="s">
        <v>2</v>
      </c>
      <c r="Z31" s="165" t="s">
        <v>55</v>
      </c>
      <c r="AA31" s="166">
        <v>83086</v>
      </c>
      <c r="AB31" s="166">
        <v>73325</v>
      </c>
      <c r="AC31" s="167">
        <f t="shared" si="69"/>
        <v>-11.748068266615313</v>
      </c>
      <c r="AD31" s="166">
        <v>59571</v>
      </c>
      <c r="AE31" s="166">
        <v>73325</v>
      </c>
      <c r="AF31" s="167">
        <f t="shared" si="43"/>
        <v>23.08841550418828</v>
      </c>
      <c r="AG31" s="165" t="s">
        <v>2</v>
      </c>
      <c r="AH31" s="165" t="s">
        <v>55</v>
      </c>
      <c r="AI31" s="166">
        <v>70590</v>
      </c>
      <c r="AJ31" s="166">
        <v>59571</v>
      </c>
      <c r="AK31" s="167">
        <f t="shared" si="70"/>
        <v>-15.609859753506161</v>
      </c>
      <c r="AL31" s="166">
        <v>57402</v>
      </c>
      <c r="AM31" s="166">
        <v>59571</v>
      </c>
      <c r="AN31" s="167">
        <f t="shared" si="44"/>
        <v>3.7786139855754159</v>
      </c>
      <c r="AO31" s="165" t="s">
        <v>2</v>
      </c>
      <c r="AP31" s="165" t="s">
        <v>55</v>
      </c>
      <c r="AQ31" s="166">
        <v>49564</v>
      </c>
      <c r="AR31" s="166">
        <v>57402</v>
      </c>
      <c r="AS31" s="167">
        <f t="shared" si="71"/>
        <v>15.813897183439593</v>
      </c>
      <c r="AT31" s="166">
        <v>81549</v>
      </c>
      <c r="AU31" s="166">
        <v>57402</v>
      </c>
      <c r="AV31" s="167">
        <f t="shared" si="45"/>
        <v>-29.610418276128463</v>
      </c>
      <c r="AW31" s="165" t="s">
        <v>2</v>
      </c>
      <c r="AX31" s="165" t="s">
        <v>55</v>
      </c>
      <c r="AY31" s="166">
        <v>82151</v>
      </c>
      <c r="AZ31" s="166">
        <v>81549</v>
      </c>
      <c r="BA31" s="167">
        <f t="shared" si="72"/>
        <v>-0.73279692273983277</v>
      </c>
      <c r="BB31" s="166">
        <v>102513</v>
      </c>
      <c r="BC31" s="166">
        <v>81549</v>
      </c>
      <c r="BD31" s="167">
        <f t="shared" si="46"/>
        <v>-20.450089256972287</v>
      </c>
      <c r="BE31" s="165" t="s">
        <v>2</v>
      </c>
      <c r="BF31" s="165" t="s">
        <v>55</v>
      </c>
      <c r="BG31" s="166">
        <v>90151</v>
      </c>
      <c r="BH31" s="166">
        <v>102513</v>
      </c>
      <c r="BI31" s="167">
        <f t="shared" si="73"/>
        <v>13.71254894565784</v>
      </c>
      <c r="BJ31" s="166">
        <v>102907</v>
      </c>
      <c r="BK31" s="166">
        <v>102513</v>
      </c>
      <c r="BL31" s="167">
        <f t="shared" si="47"/>
        <v>-0.38286996997288814</v>
      </c>
      <c r="BM31" s="165" t="s">
        <v>2</v>
      </c>
      <c r="BN31" s="165" t="s">
        <v>55</v>
      </c>
      <c r="BO31" s="166">
        <v>90015</v>
      </c>
      <c r="BP31" s="166">
        <v>102907</v>
      </c>
      <c r="BQ31" s="167">
        <f t="shared" si="74"/>
        <v>14.322057434871965</v>
      </c>
      <c r="BR31" s="166">
        <v>94183</v>
      </c>
      <c r="BS31" s="166">
        <v>102907</v>
      </c>
      <c r="BT31" s="167">
        <f t="shared" si="48"/>
        <v>9.2628181306605235</v>
      </c>
      <c r="BU31" s="167"/>
      <c r="BV31" s="165" t="s">
        <v>2</v>
      </c>
      <c r="BW31" s="165" t="s">
        <v>55</v>
      </c>
      <c r="BX31" s="166">
        <v>99155</v>
      </c>
      <c r="BY31" s="166">
        <v>94183</v>
      </c>
      <c r="BZ31" s="167">
        <f t="shared" si="75"/>
        <v>-5.0143714386566485</v>
      </c>
      <c r="CA31" s="166">
        <v>101982</v>
      </c>
      <c r="CB31" s="166">
        <v>94183</v>
      </c>
      <c r="CC31" s="167">
        <f t="shared" si="49"/>
        <v>-7.6474279774862239</v>
      </c>
      <c r="CD31" s="167"/>
      <c r="CF31" s="165" t="s">
        <v>2</v>
      </c>
      <c r="CG31" s="165" t="s">
        <v>55</v>
      </c>
      <c r="CH31" s="166">
        <v>102359</v>
      </c>
      <c r="CI31" s="166">
        <v>101982</v>
      </c>
      <c r="CJ31" s="167">
        <f t="shared" si="76"/>
        <v>-0.36831153098408542</v>
      </c>
      <c r="CK31" s="166">
        <v>89550</v>
      </c>
      <c r="CL31" s="166">
        <v>101982</v>
      </c>
      <c r="CM31" s="167">
        <f t="shared" si="50"/>
        <v>13.882747068676718</v>
      </c>
      <c r="CN31" s="167"/>
      <c r="CO31" s="73"/>
      <c r="CP31" s="165" t="s">
        <v>2</v>
      </c>
      <c r="CQ31" s="165" t="s">
        <v>55</v>
      </c>
      <c r="CR31" s="166">
        <v>91785</v>
      </c>
      <c r="CS31" s="166">
        <v>89550</v>
      </c>
      <c r="CT31" s="167">
        <f t="shared" si="77"/>
        <v>-2.435038404968132</v>
      </c>
      <c r="CU31" s="166">
        <v>103065</v>
      </c>
      <c r="CV31" s="166">
        <v>89550</v>
      </c>
      <c r="CW31" s="167">
        <f t="shared" si="51"/>
        <v>-13.113083976131568</v>
      </c>
      <c r="CX31" s="73"/>
      <c r="CY31" s="224" t="s">
        <v>2</v>
      </c>
      <c r="CZ31" s="224" t="s">
        <v>55</v>
      </c>
      <c r="DA31" s="238">
        <v>82710</v>
      </c>
      <c r="DB31" s="238">
        <v>103065</v>
      </c>
      <c r="DC31" s="225">
        <f t="shared" si="56"/>
        <v>24.610083424011606</v>
      </c>
      <c r="DD31" s="238">
        <v>87370</v>
      </c>
      <c r="DE31" s="238">
        <v>103065</v>
      </c>
      <c r="DF31" s="225">
        <f t="shared" si="57"/>
        <v>17.963831978940139</v>
      </c>
      <c r="DG31" s="73"/>
      <c r="DH31" s="150" t="s">
        <v>2</v>
      </c>
      <c r="DI31" s="150" t="s">
        <v>55</v>
      </c>
      <c r="DJ31" s="147">
        <v>94838</v>
      </c>
      <c r="DK31" s="147">
        <v>85279</v>
      </c>
      <c r="DL31" s="151">
        <f t="shared" si="58"/>
        <v>-10.079293110356607</v>
      </c>
      <c r="DM31" s="147">
        <v>72270</v>
      </c>
      <c r="DN31" s="147">
        <v>85279</v>
      </c>
      <c r="DO31" s="151">
        <f t="shared" si="59"/>
        <v>18.000553480005536</v>
      </c>
      <c r="DP31" s="73"/>
      <c r="DQ31" s="150" t="s">
        <v>2</v>
      </c>
      <c r="DR31" s="150" t="s">
        <v>55</v>
      </c>
      <c r="DS31" s="147">
        <v>75803</v>
      </c>
      <c r="DT31" s="147">
        <v>72270</v>
      </c>
      <c r="DU31" s="151">
        <f t="shared" si="60"/>
        <v>-4.660765405063124</v>
      </c>
      <c r="DV31" s="147">
        <v>77750</v>
      </c>
      <c r="DW31" s="147">
        <v>72270</v>
      </c>
      <c r="DX31" s="151">
        <f t="shared" si="61"/>
        <v>-7.048231511254019</v>
      </c>
      <c r="DY31" s="73"/>
      <c r="DZ31" s="86" t="s">
        <v>2</v>
      </c>
      <c r="EA31" s="86" t="s">
        <v>55</v>
      </c>
      <c r="EB31" s="87">
        <v>87605</v>
      </c>
      <c r="EC31" s="87">
        <v>77750</v>
      </c>
      <c r="ED31" s="126">
        <f t="shared" si="62"/>
        <v>-11.249357913361109</v>
      </c>
      <c r="EE31" s="87">
        <v>43106</v>
      </c>
      <c r="EF31" s="87">
        <v>77750</v>
      </c>
      <c r="EG31" s="126">
        <f t="shared" si="63"/>
        <v>80.36932213612954</v>
      </c>
      <c r="EH31" s="127"/>
      <c r="EI31" s="63" t="s">
        <v>2</v>
      </c>
      <c r="EJ31" s="63" t="s">
        <v>55</v>
      </c>
      <c r="EK31" s="68">
        <v>36555</v>
      </c>
      <c r="EL31" s="68">
        <v>43106</v>
      </c>
      <c r="EM31" s="65">
        <f t="shared" si="52"/>
        <v>17.920941047736289</v>
      </c>
      <c r="EN31" s="68">
        <v>67579</v>
      </c>
      <c r="EO31" s="68">
        <v>43106</v>
      </c>
      <c r="EP31" s="65">
        <f>((EO31-EN31)/EN31)*100</f>
        <v>-36.213912605987069</v>
      </c>
      <c r="EQ31" s="73"/>
      <c r="ER31" s="86" t="s">
        <v>2</v>
      </c>
      <c r="ES31" s="86" t="s">
        <v>55</v>
      </c>
      <c r="ET31" s="87">
        <v>71232</v>
      </c>
      <c r="EU31" s="87">
        <v>67591</v>
      </c>
      <c r="EV31" s="88">
        <f t="shared" si="64"/>
        <v>-5.1114667565139262</v>
      </c>
      <c r="EW31" s="87">
        <v>65636</v>
      </c>
      <c r="EX31" s="87">
        <v>67591</v>
      </c>
      <c r="EY31" s="88">
        <f t="shared" si="65"/>
        <v>2.9785483576086293</v>
      </c>
      <c r="EZ31" s="73"/>
      <c r="FA31" s="63" t="s">
        <v>2</v>
      </c>
      <c r="FB31" s="63" t="s">
        <v>55</v>
      </c>
      <c r="FC31" s="68">
        <v>56042</v>
      </c>
      <c r="FD31" s="68">
        <v>65636</v>
      </c>
      <c r="FE31" s="65">
        <f t="shared" si="54"/>
        <v>17.119303379608152</v>
      </c>
      <c r="FF31" s="68">
        <v>44253</v>
      </c>
      <c r="FG31" s="68">
        <v>65636</v>
      </c>
      <c r="FH31" s="65">
        <f t="shared" si="55"/>
        <v>48.319887917203353</v>
      </c>
      <c r="FI31" s="73"/>
    </row>
    <row r="32" spans="1:165" x14ac:dyDescent="0.5">
      <c r="A32" s="168"/>
      <c r="B32" s="168" t="s">
        <v>56</v>
      </c>
      <c r="C32" s="170">
        <v>46853.188090199998</v>
      </c>
      <c r="D32" s="166">
        <v>45553.256320619999</v>
      </c>
      <c r="E32" s="167">
        <f t="shared" si="66"/>
        <v>-2.7744787976378862</v>
      </c>
      <c r="F32" s="170">
        <v>60334.038345633402</v>
      </c>
      <c r="G32" s="166">
        <v>45553.256320619999</v>
      </c>
      <c r="H32" s="167">
        <f t="shared" si="40"/>
        <v>-24.498247474069739</v>
      </c>
      <c r="I32" s="168"/>
      <c r="J32" s="168" t="s">
        <v>56</v>
      </c>
      <c r="K32" s="170">
        <v>56397.86850981001</v>
      </c>
      <c r="L32" s="170">
        <v>60334.038345633402</v>
      </c>
      <c r="M32" s="167">
        <f t="shared" si="67"/>
        <v>6.9792882955119522</v>
      </c>
      <c r="N32" s="170">
        <v>60214.845563059913</v>
      </c>
      <c r="O32" s="170">
        <v>60334.038345633402</v>
      </c>
      <c r="P32" s="167">
        <f t="shared" si="41"/>
        <v>0.19794584119403708</v>
      </c>
      <c r="Q32" s="168"/>
      <c r="R32" s="168" t="s">
        <v>56</v>
      </c>
      <c r="S32" s="170">
        <v>67587.545462690134</v>
      </c>
      <c r="T32" s="170">
        <v>60214.845563059913</v>
      </c>
      <c r="U32" s="167">
        <f t="shared" si="68"/>
        <v>-10.908370542469426</v>
      </c>
      <c r="V32" s="170">
        <v>49361.705017200307</v>
      </c>
      <c r="W32" s="170">
        <v>60214.845563059913</v>
      </c>
      <c r="X32" s="167">
        <f t="shared" si="42"/>
        <v>21.986964473933345</v>
      </c>
      <c r="Y32" s="168"/>
      <c r="Z32" s="168" t="s">
        <v>56</v>
      </c>
      <c r="AA32" s="170">
        <v>51987.15203279</v>
      </c>
      <c r="AB32" s="170">
        <v>49361.705017200307</v>
      </c>
      <c r="AC32" s="167">
        <f t="shared" si="69"/>
        <v>-5.050184349267175</v>
      </c>
      <c r="AD32" s="170">
        <v>35737.017799391004</v>
      </c>
      <c r="AE32" s="170">
        <v>49361.705017200307</v>
      </c>
      <c r="AF32" s="167">
        <f t="shared" si="43"/>
        <v>38.124857799526524</v>
      </c>
      <c r="AG32" s="168"/>
      <c r="AH32" s="168" t="s">
        <v>56</v>
      </c>
      <c r="AI32" s="170">
        <v>43430.612065337205</v>
      </c>
      <c r="AJ32" s="170">
        <v>35737.017799391004</v>
      </c>
      <c r="AK32" s="167">
        <f t="shared" si="70"/>
        <v>-17.714680728818475</v>
      </c>
      <c r="AL32" s="170">
        <v>34628.991807272498</v>
      </c>
      <c r="AM32" s="170">
        <v>35737.017799391004</v>
      </c>
      <c r="AN32" s="167">
        <f t="shared" si="44"/>
        <v>3.199706183435024</v>
      </c>
      <c r="AO32" s="168"/>
      <c r="AP32" s="168" t="s">
        <v>56</v>
      </c>
      <c r="AQ32" s="170">
        <v>28848.505380688599</v>
      </c>
      <c r="AR32" s="170">
        <v>34628.991807272498</v>
      </c>
      <c r="AS32" s="167">
        <f t="shared" si="71"/>
        <v>20.037386167164829</v>
      </c>
      <c r="AT32" s="170">
        <v>45694.975384646401</v>
      </c>
      <c r="AU32" s="170">
        <v>34628.991807272498</v>
      </c>
      <c r="AV32" s="167">
        <f t="shared" si="45"/>
        <v>-24.21706869130319</v>
      </c>
      <c r="AW32" s="168"/>
      <c r="AX32" s="168" t="s">
        <v>56</v>
      </c>
      <c r="AY32" s="170">
        <v>40330.530248528899</v>
      </c>
      <c r="AZ32" s="170">
        <v>45694.975384646401</v>
      </c>
      <c r="BA32" s="167">
        <f t="shared" si="72"/>
        <v>13.301201603500305</v>
      </c>
      <c r="BB32" s="170">
        <v>55727.22</v>
      </c>
      <c r="BC32" s="170">
        <v>45694.975384646401</v>
      </c>
      <c r="BD32" s="167">
        <f t="shared" si="46"/>
        <v>-18.002413569802332</v>
      </c>
      <c r="BE32" s="168"/>
      <c r="BF32" s="168" t="s">
        <v>56</v>
      </c>
      <c r="BG32" s="170">
        <v>49874.3</v>
      </c>
      <c r="BH32" s="170">
        <v>55727.22</v>
      </c>
      <c r="BI32" s="167">
        <f t="shared" si="73"/>
        <v>11.735342651425681</v>
      </c>
      <c r="BJ32" s="170">
        <v>54209.27</v>
      </c>
      <c r="BK32" s="170">
        <v>55727.22</v>
      </c>
      <c r="BL32" s="167">
        <f t="shared" si="47"/>
        <v>2.8001668349343283</v>
      </c>
      <c r="BM32" s="168"/>
      <c r="BN32" s="168" t="s">
        <v>56</v>
      </c>
      <c r="BO32" s="170">
        <v>47957.440000000002</v>
      </c>
      <c r="BP32" s="170">
        <v>54209.27</v>
      </c>
      <c r="BQ32" s="167">
        <f t="shared" si="74"/>
        <v>13.036204601413241</v>
      </c>
      <c r="BR32" s="170">
        <v>51047.3</v>
      </c>
      <c r="BS32" s="170">
        <v>54209.27</v>
      </c>
      <c r="BT32" s="167">
        <f t="shared" si="48"/>
        <v>6.1941963629809873</v>
      </c>
      <c r="BU32" s="167"/>
      <c r="BV32" s="168"/>
      <c r="BW32" s="168" t="s">
        <v>56</v>
      </c>
      <c r="BX32" s="170">
        <v>51530.09</v>
      </c>
      <c r="BY32" s="170">
        <v>51047.3</v>
      </c>
      <c r="BZ32" s="167">
        <f t="shared" si="75"/>
        <v>-0.93690890118762382</v>
      </c>
      <c r="CA32" s="170">
        <v>52859.77</v>
      </c>
      <c r="CB32" s="170">
        <v>51047.3</v>
      </c>
      <c r="CC32" s="167">
        <f t="shared" si="49"/>
        <v>-3.4288268753344822</v>
      </c>
      <c r="CD32" s="167"/>
      <c r="CF32" s="168"/>
      <c r="CG32" s="168" t="s">
        <v>56</v>
      </c>
      <c r="CH32" s="170">
        <v>49458.81</v>
      </c>
      <c r="CI32" s="170">
        <v>52859.77</v>
      </c>
      <c r="CJ32" s="167">
        <f t="shared" si="76"/>
        <v>6.8763482178402588</v>
      </c>
      <c r="CK32" s="170">
        <v>42822.7</v>
      </c>
      <c r="CL32" s="170">
        <v>52859.77</v>
      </c>
      <c r="CM32" s="167">
        <f t="shared" si="50"/>
        <v>23.438666875278766</v>
      </c>
      <c r="CN32" s="167"/>
      <c r="CO32" s="73"/>
      <c r="CP32" s="168"/>
      <c r="CQ32" s="168" t="s">
        <v>56</v>
      </c>
      <c r="CR32" s="170">
        <v>43767.33</v>
      </c>
      <c r="CS32" s="170">
        <v>42822.7</v>
      </c>
      <c r="CT32" s="167">
        <f t="shared" si="77"/>
        <v>-2.1582993525079202</v>
      </c>
      <c r="CU32" s="170">
        <v>47976.11</v>
      </c>
      <c r="CV32" s="170">
        <v>42822.7</v>
      </c>
      <c r="CW32" s="167">
        <f t="shared" si="51"/>
        <v>-10.741617025640476</v>
      </c>
      <c r="CX32" s="73"/>
      <c r="CY32" s="226"/>
      <c r="CZ32" s="226" t="s">
        <v>56</v>
      </c>
      <c r="DA32" s="228">
        <v>39454.15</v>
      </c>
      <c r="DB32" s="228">
        <v>47976.11</v>
      </c>
      <c r="DC32" s="225">
        <f t="shared" si="56"/>
        <v>21.599654282249141</v>
      </c>
      <c r="DD32" s="228">
        <v>42507.19</v>
      </c>
      <c r="DE32" s="228">
        <v>47976.11</v>
      </c>
      <c r="DF32" s="225">
        <f t="shared" si="57"/>
        <v>12.865870456268688</v>
      </c>
      <c r="DG32" s="73"/>
      <c r="DH32" s="152"/>
      <c r="DI32" s="152" t="s">
        <v>56</v>
      </c>
      <c r="DJ32" s="149">
        <v>46337.78</v>
      </c>
      <c r="DK32" s="149">
        <v>41360.269999999997</v>
      </c>
      <c r="DL32" s="151">
        <f t="shared" si="58"/>
        <v>-10.741796434788206</v>
      </c>
      <c r="DM32" s="149">
        <v>31671.74</v>
      </c>
      <c r="DN32" s="149">
        <v>41360.269999999997</v>
      </c>
      <c r="DO32" s="151">
        <f t="shared" si="59"/>
        <v>30.590456981523573</v>
      </c>
      <c r="DP32" s="73"/>
      <c r="DQ32" s="152"/>
      <c r="DR32" s="152" t="s">
        <v>56</v>
      </c>
      <c r="DS32" s="149">
        <v>33817.54</v>
      </c>
      <c r="DT32" s="149">
        <v>31671.74</v>
      </c>
      <c r="DU32" s="151">
        <f t="shared" si="60"/>
        <v>-6.3452279497562474</v>
      </c>
      <c r="DV32" s="149">
        <v>34943.42</v>
      </c>
      <c r="DW32" s="149">
        <v>31671.74</v>
      </c>
      <c r="DX32" s="151">
        <f t="shared" si="61"/>
        <v>-9.3627927661345023</v>
      </c>
      <c r="DY32" s="73"/>
      <c r="DZ32" s="89"/>
      <c r="EA32" s="89" t="s">
        <v>56</v>
      </c>
      <c r="EB32" s="93">
        <v>39835.599999999999</v>
      </c>
      <c r="EC32" s="93">
        <v>34943.42</v>
      </c>
      <c r="ED32" s="129">
        <f t="shared" si="62"/>
        <v>-12.280924600106438</v>
      </c>
      <c r="EE32" s="93">
        <v>20840.29</v>
      </c>
      <c r="EF32" s="93">
        <v>34943.42</v>
      </c>
      <c r="EG32" s="129">
        <f t="shared" si="63"/>
        <v>67.67242682323517</v>
      </c>
      <c r="EH32" s="130"/>
      <c r="EI32" s="42"/>
      <c r="EJ32" s="42" t="s">
        <v>56</v>
      </c>
      <c r="EK32" s="66">
        <v>17364.05</v>
      </c>
      <c r="EL32" s="66">
        <v>20840.29</v>
      </c>
      <c r="EM32" s="44">
        <f t="shared" si="52"/>
        <v>20.019753456134957</v>
      </c>
      <c r="EN32" s="66">
        <v>32880.83</v>
      </c>
      <c r="EO32" s="66">
        <v>20840.29</v>
      </c>
      <c r="EP32" s="44">
        <f t="shared" si="53"/>
        <v>-36.618722824210948</v>
      </c>
      <c r="EQ32" s="61"/>
      <c r="ER32" s="89"/>
      <c r="ES32" s="89" t="s">
        <v>56</v>
      </c>
      <c r="ET32" s="93">
        <v>32632.959999999999</v>
      </c>
      <c r="EU32" s="93">
        <v>32908.69</v>
      </c>
      <c r="EV32" s="91">
        <f t="shared" si="64"/>
        <v>0.84494327207830133</v>
      </c>
      <c r="EW32" s="94">
        <v>28888.65</v>
      </c>
      <c r="EX32" s="93">
        <v>32908.69</v>
      </c>
      <c r="EY32" s="91">
        <f>((EX32-EW32)/EW32)*100</f>
        <v>13.915638148546231</v>
      </c>
      <c r="EZ32" s="61"/>
      <c r="FA32" s="42"/>
      <c r="FB32" s="42" t="s">
        <v>56</v>
      </c>
      <c r="FC32" s="66">
        <v>23900.799999999999</v>
      </c>
      <c r="FD32" s="66">
        <v>28888.65</v>
      </c>
      <c r="FE32" s="44">
        <f t="shared" si="54"/>
        <v>20.86896672914715</v>
      </c>
      <c r="FF32" s="67">
        <v>19760.259999999998</v>
      </c>
      <c r="FG32" s="66">
        <v>28888.65</v>
      </c>
      <c r="FH32" s="44">
        <f t="shared" si="55"/>
        <v>46.195697829886875</v>
      </c>
      <c r="FI32" s="61"/>
    </row>
    <row r="33" spans="4:153" x14ac:dyDescent="0.5">
      <c r="D33" s="97"/>
      <c r="L33" s="97"/>
      <c r="T33" s="97"/>
      <c r="AB33" s="97"/>
      <c r="AJ33" s="97"/>
      <c r="AR33" s="97"/>
      <c r="EN33" s="97"/>
      <c r="EW33" s="97"/>
    </row>
  </sheetData>
  <phoneticPr fontId="10" type="noConversion"/>
  <pageMargins left="0.55118110236220474" right="0.35433070866141736" top="0.98425196850393704" bottom="0.98425196850393704" header="0.51181102362204722" footer="0.51181102362204722"/>
  <pageSetup paperSize="9" scale="107" orientation="portrait" r:id="rId1"/>
  <headerFooter alignWithMargins="0"/>
  <rowBreaks count="1" manualBreakCount="1">
    <brk id="32" max="7" man="1"/>
  </rowBreaks>
  <colBreaks count="1" manualBreakCount="1">
    <brk id="64" max="2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Q33"/>
  <sheetViews>
    <sheetView view="pageBreakPreview" topLeftCell="A16" zoomScaleNormal="100" zoomScaleSheetLayoutView="100" workbookViewId="0">
      <selection activeCell="D2" sqref="D2:D18"/>
    </sheetView>
  </sheetViews>
  <sheetFormatPr defaultRowHeight="21.75" x14ac:dyDescent="0.5"/>
  <cols>
    <col min="2" max="2" width="21.5703125" customWidth="1"/>
    <col min="10" max="10" width="21.5703125" customWidth="1"/>
    <col min="18" max="18" width="20.7109375" customWidth="1"/>
    <col min="26" max="26" width="21.85546875" customWidth="1"/>
    <col min="34" max="34" width="23.140625" customWidth="1"/>
    <col min="42" max="42" width="25.85546875" customWidth="1"/>
    <col min="47" max="47" width="9" customWidth="1"/>
    <col min="52" max="52" width="23.140625" customWidth="1"/>
    <col min="62" max="62" width="21.28515625" customWidth="1"/>
    <col min="80" max="80" width="12.42578125" customWidth="1"/>
    <col min="82" max="82" width="10.28515625" bestFit="1" customWidth="1"/>
    <col min="84" max="84" width="11" bestFit="1" customWidth="1"/>
    <col min="85" max="85" width="11.28515625" customWidth="1"/>
    <col min="87" max="87" width="9.140625" customWidth="1"/>
    <col min="89" max="89" width="12.42578125" customWidth="1"/>
    <col min="96" max="96" width="9.140625" customWidth="1"/>
    <col min="98" max="98" width="12.42578125" customWidth="1"/>
    <col min="105" max="105" width="9.140625" customWidth="1"/>
    <col min="107" max="107" width="12.42578125" customWidth="1"/>
    <col min="114" max="114" width="9.140625" customWidth="1"/>
    <col min="116" max="116" width="12.42578125" customWidth="1"/>
    <col min="123" max="123" width="9.140625" customWidth="1"/>
    <col min="125" max="125" width="12.42578125" customWidth="1"/>
    <col min="132" max="132" width="9.140625" customWidth="1"/>
    <col min="134" max="134" width="12.42578125" customWidth="1"/>
    <col min="141" max="141" width="9.140625" customWidth="1"/>
  </cols>
  <sheetData>
    <row r="1" spans="1:173" x14ac:dyDescent="0.5">
      <c r="C1" s="62" t="s">
        <v>875</v>
      </c>
      <c r="K1" s="62" t="s">
        <v>835</v>
      </c>
      <c r="S1" s="62" t="s">
        <v>785</v>
      </c>
      <c r="AA1" s="62" t="s">
        <v>782</v>
      </c>
      <c r="AI1" s="62" t="s">
        <v>693</v>
      </c>
      <c r="AQ1" s="62" t="s">
        <v>647</v>
      </c>
      <c r="AY1" s="62" t="s">
        <v>599</v>
      </c>
      <c r="BI1" s="62" t="s">
        <v>605</v>
      </c>
      <c r="BR1" s="62" t="s">
        <v>509</v>
      </c>
      <c r="CB1" s="62" t="s">
        <v>449</v>
      </c>
      <c r="CJ1" t="s">
        <v>398</v>
      </c>
      <c r="CT1" t="s">
        <v>357</v>
      </c>
      <c r="DC1" t="s">
        <v>304</v>
      </c>
      <c r="DL1" t="s">
        <v>266</v>
      </c>
      <c r="DU1" t="s">
        <v>187</v>
      </c>
      <c r="ED1" t="s">
        <v>153</v>
      </c>
      <c r="EM1" t="s">
        <v>108</v>
      </c>
      <c r="EV1" t="s">
        <v>68</v>
      </c>
      <c r="FD1" s="33" t="s">
        <v>22</v>
      </c>
      <c r="FK1" s="33" t="s">
        <v>24</v>
      </c>
    </row>
    <row r="2" spans="1:173" x14ac:dyDescent="0.5">
      <c r="A2" s="257"/>
      <c r="B2" s="257"/>
      <c r="C2" s="323" t="s">
        <v>873</v>
      </c>
      <c r="D2" s="323" t="s">
        <v>876</v>
      </c>
      <c r="E2" s="262" t="s">
        <v>3</v>
      </c>
      <c r="F2" s="323" t="s">
        <v>836</v>
      </c>
      <c r="G2" s="323" t="s">
        <v>876</v>
      </c>
      <c r="H2" s="262" t="s">
        <v>3</v>
      </c>
      <c r="I2" s="257"/>
      <c r="J2" s="257"/>
      <c r="K2" s="323" t="s">
        <v>833</v>
      </c>
      <c r="L2" s="323" t="s">
        <v>836</v>
      </c>
      <c r="M2" s="262" t="s">
        <v>3</v>
      </c>
      <c r="N2" s="323" t="s">
        <v>784</v>
      </c>
      <c r="O2" s="323" t="s">
        <v>836</v>
      </c>
      <c r="P2" s="262" t="s">
        <v>3</v>
      </c>
      <c r="Q2" s="257"/>
      <c r="R2" s="257"/>
      <c r="S2" s="323" t="s">
        <v>781</v>
      </c>
      <c r="T2" s="323" t="s">
        <v>784</v>
      </c>
      <c r="U2" s="262" t="s">
        <v>3</v>
      </c>
      <c r="V2" s="323" t="s">
        <v>738</v>
      </c>
      <c r="W2" s="323" t="s">
        <v>784</v>
      </c>
      <c r="X2" s="262" t="s">
        <v>3</v>
      </c>
      <c r="Y2" s="257"/>
      <c r="Z2" s="257"/>
      <c r="AA2" s="323" t="s">
        <v>737</v>
      </c>
      <c r="AB2" s="323" t="s">
        <v>738</v>
      </c>
      <c r="AC2" s="262" t="s">
        <v>3</v>
      </c>
      <c r="AD2" s="323" t="s">
        <v>695</v>
      </c>
      <c r="AE2" s="323" t="s">
        <v>738</v>
      </c>
      <c r="AF2" s="262" t="s">
        <v>3</v>
      </c>
      <c r="AG2" s="257"/>
      <c r="AH2" s="257"/>
      <c r="AI2" s="323" t="s">
        <v>691</v>
      </c>
      <c r="AJ2" s="323" t="s">
        <v>695</v>
      </c>
      <c r="AK2" s="262" t="s">
        <v>3</v>
      </c>
      <c r="AL2" s="323" t="s">
        <v>649</v>
      </c>
      <c r="AM2" s="323" t="s">
        <v>695</v>
      </c>
      <c r="AN2" s="262" t="s">
        <v>3</v>
      </c>
      <c r="AO2" s="257"/>
      <c r="AP2" s="257"/>
      <c r="AQ2" s="323" t="s">
        <v>646</v>
      </c>
      <c r="AR2" s="323" t="s">
        <v>649</v>
      </c>
      <c r="AS2" s="262" t="s">
        <v>3</v>
      </c>
      <c r="AT2" s="323" t="s">
        <v>598</v>
      </c>
      <c r="AU2" s="323" t="s">
        <v>649</v>
      </c>
      <c r="AV2" s="262" t="s">
        <v>3</v>
      </c>
      <c r="AW2" s="257"/>
      <c r="AX2" s="257"/>
      <c r="AY2" s="323" t="s">
        <v>596</v>
      </c>
      <c r="AZ2" s="323" t="s">
        <v>598</v>
      </c>
      <c r="BA2" s="262" t="s">
        <v>3</v>
      </c>
      <c r="BB2" s="323" t="s">
        <v>555</v>
      </c>
      <c r="BC2" s="323" t="s">
        <v>598</v>
      </c>
      <c r="BD2" s="262" t="s">
        <v>3</v>
      </c>
      <c r="BE2" s="262"/>
      <c r="BF2" s="257"/>
      <c r="BG2" s="257"/>
      <c r="BH2" s="257"/>
      <c r="BI2" s="323" t="s">
        <v>606</v>
      </c>
      <c r="BJ2" s="323" t="s">
        <v>555</v>
      </c>
      <c r="BK2" s="262" t="s">
        <v>3</v>
      </c>
      <c r="BL2" s="323" t="s">
        <v>508</v>
      </c>
      <c r="BM2" s="323" t="s">
        <v>555</v>
      </c>
      <c r="BN2" s="262" t="s">
        <v>3</v>
      </c>
      <c r="BO2" s="257"/>
      <c r="BQ2" s="257"/>
      <c r="BR2" s="323" t="s">
        <v>507</v>
      </c>
      <c r="BS2" s="323" t="s">
        <v>508</v>
      </c>
      <c r="BT2" s="262" t="s">
        <v>3</v>
      </c>
      <c r="BU2" s="323" t="s">
        <v>452</v>
      </c>
      <c r="BV2" s="323" t="s">
        <v>508</v>
      </c>
      <c r="BW2" s="262" t="s">
        <v>3</v>
      </c>
      <c r="BX2" s="257"/>
      <c r="BZ2" s="257"/>
      <c r="CA2" s="257"/>
      <c r="CB2" s="323" t="s">
        <v>451</v>
      </c>
      <c r="CC2" s="323" t="s">
        <v>452</v>
      </c>
      <c r="CD2" s="262" t="s">
        <v>3</v>
      </c>
      <c r="CE2" s="323" t="s">
        <v>453</v>
      </c>
      <c r="CF2" s="323" t="s">
        <v>452</v>
      </c>
      <c r="CG2" s="262" t="s">
        <v>3</v>
      </c>
      <c r="CH2" s="257"/>
      <c r="CI2" s="257"/>
      <c r="CJ2" s="259" t="s">
        <v>397</v>
      </c>
      <c r="CK2" s="259" t="s">
        <v>399</v>
      </c>
      <c r="CL2" s="257" t="s">
        <v>3</v>
      </c>
      <c r="CM2" s="259" t="s">
        <v>359</v>
      </c>
      <c r="CN2" s="259" t="s">
        <v>399</v>
      </c>
      <c r="CO2" s="257" t="s">
        <v>3</v>
      </c>
      <c r="CP2" s="257"/>
      <c r="CQ2" s="62"/>
      <c r="CR2" s="257"/>
      <c r="CS2" s="257"/>
      <c r="CT2" s="259" t="s">
        <v>355</v>
      </c>
      <c r="CU2" s="259" t="s">
        <v>359</v>
      </c>
      <c r="CV2" s="257" t="s">
        <v>3</v>
      </c>
      <c r="CW2" s="259" t="s">
        <v>305</v>
      </c>
      <c r="CX2" s="259" t="s">
        <v>359</v>
      </c>
      <c r="CY2" s="257" t="s">
        <v>3</v>
      </c>
      <c r="CZ2" s="62"/>
      <c r="DA2" s="236"/>
      <c r="DB2" s="236"/>
      <c r="DC2" s="237" t="s">
        <v>301</v>
      </c>
      <c r="DD2" s="237" t="s">
        <v>305</v>
      </c>
      <c r="DE2" s="236" t="s">
        <v>3</v>
      </c>
      <c r="DF2" s="237" t="s">
        <v>267</v>
      </c>
      <c r="DG2" s="237" t="s">
        <v>306</v>
      </c>
      <c r="DH2" s="236" t="s">
        <v>3</v>
      </c>
      <c r="DI2" s="62"/>
      <c r="DJ2" s="98"/>
      <c r="DK2" s="98"/>
      <c r="DL2" s="143" t="s">
        <v>265</v>
      </c>
      <c r="DM2" s="143" t="s">
        <v>224</v>
      </c>
      <c r="DN2" s="98" t="s">
        <v>3</v>
      </c>
      <c r="DO2" s="145" t="s">
        <v>224</v>
      </c>
      <c r="DP2" s="143" t="s">
        <v>267</v>
      </c>
      <c r="DQ2" s="98" t="s">
        <v>3</v>
      </c>
      <c r="DR2" s="62"/>
      <c r="DS2" s="118"/>
      <c r="DT2" s="118"/>
      <c r="DU2" s="119" t="s">
        <v>186</v>
      </c>
      <c r="DV2" s="119" t="s">
        <v>189</v>
      </c>
      <c r="DW2" s="118" t="s">
        <v>3</v>
      </c>
      <c r="DX2" s="119" t="s">
        <v>151</v>
      </c>
      <c r="DY2" s="119" t="s">
        <v>189</v>
      </c>
      <c r="DZ2" s="118" t="s">
        <v>3</v>
      </c>
      <c r="EA2" s="62"/>
      <c r="EB2" s="98"/>
      <c r="EC2" s="98"/>
      <c r="ED2" s="99" t="s">
        <v>150</v>
      </c>
      <c r="EE2" s="99" t="s">
        <v>151</v>
      </c>
      <c r="EF2" s="98" t="s">
        <v>3</v>
      </c>
      <c r="EG2" s="99" t="s">
        <v>150</v>
      </c>
      <c r="EH2" s="99" t="s">
        <v>151</v>
      </c>
      <c r="EI2" s="98" t="s">
        <v>3</v>
      </c>
      <c r="EJ2" s="62"/>
      <c r="EK2" s="84"/>
      <c r="EL2" s="84"/>
      <c r="EM2" s="85" t="s">
        <v>106</v>
      </c>
      <c r="EN2" s="85" t="s">
        <v>110</v>
      </c>
      <c r="EO2" s="84" t="s">
        <v>3</v>
      </c>
      <c r="EP2" s="85" t="s">
        <v>111</v>
      </c>
      <c r="EQ2" s="85" t="s">
        <v>110</v>
      </c>
      <c r="ER2" s="84" t="s">
        <v>3</v>
      </c>
      <c r="ES2" s="62"/>
      <c r="ET2" s="54"/>
      <c r="EU2" s="54"/>
      <c r="EV2" s="55">
        <v>18415</v>
      </c>
      <c r="EW2" s="55">
        <v>18445</v>
      </c>
      <c r="EX2" s="54" t="s">
        <v>3</v>
      </c>
      <c r="EY2" s="55">
        <v>18080</v>
      </c>
      <c r="EZ2" s="55">
        <v>18445</v>
      </c>
      <c r="FA2" s="54" t="s">
        <v>3</v>
      </c>
      <c r="FB2" s="62"/>
      <c r="FC2" s="29"/>
      <c r="FD2" s="30">
        <v>18050</v>
      </c>
      <c r="FE2" s="30">
        <v>18080</v>
      </c>
      <c r="FF2" s="29" t="s">
        <v>3</v>
      </c>
      <c r="FG2" s="30">
        <v>17715</v>
      </c>
      <c r="FH2" s="30">
        <v>18080</v>
      </c>
      <c r="FI2" s="29" t="s">
        <v>3</v>
      </c>
      <c r="FK2" s="38"/>
      <c r="FL2" s="39">
        <v>17685</v>
      </c>
      <c r="FM2" s="39">
        <v>17715</v>
      </c>
      <c r="FN2" s="38" t="s">
        <v>3</v>
      </c>
      <c r="FO2" s="39">
        <v>17349</v>
      </c>
      <c r="FP2" s="39">
        <v>17715</v>
      </c>
      <c r="FQ2" s="38" t="s">
        <v>3</v>
      </c>
    </row>
    <row r="3" spans="1:173" x14ac:dyDescent="0.5">
      <c r="A3" s="247" t="s">
        <v>0</v>
      </c>
      <c r="B3" s="247"/>
      <c r="C3" s="248">
        <v>176134</v>
      </c>
      <c r="D3" s="248">
        <v>165235</v>
      </c>
      <c r="E3" s="249">
        <f>((D3-C3)/C3)*100</f>
        <v>-6.1879023924966221</v>
      </c>
      <c r="F3" s="248">
        <v>150947</v>
      </c>
      <c r="G3" s="248">
        <v>165235</v>
      </c>
      <c r="H3" s="249">
        <f>((G3-F3)/F3)*100</f>
        <v>9.465574009420525</v>
      </c>
      <c r="I3" s="247" t="s">
        <v>0</v>
      </c>
      <c r="J3" s="247"/>
      <c r="K3" s="248">
        <v>207166</v>
      </c>
      <c r="L3" s="248">
        <v>150947</v>
      </c>
      <c r="M3" s="249">
        <f>((L3-K3)/K3)*100</f>
        <v>-27.137175019066834</v>
      </c>
      <c r="N3" s="248">
        <v>170123</v>
      </c>
      <c r="O3" s="248">
        <v>150947</v>
      </c>
      <c r="P3" s="249">
        <f>((O3-N3)/N3)*100</f>
        <v>-11.27184448898738</v>
      </c>
      <c r="Q3" s="247" t="s">
        <v>0</v>
      </c>
      <c r="R3" s="247"/>
      <c r="S3" s="248">
        <v>207166</v>
      </c>
      <c r="T3" s="248">
        <v>170123</v>
      </c>
      <c r="U3" s="249">
        <f>((T3-S3)/S3)*100</f>
        <v>-17.880829865904637</v>
      </c>
      <c r="V3" s="248">
        <v>153170</v>
      </c>
      <c r="W3" s="248">
        <v>170123</v>
      </c>
      <c r="X3" s="249">
        <f>((W3-V3)/V3)*100</f>
        <v>11.068094274335706</v>
      </c>
      <c r="Y3" s="247" t="s">
        <v>0</v>
      </c>
      <c r="Z3" s="247"/>
      <c r="AA3" s="248">
        <v>156540</v>
      </c>
      <c r="AB3" s="248">
        <v>153170</v>
      </c>
      <c r="AC3" s="249">
        <f>((AB3-AA3)/AA3)*100</f>
        <v>-2.1528043950428009</v>
      </c>
      <c r="AD3" s="248">
        <v>83690</v>
      </c>
      <c r="AE3" s="248">
        <v>153170</v>
      </c>
      <c r="AF3" s="249">
        <f>((AE3-AD3)/AD3)*100</f>
        <v>83.02067152586929</v>
      </c>
      <c r="AG3" s="247" t="s">
        <v>0</v>
      </c>
      <c r="AH3" s="247"/>
      <c r="AI3" s="248">
        <v>173721</v>
      </c>
      <c r="AJ3" s="248">
        <v>83690</v>
      </c>
      <c r="AK3" s="249">
        <f>((AJ3-AI3)/AI3)*100</f>
        <v>-51.825052814570491</v>
      </c>
      <c r="AL3" s="248">
        <v>119008</v>
      </c>
      <c r="AM3" s="248">
        <v>83690</v>
      </c>
      <c r="AN3" s="249">
        <f>((AM3-AL3)/AL3)*100</f>
        <v>-29.676996504436676</v>
      </c>
      <c r="AO3" s="247" t="s">
        <v>0</v>
      </c>
      <c r="AP3" s="247"/>
      <c r="AQ3" s="248">
        <v>75819</v>
      </c>
      <c r="AR3" s="248">
        <v>119008</v>
      </c>
      <c r="AS3" s="249">
        <f>((AR3-AQ3)/AQ3)*100</f>
        <v>56.963294161094183</v>
      </c>
      <c r="AT3" s="248">
        <v>156055</v>
      </c>
      <c r="AU3" s="248">
        <v>119008</v>
      </c>
      <c r="AV3" s="249">
        <f>((AU3-AT3)/AT3)*100</f>
        <v>-23.739707154528851</v>
      </c>
      <c r="AW3" s="247" t="s">
        <v>0</v>
      </c>
      <c r="AX3" s="247"/>
      <c r="AY3" s="248">
        <v>158382</v>
      </c>
      <c r="AZ3" s="248">
        <v>156055</v>
      </c>
      <c r="BA3" s="249">
        <f>((AZ3-AY3)/AY3)*100</f>
        <v>-1.4692326148173402</v>
      </c>
      <c r="BB3" s="248">
        <v>172157</v>
      </c>
      <c r="BC3" s="248">
        <v>156055</v>
      </c>
      <c r="BD3" s="249">
        <f>((BC3-BB3)/BB3)*100</f>
        <v>-9.353090492980245</v>
      </c>
      <c r="BE3" s="249"/>
      <c r="BF3" s="249"/>
      <c r="BG3" s="247" t="s">
        <v>0</v>
      </c>
      <c r="BH3" s="247"/>
      <c r="BI3" s="285">
        <v>189832</v>
      </c>
      <c r="BJ3" s="248">
        <v>172157</v>
      </c>
      <c r="BK3" s="249">
        <f>((BJ3-BI3)/BI3)*100</f>
        <v>-9.3108643432087312</v>
      </c>
      <c r="BL3" s="248">
        <v>171526</v>
      </c>
      <c r="BM3" s="248">
        <v>172157</v>
      </c>
      <c r="BN3" s="249">
        <f>((BM3-BL3)/BL3)*100</f>
        <v>0.36787425812996283</v>
      </c>
      <c r="BO3" s="249"/>
      <c r="BQ3" s="247"/>
      <c r="BR3" s="248">
        <v>188389</v>
      </c>
      <c r="BS3" s="248">
        <v>171526</v>
      </c>
      <c r="BT3" s="249">
        <f>((BS3-BR3)/BR3)*100</f>
        <v>-8.9511595687646306</v>
      </c>
      <c r="BU3" s="248">
        <v>142516</v>
      </c>
      <c r="BV3" s="248">
        <v>171526</v>
      </c>
      <c r="BW3" s="249">
        <f t="shared" ref="BW3:BW12" si="0">((BV3-BU3)/BU3)*100</f>
        <v>20.355609194757079</v>
      </c>
      <c r="BX3" s="249"/>
      <c r="BZ3" s="247" t="s">
        <v>0</v>
      </c>
      <c r="CA3" s="247"/>
      <c r="CB3" s="248">
        <v>168245</v>
      </c>
      <c r="CC3" s="248">
        <v>142516</v>
      </c>
      <c r="CD3" s="249">
        <f>((CC3-CB3)/CB3)*100</f>
        <v>-15.292579274272638</v>
      </c>
      <c r="CE3" s="248">
        <v>125941</v>
      </c>
      <c r="CF3" s="248">
        <v>142516</v>
      </c>
      <c r="CG3" s="249">
        <f>((CF3-CE3)/CE3)*100</f>
        <v>13.160924559912976</v>
      </c>
      <c r="CH3" s="249"/>
      <c r="CI3" s="247"/>
      <c r="CJ3" s="248">
        <v>150389</v>
      </c>
      <c r="CK3" s="248">
        <v>125941</v>
      </c>
      <c r="CL3" s="249">
        <f>((CK3-CJ3)/CJ3)*100</f>
        <v>-16.25650812226958</v>
      </c>
      <c r="CM3" s="248">
        <f>SUM(CM4:CM5)</f>
        <v>141309</v>
      </c>
      <c r="CN3" s="248">
        <v>125941</v>
      </c>
      <c r="CO3" s="249">
        <f>((CN3-CM3)/CM3)*100</f>
        <v>-10.875457331097099</v>
      </c>
      <c r="CP3" s="249"/>
      <c r="CQ3" s="73"/>
      <c r="CR3" s="247" t="s">
        <v>0</v>
      </c>
      <c r="CS3" s="247"/>
      <c r="CT3" s="248">
        <f>SUM(CT4:CT5)</f>
        <v>159090</v>
      </c>
      <c r="CU3" s="248">
        <f>SUM(CU4:CU5)</f>
        <v>141309</v>
      </c>
      <c r="CV3" s="249">
        <f>((CU3-CT3)/CT3)*100</f>
        <v>-11.176692438242505</v>
      </c>
      <c r="CW3" s="248">
        <v>196231</v>
      </c>
      <c r="CX3" s="248">
        <v>141309</v>
      </c>
      <c r="CY3" s="249">
        <f>((CX3-CW3)/CW3)*100</f>
        <v>-27.988442193129526</v>
      </c>
      <c r="CZ3" s="73"/>
      <c r="DA3" s="229" t="s">
        <v>0</v>
      </c>
      <c r="DB3" s="229"/>
      <c r="DC3" s="230">
        <f>SUM(DC4:DC5)</f>
        <v>209345</v>
      </c>
      <c r="DD3" s="230">
        <f>SUM(DD4:DD5)</f>
        <v>196231</v>
      </c>
      <c r="DE3" s="231">
        <f>((DD3-DC3)/DC3)*100</f>
        <v>-6.2643005564976466</v>
      </c>
      <c r="DF3" s="230">
        <v>239886</v>
      </c>
      <c r="DG3" s="230">
        <v>196231</v>
      </c>
      <c r="DH3" s="231">
        <f>((DG3-DF3)/DF3)*100</f>
        <v>-18.198227491391744</v>
      </c>
      <c r="DI3" s="73"/>
      <c r="DJ3" s="100" t="s">
        <v>0</v>
      </c>
      <c r="DK3" s="100"/>
      <c r="DL3" s="101">
        <v>231728</v>
      </c>
      <c r="DM3" s="101">
        <f>SUM(DM4:DM5)</f>
        <v>239886</v>
      </c>
      <c r="DN3" s="102">
        <f>((DM3-DL3)/DL3)*100</f>
        <v>3.5205068010771252</v>
      </c>
      <c r="DO3" s="101">
        <f>SUM(DO4:DO5)</f>
        <v>208694</v>
      </c>
      <c r="DP3" s="101">
        <f>SUM(DP4:DP5)</f>
        <v>239886</v>
      </c>
      <c r="DQ3" s="102">
        <f>((DP3-DO3)/DO3)*100</f>
        <v>14.946284991422848</v>
      </c>
      <c r="DR3" s="73"/>
      <c r="DS3" s="120" t="s">
        <v>0</v>
      </c>
      <c r="DT3" s="120"/>
      <c r="DU3" s="121">
        <f>SUM(DU4:DU5)</f>
        <v>201117</v>
      </c>
      <c r="DV3" s="121">
        <f>SUM(DV4:DV5)</f>
        <v>186349</v>
      </c>
      <c r="DW3" s="125">
        <f>((DV3-DU3)/DU3)*100</f>
        <v>-7.3429894041776675</v>
      </c>
      <c r="DX3" s="121">
        <v>135349</v>
      </c>
      <c r="DY3" s="121">
        <f>SUM(DY4:DY5)</f>
        <v>186349</v>
      </c>
      <c r="DZ3" s="125">
        <f>((DY3-DX3)/DX3)*100</f>
        <v>37.680367051104923</v>
      </c>
      <c r="EA3" s="127"/>
      <c r="EB3" s="100" t="s">
        <v>0</v>
      </c>
      <c r="EC3" s="100"/>
      <c r="ED3" s="101">
        <v>126553</v>
      </c>
      <c r="EE3" s="101">
        <f>SUM(EE4:EE5)</f>
        <v>135349</v>
      </c>
      <c r="EF3" s="102">
        <f>((EE3-ED3)/ED3)*100</f>
        <v>6.9504476385387939</v>
      </c>
      <c r="EG3" s="101">
        <f>SUM(EG4:EG5)</f>
        <v>174545</v>
      </c>
      <c r="EH3" s="101">
        <f>SUM(EH4:EH5)</f>
        <v>135349</v>
      </c>
      <c r="EI3" s="102">
        <f>((EH3-EG3)/EG3)*100</f>
        <v>-22.45610014609413</v>
      </c>
      <c r="EJ3" s="73"/>
      <c r="EK3" s="74" t="s">
        <v>0</v>
      </c>
      <c r="EL3" s="74"/>
      <c r="EM3" s="75">
        <f>SUM(EM4:EM5)</f>
        <v>169829</v>
      </c>
      <c r="EN3" s="75">
        <f>SUM(EN4:EN5)</f>
        <v>174545</v>
      </c>
      <c r="EO3" s="76">
        <f>((EN3-EM3)/EM3)*100</f>
        <v>2.776910892721502</v>
      </c>
      <c r="EP3" s="75">
        <f>SUM(EP4:EP5)</f>
        <v>138687</v>
      </c>
      <c r="EQ3" s="75">
        <f>SUM(EQ4:EQ5)</f>
        <v>174545</v>
      </c>
      <c r="ER3" s="76">
        <f>((EQ3-EP3)/EP3)*100</f>
        <v>25.855343327060215</v>
      </c>
      <c r="ES3" s="73"/>
      <c r="ET3" s="63" t="s">
        <v>0</v>
      </c>
      <c r="EU3" s="63"/>
      <c r="EV3" s="64">
        <v>148110</v>
      </c>
      <c r="EW3" s="64">
        <v>138687</v>
      </c>
      <c r="EX3" s="65">
        <f t="shared" ref="EX3:EX18" si="1">(EW3-EV3)/EV3*100</f>
        <v>-6.362163257038687</v>
      </c>
      <c r="EY3" s="64">
        <v>171421</v>
      </c>
      <c r="EZ3" s="64">
        <v>138687</v>
      </c>
      <c r="FA3" s="65">
        <f t="shared" ref="FA3:FA18" si="2">(EZ3-EY3)/EY3*100</f>
        <v>-19.095676725722051</v>
      </c>
      <c r="FB3" s="73"/>
      <c r="FC3" s="24" t="s">
        <v>0</v>
      </c>
      <c r="FD3" s="25">
        <v>186868</v>
      </c>
      <c r="FE3" s="25">
        <v>171421</v>
      </c>
      <c r="FF3" s="32">
        <f>(FE3-FD3)/FD3*100</f>
        <v>-8.2662628165335956</v>
      </c>
      <c r="FG3" s="27">
        <v>191871</v>
      </c>
      <c r="FH3" s="25">
        <v>171421</v>
      </c>
      <c r="FI3" s="32">
        <f>(FH3-FG3)/FG3*100</f>
        <v>-10.658202646569832</v>
      </c>
      <c r="FK3" s="4" t="s">
        <v>0</v>
      </c>
      <c r="FL3" s="5">
        <v>215542</v>
      </c>
      <c r="FM3" s="5">
        <v>191871</v>
      </c>
      <c r="FN3" s="36">
        <f>(FM3-FL3)/FL3*100</f>
        <v>-10.982082378376372</v>
      </c>
      <c r="FO3" s="46">
        <v>248203</v>
      </c>
      <c r="FP3" s="5">
        <v>191871</v>
      </c>
      <c r="FQ3" s="47">
        <f>((FP3-FO3)/FO3)*100</f>
        <v>-22.695938405256989</v>
      </c>
    </row>
    <row r="4" spans="1:173" x14ac:dyDescent="0.5">
      <c r="A4" s="250"/>
      <c r="B4" s="250" t="s">
        <v>444</v>
      </c>
      <c r="C4" s="251">
        <v>150156</v>
      </c>
      <c r="D4" s="251">
        <v>140860</v>
      </c>
      <c r="E4" s="249">
        <f>((D4-C4)/C4)*100</f>
        <v>-6.1908948027384847</v>
      </c>
      <c r="F4" s="251">
        <v>123777</v>
      </c>
      <c r="G4" s="251">
        <v>140860</v>
      </c>
      <c r="H4" s="249">
        <f>((G4-F4)/F4)*100</f>
        <v>13.801433222650411</v>
      </c>
      <c r="I4" s="250"/>
      <c r="J4" s="250" t="s">
        <v>444</v>
      </c>
      <c r="K4" s="251">
        <v>165532</v>
      </c>
      <c r="L4" s="251">
        <v>123777</v>
      </c>
      <c r="M4" s="249">
        <f>((L4-K4)/K4)*100</f>
        <v>-25.224729961578422</v>
      </c>
      <c r="N4" s="251">
        <v>136671</v>
      </c>
      <c r="O4" s="251">
        <v>123777</v>
      </c>
      <c r="P4" s="249">
        <f>((O4-N4)/N4)*100</f>
        <v>-9.4343350088899616</v>
      </c>
      <c r="Q4" s="250"/>
      <c r="R4" s="250" t="s">
        <v>444</v>
      </c>
      <c r="S4" s="251">
        <v>165532</v>
      </c>
      <c r="T4" s="251">
        <v>136671</v>
      </c>
      <c r="U4" s="249">
        <f>((T4-S4)/S4)*100</f>
        <v>-17.435299519126211</v>
      </c>
      <c r="V4" s="251">
        <v>130014</v>
      </c>
      <c r="W4" s="251">
        <v>136671</v>
      </c>
      <c r="X4" s="249">
        <f>((W4-V4)/V4)*100</f>
        <v>5.1202178226960173</v>
      </c>
      <c r="Y4" s="250"/>
      <c r="Z4" s="250" t="s">
        <v>444</v>
      </c>
      <c r="AA4" s="251">
        <v>137756</v>
      </c>
      <c r="AB4" s="251">
        <v>130014</v>
      </c>
      <c r="AC4" s="249">
        <f>((AB4-AA4)/AA4)*100</f>
        <v>-5.6200818839106823</v>
      </c>
      <c r="AD4" s="251">
        <v>58047</v>
      </c>
      <c r="AE4" s="251">
        <v>130014</v>
      </c>
      <c r="AF4" s="249">
        <f>((AE4-AD4)/AD4)*100</f>
        <v>123.98056747118713</v>
      </c>
      <c r="AG4" s="250"/>
      <c r="AH4" s="250" t="s">
        <v>444</v>
      </c>
      <c r="AI4" s="251">
        <v>132573</v>
      </c>
      <c r="AJ4" s="251">
        <v>58047</v>
      </c>
      <c r="AK4" s="249">
        <f>((AJ4-AI4)/AI4)*100</f>
        <v>-56.215066416238599</v>
      </c>
      <c r="AL4" s="251">
        <v>96733</v>
      </c>
      <c r="AM4" s="251">
        <v>58047</v>
      </c>
      <c r="AN4" s="249">
        <f>((AM4-AL4)/AL4)*100</f>
        <v>-39.992556831691353</v>
      </c>
      <c r="AO4" s="250"/>
      <c r="AP4" s="250" t="s">
        <v>444</v>
      </c>
      <c r="AQ4" s="251">
        <v>56714</v>
      </c>
      <c r="AR4" s="251">
        <v>96733</v>
      </c>
      <c r="AS4" s="249">
        <f>((AR4-AQ4)/AQ4)*100</f>
        <v>70.562823994075544</v>
      </c>
      <c r="AT4" s="251">
        <v>78243</v>
      </c>
      <c r="AU4" s="251">
        <v>96733</v>
      </c>
      <c r="AV4" s="249">
        <f>((AU4-AT4)/AT4)*100</f>
        <v>23.631506971869687</v>
      </c>
      <c r="AW4" s="250"/>
      <c r="AX4" s="250" t="s">
        <v>444</v>
      </c>
      <c r="AY4" s="251">
        <v>86634</v>
      </c>
      <c r="AZ4" s="251">
        <v>78243</v>
      </c>
      <c r="BA4" s="249">
        <f>((AZ4-AY4)/AY4)*100</f>
        <v>-9.6855737931989747</v>
      </c>
      <c r="BB4" s="251">
        <v>144754</v>
      </c>
      <c r="BC4" s="251">
        <v>78243</v>
      </c>
      <c r="BD4" s="249">
        <f>((BC4-BB4)/BB4)*100</f>
        <v>-45.947607665418573</v>
      </c>
      <c r="BE4" s="249"/>
      <c r="BF4" s="249"/>
      <c r="BG4" s="250"/>
      <c r="BH4" s="250" t="s">
        <v>444</v>
      </c>
      <c r="BI4" s="348">
        <v>151346</v>
      </c>
      <c r="BJ4" s="349">
        <v>144754</v>
      </c>
      <c r="BK4" s="249">
        <f>((BJ4-BI4)/BI4)*100</f>
        <v>-4.3555825723838097</v>
      </c>
      <c r="BL4" s="349">
        <v>133657</v>
      </c>
      <c r="BM4" s="349">
        <v>144754</v>
      </c>
      <c r="BN4" s="249">
        <f>((BM4-BL4)/BL4)*100</f>
        <v>8.3025954495462262</v>
      </c>
      <c r="BO4" s="249"/>
      <c r="BQ4" s="250" t="s">
        <v>444</v>
      </c>
      <c r="BR4" s="251">
        <v>149929</v>
      </c>
      <c r="BS4" s="251">
        <v>133657</v>
      </c>
      <c r="BT4" s="249">
        <f>((BS4-BR4)/BR4)*100</f>
        <v>-10.853137151585084</v>
      </c>
      <c r="BU4" s="251">
        <v>109821</v>
      </c>
      <c r="BV4" s="251">
        <v>133657</v>
      </c>
      <c r="BW4" s="249">
        <f t="shared" si="0"/>
        <v>21.704409903388242</v>
      </c>
      <c r="BX4" s="249"/>
      <c r="BZ4" s="250"/>
      <c r="CA4" s="250" t="s">
        <v>444</v>
      </c>
      <c r="CB4" s="251">
        <v>135913</v>
      </c>
      <c r="CC4" s="251">
        <v>109821</v>
      </c>
      <c r="CD4" s="249">
        <f>((CC4-CB4)/CB4)*100</f>
        <v>-19.197574919249814</v>
      </c>
      <c r="CE4" s="251">
        <v>101486</v>
      </c>
      <c r="CF4" s="251">
        <v>109821</v>
      </c>
      <c r="CG4" s="249">
        <f>((CF4-CE4)/CE4)*100</f>
        <v>8.2129554815442525</v>
      </c>
      <c r="CH4" s="249"/>
      <c r="CI4" s="250" t="s">
        <v>57</v>
      </c>
      <c r="CJ4" s="251">
        <v>123300</v>
      </c>
      <c r="CK4" s="251">
        <v>101486</v>
      </c>
      <c r="CL4" s="249">
        <f>((CK4-CJ4)/CJ4)*100</f>
        <v>-17.691808596918086</v>
      </c>
      <c r="CM4" s="251">
        <v>113289</v>
      </c>
      <c r="CN4" s="251">
        <v>101486</v>
      </c>
      <c r="CO4" s="249">
        <f>((CN4-CM4)/CM4)*100</f>
        <v>-10.418487231770076</v>
      </c>
      <c r="CP4" s="249"/>
      <c r="CQ4" s="73"/>
      <c r="CR4" s="250"/>
      <c r="CS4" s="250" t="s">
        <v>57</v>
      </c>
      <c r="CT4" s="251">
        <v>128148</v>
      </c>
      <c r="CU4" s="251">
        <v>113289</v>
      </c>
      <c r="CV4" s="249">
        <f>((CU4-CT4)/CT4)*100</f>
        <v>-11.595186815244872</v>
      </c>
      <c r="CW4" s="251">
        <v>166792</v>
      </c>
      <c r="CX4" s="251">
        <v>113289</v>
      </c>
      <c r="CY4" s="249">
        <f>((CX4-CW4)/CW4)*100</f>
        <v>-32.077677586454982</v>
      </c>
      <c r="CZ4" s="73"/>
      <c r="DA4" s="232"/>
      <c r="DB4" s="232" t="s">
        <v>57</v>
      </c>
      <c r="DC4" s="233">
        <v>178902</v>
      </c>
      <c r="DD4" s="233">
        <v>166792</v>
      </c>
      <c r="DE4" s="231">
        <f t="shared" ref="DE4:DE18" si="3">((DD4-DC4)/DC4)*100</f>
        <v>-6.7690690992834064</v>
      </c>
      <c r="DF4" s="233">
        <v>218183</v>
      </c>
      <c r="DG4" s="233">
        <v>166792</v>
      </c>
      <c r="DH4" s="231">
        <f t="shared" ref="DH4:DH18" si="4">((DG4-DF4)/DF4)*100</f>
        <v>-23.554080748729277</v>
      </c>
      <c r="DI4" s="73"/>
      <c r="DJ4" s="103"/>
      <c r="DK4" s="103" t="s">
        <v>57</v>
      </c>
      <c r="DL4" s="104">
        <v>210313</v>
      </c>
      <c r="DM4" s="104">
        <v>218183</v>
      </c>
      <c r="DN4" s="102">
        <f t="shared" ref="DN4:DN18" si="5">((DM4-DL4)/DL4)*100</f>
        <v>3.7420416236751888</v>
      </c>
      <c r="DO4" s="104">
        <v>194092</v>
      </c>
      <c r="DP4" s="104">
        <v>218183</v>
      </c>
      <c r="DQ4" s="102">
        <f t="shared" ref="DQ4:DQ18" si="6">((DP4-DO4)/DO4)*100</f>
        <v>12.412155060486779</v>
      </c>
      <c r="DR4" s="73"/>
      <c r="DS4" s="24"/>
      <c r="DT4" s="24" t="s">
        <v>57</v>
      </c>
      <c r="DU4" s="123">
        <v>195829</v>
      </c>
      <c r="DV4" s="123">
        <v>178832</v>
      </c>
      <c r="DW4" s="128">
        <f t="shared" ref="DW4:DW18" si="7">((DV4-DU4)/DU4)*100</f>
        <v>-8.6795112062054134</v>
      </c>
      <c r="DX4" s="123">
        <v>128847</v>
      </c>
      <c r="DY4" s="123">
        <v>178832</v>
      </c>
      <c r="DZ4" s="128">
        <f t="shared" ref="DZ4:DZ18" si="8">((DY4-DX4)/DX4)*100</f>
        <v>38.794073591158508</v>
      </c>
      <c r="EA4" s="130"/>
      <c r="EB4" s="103"/>
      <c r="EC4" s="103" t="s">
        <v>57</v>
      </c>
      <c r="ED4" s="104">
        <v>121936</v>
      </c>
      <c r="EE4" s="104">
        <v>128847</v>
      </c>
      <c r="EF4" s="102">
        <f t="shared" ref="EF4:EF18" si="9">((EE4-ED4)/ED4)*100</f>
        <v>5.6677273323710802</v>
      </c>
      <c r="EG4" s="104">
        <v>164364</v>
      </c>
      <c r="EH4" s="104">
        <v>128847</v>
      </c>
      <c r="EI4" s="102">
        <f t="shared" ref="EI4:EI18" si="10">((EH4-EG4)/EG4)*100</f>
        <v>-21.608746440826458</v>
      </c>
      <c r="EJ4" s="73"/>
      <c r="EK4" s="77"/>
      <c r="EL4" s="77" t="s">
        <v>57</v>
      </c>
      <c r="EM4" s="78">
        <v>160066</v>
      </c>
      <c r="EN4" s="78">
        <v>164364</v>
      </c>
      <c r="EO4" s="79">
        <f t="shared" ref="EO4:EO18" si="11">((EN4-EM4)/EM4)*100</f>
        <v>2.6851423787687576</v>
      </c>
      <c r="EP4" s="80">
        <v>132720</v>
      </c>
      <c r="EQ4" s="78">
        <v>164364</v>
      </c>
      <c r="ER4" s="79">
        <f t="shared" ref="ER4:ER18" si="12">((EQ4-EP4)/EP4)*100</f>
        <v>23.842676311030743</v>
      </c>
      <c r="ES4" s="61"/>
      <c r="ET4" s="42"/>
      <c r="EU4" s="42" t="s">
        <v>57</v>
      </c>
      <c r="EV4" s="43">
        <v>141667</v>
      </c>
      <c r="EW4" s="43">
        <v>132720</v>
      </c>
      <c r="EX4" s="44">
        <f t="shared" si="1"/>
        <v>-6.3155145517304669</v>
      </c>
      <c r="EY4" s="45">
        <v>164389</v>
      </c>
      <c r="EZ4" s="43">
        <v>132720</v>
      </c>
      <c r="FA4" s="44">
        <f t="shared" si="2"/>
        <v>-19.264670993801289</v>
      </c>
      <c r="FB4" s="61"/>
      <c r="FC4" s="24" t="s">
        <v>1</v>
      </c>
      <c r="FD4" s="25">
        <v>187448</v>
      </c>
      <c r="FE4" s="25">
        <v>162973</v>
      </c>
      <c r="FF4" s="32">
        <f>(FE4-FD4)/FD4*100</f>
        <v>-13.056954462037471</v>
      </c>
      <c r="FG4" s="27">
        <v>168596</v>
      </c>
      <c r="FH4" s="25">
        <v>162973</v>
      </c>
      <c r="FI4" s="32">
        <f>(FH4-FG4)/FG4*100</f>
        <v>-3.335191819497497</v>
      </c>
      <c r="FK4" s="4" t="s">
        <v>1</v>
      </c>
      <c r="FL4" s="5">
        <v>183058</v>
      </c>
      <c r="FM4" s="5">
        <v>168596</v>
      </c>
      <c r="FN4" s="36">
        <f>(FM4-FL4)/FL4*100</f>
        <v>-7.9002283429295632</v>
      </c>
      <c r="FO4" s="37">
        <v>161232</v>
      </c>
      <c r="FP4" s="5">
        <v>168596</v>
      </c>
      <c r="FQ4" s="47">
        <f>((FP4-FO4)/FO4)*100</f>
        <v>4.5673315470874272</v>
      </c>
    </row>
    <row r="5" spans="1:173" x14ac:dyDescent="0.5">
      <c r="A5" s="250"/>
      <c r="B5" s="250" t="s">
        <v>58</v>
      </c>
      <c r="C5" s="251">
        <v>23358</v>
      </c>
      <c r="D5" s="289">
        <v>20895</v>
      </c>
      <c r="E5" s="249">
        <f>((D5-C5)/C5)*100</f>
        <v>-10.544567171846905</v>
      </c>
      <c r="F5" s="289">
        <v>23212</v>
      </c>
      <c r="G5" s="251">
        <v>20895</v>
      </c>
      <c r="H5" s="249">
        <f>((G5-F5)/F5)*100</f>
        <v>-9.9819059107358257</v>
      </c>
      <c r="I5" s="250"/>
      <c r="J5" s="250" t="s">
        <v>58</v>
      </c>
      <c r="K5" s="251">
        <v>41634</v>
      </c>
      <c r="L5" s="289">
        <v>23212</v>
      </c>
      <c r="M5" s="249">
        <f>((L5-K5)/K5)*100</f>
        <v>-44.247490032185233</v>
      </c>
      <c r="N5" s="289">
        <v>33452</v>
      </c>
      <c r="O5" s="251">
        <v>23212</v>
      </c>
      <c r="P5" s="249">
        <f>((O5-N5)/N5)*100</f>
        <v>-30.611024751883299</v>
      </c>
      <c r="Q5" s="250"/>
      <c r="R5" s="250" t="s">
        <v>58</v>
      </c>
      <c r="S5" s="251">
        <v>41634</v>
      </c>
      <c r="T5" s="289">
        <v>33452</v>
      </c>
      <c r="U5" s="249">
        <f>((T5-S5)/S5)*100</f>
        <v>-19.652207330547149</v>
      </c>
      <c r="V5" s="251">
        <v>23156</v>
      </c>
      <c r="W5" s="251">
        <v>33452</v>
      </c>
      <c r="X5" s="249">
        <f>((W5-V5)/V5)*100</f>
        <v>44.463637934012787</v>
      </c>
      <c r="Y5" s="250"/>
      <c r="Z5" s="250" t="s">
        <v>58</v>
      </c>
      <c r="AA5" s="251">
        <v>18784</v>
      </c>
      <c r="AB5" s="289">
        <v>23156</v>
      </c>
      <c r="AC5" s="249">
        <f>((AB5-AA5)/AA5)*100</f>
        <v>23.275127768313457</v>
      </c>
      <c r="AD5" s="251">
        <v>25643</v>
      </c>
      <c r="AE5" s="251">
        <v>23156</v>
      </c>
      <c r="AF5" s="249">
        <f>((AE5-AD5)/AD5)*100</f>
        <v>-9.6985532114027215</v>
      </c>
      <c r="AG5" s="250"/>
      <c r="AH5" s="250" t="s">
        <v>58</v>
      </c>
      <c r="AI5" s="251">
        <v>41148</v>
      </c>
      <c r="AJ5" s="289">
        <v>25643</v>
      </c>
      <c r="AK5" s="249">
        <f>((AJ5-AI5)/AI5)*100</f>
        <v>-37.681053757169245</v>
      </c>
      <c r="AL5" s="251">
        <v>22275</v>
      </c>
      <c r="AM5" s="251">
        <v>25643</v>
      </c>
      <c r="AN5" s="249">
        <f>((AM5-AL5)/AL5)*100</f>
        <v>15.120089786756452</v>
      </c>
      <c r="AO5" s="250"/>
      <c r="AP5" s="250" t="s">
        <v>58</v>
      </c>
      <c r="AQ5" s="251">
        <v>19105</v>
      </c>
      <c r="AR5" s="251">
        <v>22275</v>
      </c>
      <c r="AS5" s="249">
        <f>((AR5-AQ5)/AQ5)*100</f>
        <v>16.592515048416644</v>
      </c>
      <c r="AT5" s="251">
        <v>51010</v>
      </c>
      <c r="AU5" s="251">
        <v>22275</v>
      </c>
      <c r="AV5" s="249">
        <f>((AU5-AT5)/AT5)*100</f>
        <v>-56.33209174671633</v>
      </c>
      <c r="AW5" s="250"/>
      <c r="AX5" s="250" t="s">
        <v>58</v>
      </c>
      <c r="AY5" s="251">
        <v>44786</v>
      </c>
      <c r="AZ5" s="251">
        <v>51010</v>
      </c>
      <c r="BA5" s="249">
        <f>((AZ5-AY5)/AY5)*100</f>
        <v>13.897200017862724</v>
      </c>
      <c r="BB5" s="251">
        <v>27403</v>
      </c>
      <c r="BC5" s="251">
        <v>51010</v>
      </c>
      <c r="BD5" s="249">
        <f>((BC5-BB5)/BB5)*100</f>
        <v>86.147502098310397</v>
      </c>
      <c r="BE5" s="249"/>
      <c r="BF5" s="249"/>
      <c r="BG5" s="250"/>
      <c r="BH5" s="250" t="s">
        <v>58</v>
      </c>
      <c r="BI5" s="348">
        <v>38486</v>
      </c>
      <c r="BJ5" s="349">
        <v>27403</v>
      </c>
      <c r="BK5" s="249">
        <f>((BJ5-BI5)/BI5)*100</f>
        <v>-28.797484799667412</v>
      </c>
      <c r="BL5" s="349">
        <v>37869</v>
      </c>
      <c r="BM5" s="349">
        <v>27403</v>
      </c>
      <c r="BN5" s="249">
        <f>((BM5-BL5)/BL5)*100</f>
        <v>-27.637381499379437</v>
      </c>
      <c r="BO5" s="249"/>
      <c r="BQ5" s="250" t="s">
        <v>58</v>
      </c>
      <c r="BR5" s="251">
        <v>38460</v>
      </c>
      <c r="BS5" s="251">
        <v>37869</v>
      </c>
      <c r="BT5" s="249">
        <f>((BS5-BR5)/BR5)*100</f>
        <v>-1.5366614664586582</v>
      </c>
      <c r="BU5" s="251">
        <v>32695</v>
      </c>
      <c r="BV5" s="251">
        <v>37869</v>
      </c>
      <c r="BW5" s="249">
        <f t="shared" si="0"/>
        <v>15.825049701789265</v>
      </c>
      <c r="BX5" s="249"/>
      <c r="BZ5" s="250"/>
      <c r="CA5" s="250" t="s">
        <v>58</v>
      </c>
      <c r="CB5" s="251">
        <v>32332</v>
      </c>
      <c r="CC5" s="251">
        <v>32695</v>
      </c>
      <c r="CD5" s="249">
        <f>((CC5-CB5)/CB5)*100</f>
        <v>1.1227267103798093</v>
      </c>
      <c r="CE5" s="251">
        <v>24455</v>
      </c>
      <c r="CF5" s="251">
        <v>32695</v>
      </c>
      <c r="CG5" s="249">
        <f>((CF5-CE5)/CE5)*100</f>
        <v>33.694540993661825</v>
      </c>
      <c r="CH5" s="249"/>
      <c r="CI5" s="250" t="s">
        <v>58</v>
      </c>
      <c r="CJ5" s="251">
        <v>27089</v>
      </c>
      <c r="CK5" s="251">
        <v>24455</v>
      </c>
      <c r="CL5" s="249">
        <f>((CK5-CJ5)/CJ5)*100</f>
        <v>-9.7235040053158119</v>
      </c>
      <c r="CM5" s="251">
        <v>28020</v>
      </c>
      <c r="CN5" s="251">
        <v>24455</v>
      </c>
      <c r="CO5" s="249">
        <f>((CN5-CM5)/CM5)*100</f>
        <v>-12.723054960742328</v>
      </c>
      <c r="CP5" s="249"/>
      <c r="CQ5" s="73"/>
      <c r="CR5" s="250"/>
      <c r="CS5" s="250" t="s">
        <v>58</v>
      </c>
      <c r="CT5" s="251">
        <v>30942</v>
      </c>
      <c r="CU5" s="251">
        <v>28020</v>
      </c>
      <c r="CV5" s="249">
        <f>((CU5-CT5)/CT5)*100</f>
        <v>-9.4434748885010666</v>
      </c>
      <c r="CW5" s="251">
        <v>29439</v>
      </c>
      <c r="CX5" s="251">
        <v>28020</v>
      </c>
      <c r="CY5" s="249">
        <f>((CX5-CW5)/CW5)*100</f>
        <v>-4.8201365535514116</v>
      </c>
      <c r="CZ5" s="73"/>
      <c r="DA5" s="232"/>
      <c r="DB5" s="232" t="s">
        <v>58</v>
      </c>
      <c r="DC5" s="233">
        <v>30443</v>
      </c>
      <c r="DD5" s="233">
        <v>29439</v>
      </c>
      <c r="DE5" s="231">
        <f t="shared" si="3"/>
        <v>-3.297966691850343</v>
      </c>
      <c r="DF5" s="233">
        <v>21703</v>
      </c>
      <c r="DG5" s="233">
        <v>29439</v>
      </c>
      <c r="DH5" s="231">
        <f t="shared" si="4"/>
        <v>35.64484172695019</v>
      </c>
      <c r="DI5" s="73"/>
      <c r="DJ5" s="103"/>
      <c r="DK5" s="103" t="s">
        <v>58</v>
      </c>
      <c r="DL5" s="104">
        <v>21415</v>
      </c>
      <c r="DM5" s="104">
        <v>21703</v>
      </c>
      <c r="DN5" s="102">
        <f t="shared" si="5"/>
        <v>1.3448517394349755</v>
      </c>
      <c r="DO5" s="104">
        <v>14602</v>
      </c>
      <c r="DP5" s="104">
        <v>21703</v>
      </c>
      <c r="DQ5" s="102">
        <f t="shared" si="6"/>
        <v>48.630324613066705</v>
      </c>
      <c r="DR5" s="73"/>
      <c r="DS5" s="24"/>
      <c r="DT5" s="24" t="s">
        <v>58</v>
      </c>
      <c r="DU5" s="123">
        <v>5288</v>
      </c>
      <c r="DV5" s="123">
        <v>7517</v>
      </c>
      <c r="DW5" s="128">
        <f t="shared" si="7"/>
        <v>42.152042360060513</v>
      </c>
      <c r="DX5" s="123">
        <v>6502</v>
      </c>
      <c r="DY5" s="123">
        <v>7517</v>
      </c>
      <c r="DZ5" s="128">
        <f t="shared" si="8"/>
        <v>15.610581359581669</v>
      </c>
      <c r="EA5" s="130"/>
      <c r="EB5" s="103"/>
      <c r="EC5" s="103" t="s">
        <v>58</v>
      </c>
      <c r="ED5" s="104">
        <v>4617</v>
      </c>
      <c r="EE5" s="104">
        <v>6502</v>
      </c>
      <c r="EF5" s="102">
        <f t="shared" si="9"/>
        <v>40.827377084687029</v>
      </c>
      <c r="EG5" s="104">
        <v>10181</v>
      </c>
      <c r="EH5" s="104">
        <v>6502</v>
      </c>
      <c r="EI5" s="102">
        <f t="shared" si="10"/>
        <v>-36.135939495138004</v>
      </c>
      <c r="EJ5" s="73"/>
      <c r="EK5" s="77"/>
      <c r="EL5" s="77" t="s">
        <v>58</v>
      </c>
      <c r="EM5" s="78">
        <v>9763</v>
      </c>
      <c r="EN5" s="78">
        <v>10181</v>
      </c>
      <c r="EO5" s="79">
        <f t="shared" si="11"/>
        <v>4.2814708593669977</v>
      </c>
      <c r="EP5" s="80">
        <v>5967</v>
      </c>
      <c r="EQ5" s="78">
        <v>10181</v>
      </c>
      <c r="ER5" s="79">
        <f t="shared" si="12"/>
        <v>70.621752974694147</v>
      </c>
      <c r="ES5" s="61"/>
      <c r="ET5" s="42"/>
      <c r="EU5" s="42" t="s">
        <v>58</v>
      </c>
      <c r="EV5" s="43">
        <v>6443</v>
      </c>
      <c r="EW5" s="43">
        <v>5967</v>
      </c>
      <c r="EX5" s="44">
        <f t="shared" si="1"/>
        <v>-7.3878627968337733</v>
      </c>
      <c r="EY5" s="45">
        <v>7032</v>
      </c>
      <c r="EZ5" s="43">
        <v>5967</v>
      </c>
      <c r="FA5" s="44">
        <f t="shared" si="2"/>
        <v>-15.145051194539249</v>
      </c>
      <c r="FB5" s="61"/>
      <c r="FC5" s="24" t="s">
        <v>2</v>
      </c>
      <c r="FD5" s="25">
        <v>8482</v>
      </c>
      <c r="FE5" s="25">
        <v>9932</v>
      </c>
      <c r="FF5" s="32">
        <f>(FE5-FD5)/FD5*100</f>
        <v>17.09502475831172</v>
      </c>
      <c r="FG5" s="27">
        <v>10438</v>
      </c>
      <c r="FH5" s="25">
        <v>9932</v>
      </c>
      <c r="FI5" s="32">
        <f>(FH5-FG5)/FG5*100</f>
        <v>-4.8476719678099256</v>
      </c>
      <c r="FK5" s="4" t="s">
        <v>2</v>
      </c>
      <c r="FL5" s="5">
        <v>12150</v>
      </c>
      <c r="FM5" s="5">
        <v>10438</v>
      </c>
      <c r="FN5" s="36">
        <f>(FM5-FL5)/FL5*100</f>
        <v>-14.090534979423868</v>
      </c>
      <c r="FO5" s="46"/>
      <c r="FP5" s="5">
        <v>10438</v>
      </c>
      <c r="FQ5" s="47" t="e">
        <f>((FP5-FO5)/FO5)*100</f>
        <v>#DIV/0!</v>
      </c>
    </row>
    <row r="6" spans="1:173" x14ac:dyDescent="0.5">
      <c r="A6" s="250"/>
      <c r="B6" s="307" t="s">
        <v>763</v>
      </c>
      <c r="C6" s="251">
        <v>402</v>
      </c>
      <c r="D6" s="289">
        <v>196</v>
      </c>
      <c r="E6" s="249">
        <f t="shared" ref="E6:E7" si="13">((D6-C6)/C6)*100</f>
        <v>-51.243781094527364</v>
      </c>
      <c r="F6" s="289">
        <v>0</v>
      </c>
      <c r="G6" s="251">
        <v>196</v>
      </c>
      <c r="H6" s="249" t="e">
        <f t="shared" ref="H6:H7" si="14">((G6-F6)/F6)*100</f>
        <v>#DIV/0!</v>
      </c>
      <c r="I6" s="250"/>
      <c r="J6" s="307" t="s">
        <v>763</v>
      </c>
      <c r="K6" s="251"/>
      <c r="L6" s="289">
        <v>0</v>
      </c>
      <c r="M6" s="249" t="e">
        <f t="shared" ref="M6:M7" si="15">((L6-K6)/K6)*100</f>
        <v>#DIV/0!</v>
      </c>
      <c r="N6" s="289"/>
      <c r="O6" s="251">
        <v>0</v>
      </c>
      <c r="P6" s="249" t="e">
        <f t="shared" ref="P6:P7" si="16">((O6-N6)/N6)*100</f>
        <v>#DIV/0!</v>
      </c>
      <c r="Q6" s="250"/>
      <c r="R6" s="250"/>
      <c r="S6" s="251"/>
      <c r="T6" s="289"/>
      <c r="U6" s="249"/>
      <c r="V6" s="251"/>
      <c r="W6" s="251"/>
      <c r="X6" s="249"/>
      <c r="Y6" s="250"/>
      <c r="Z6" s="250"/>
      <c r="AA6" s="251"/>
      <c r="AB6" s="289"/>
      <c r="AC6" s="249"/>
      <c r="AD6" s="251"/>
      <c r="AE6" s="251"/>
      <c r="AF6" s="249"/>
      <c r="AG6" s="250"/>
      <c r="AH6" s="250"/>
      <c r="AI6" s="251"/>
      <c r="AJ6" s="289"/>
      <c r="AK6" s="249"/>
      <c r="AL6" s="251"/>
      <c r="AM6" s="251"/>
      <c r="AN6" s="249"/>
      <c r="AO6" s="250"/>
      <c r="AP6" s="250"/>
      <c r="AQ6" s="251"/>
      <c r="AR6" s="251"/>
      <c r="AS6" s="249"/>
      <c r="AT6" s="251"/>
      <c r="AU6" s="251"/>
      <c r="AV6" s="249"/>
      <c r="AW6" s="250"/>
      <c r="AX6" s="250"/>
      <c r="AY6" s="251"/>
      <c r="AZ6" s="251"/>
      <c r="BA6" s="249"/>
      <c r="BB6" s="251"/>
      <c r="BC6" s="251"/>
      <c r="BD6" s="249"/>
      <c r="BE6" s="249"/>
      <c r="BF6" s="249"/>
      <c r="BG6" s="250"/>
      <c r="BH6" s="250"/>
      <c r="BI6" s="348"/>
      <c r="BJ6" s="349"/>
      <c r="BK6" s="249"/>
      <c r="BL6" s="349"/>
      <c r="BM6" s="349"/>
      <c r="BN6" s="249"/>
      <c r="BO6" s="249"/>
      <c r="BQ6" s="250"/>
      <c r="BR6" s="251"/>
      <c r="BS6" s="251"/>
      <c r="BT6" s="249"/>
      <c r="BU6" s="251"/>
      <c r="BV6" s="251"/>
      <c r="BW6" s="249"/>
      <c r="BX6" s="249"/>
      <c r="BZ6" s="250"/>
      <c r="CA6" s="250"/>
      <c r="CB6" s="251"/>
      <c r="CC6" s="251"/>
      <c r="CD6" s="249"/>
      <c r="CE6" s="251"/>
      <c r="CF6" s="251"/>
      <c r="CG6" s="249"/>
      <c r="CH6" s="249"/>
      <c r="CI6" s="250"/>
      <c r="CJ6" s="251"/>
      <c r="CK6" s="251"/>
      <c r="CL6" s="249"/>
      <c r="CM6" s="251"/>
      <c r="CN6" s="251"/>
      <c r="CO6" s="249"/>
      <c r="CP6" s="249"/>
      <c r="CQ6" s="73"/>
      <c r="CR6" s="250"/>
      <c r="CS6" s="250"/>
      <c r="CT6" s="251"/>
      <c r="CU6" s="251"/>
      <c r="CV6" s="249"/>
      <c r="CW6" s="251"/>
      <c r="CX6" s="251"/>
      <c r="CY6" s="249"/>
      <c r="CZ6" s="73"/>
      <c r="DA6" s="232"/>
      <c r="DB6" s="232"/>
      <c r="DC6" s="233"/>
      <c r="DD6" s="233"/>
      <c r="DE6" s="231"/>
      <c r="DF6" s="233"/>
      <c r="DG6" s="233"/>
      <c r="DH6" s="231"/>
      <c r="DI6" s="73"/>
      <c r="DJ6" s="103"/>
      <c r="DK6" s="103"/>
      <c r="DL6" s="104"/>
      <c r="DM6" s="104"/>
      <c r="DN6" s="102"/>
      <c r="DO6" s="104"/>
      <c r="DP6" s="104"/>
      <c r="DQ6" s="102"/>
      <c r="DR6" s="73"/>
      <c r="DS6" s="24"/>
      <c r="DT6" s="24"/>
      <c r="DU6" s="123"/>
      <c r="DV6" s="123"/>
      <c r="DW6" s="128"/>
      <c r="DX6" s="123"/>
      <c r="DY6" s="123"/>
      <c r="DZ6" s="128"/>
      <c r="EA6" s="130"/>
      <c r="EB6" s="103"/>
      <c r="EC6" s="103"/>
      <c r="ED6" s="104"/>
      <c r="EE6" s="104"/>
      <c r="EF6" s="102"/>
      <c r="EG6" s="104"/>
      <c r="EH6" s="104"/>
      <c r="EI6" s="102"/>
      <c r="EJ6" s="73"/>
      <c r="EK6" s="77"/>
      <c r="EL6" s="77"/>
      <c r="EM6" s="78"/>
      <c r="EN6" s="78"/>
      <c r="EO6" s="79"/>
      <c r="EP6" s="80"/>
      <c r="EQ6" s="78"/>
      <c r="ER6" s="79"/>
      <c r="ES6" s="61"/>
      <c r="ET6" s="42"/>
      <c r="EU6" s="42"/>
      <c r="EV6" s="43"/>
      <c r="EW6" s="43"/>
      <c r="EX6" s="44"/>
      <c r="EY6" s="45"/>
      <c r="EZ6" s="43"/>
      <c r="FA6" s="44"/>
      <c r="FB6" s="61"/>
      <c r="FC6" s="24"/>
      <c r="FD6" s="25"/>
      <c r="FE6" s="25"/>
      <c r="FF6" s="32"/>
      <c r="FG6" s="27"/>
      <c r="FH6" s="25"/>
      <c r="FI6" s="32"/>
      <c r="FK6" s="4"/>
      <c r="FL6" s="5"/>
      <c r="FM6" s="5"/>
      <c r="FN6" s="36"/>
      <c r="FO6" s="46"/>
      <c r="FP6" s="5"/>
      <c r="FQ6" s="47"/>
    </row>
    <row r="7" spans="1:173" x14ac:dyDescent="0.5">
      <c r="A7" s="250"/>
      <c r="B7" s="307" t="s">
        <v>808</v>
      </c>
      <c r="C7" s="251">
        <v>2218</v>
      </c>
      <c r="D7" s="289">
        <v>3284</v>
      </c>
      <c r="E7" s="249">
        <f t="shared" si="13"/>
        <v>48.061316501352572</v>
      </c>
      <c r="F7" s="289">
        <v>3958</v>
      </c>
      <c r="G7" s="251">
        <v>3284</v>
      </c>
      <c r="H7" s="249">
        <f t="shared" si="14"/>
        <v>-17.028802425467408</v>
      </c>
      <c r="I7" s="250"/>
      <c r="J7" s="307" t="s">
        <v>808</v>
      </c>
      <c r="K7" s="251"/>
      <c r="L7" s="289">
        <v>3958</v>
      </c>
      <c r="M7" s="249" t="e">
        <f t="shared" si="15"/>
        <v>#DIV/0!</v>
      </c>
      <c r="N7" s="289"/>
      <c r="O7" s="251">
        <v>3958</v>
      </c>
      <c r="P7" s="249" t="e">
        <f t="shared" si="16"/>
        <v>#DIV/0!</v>
      </c>
      <c r="Q7" s="250"/>
      <c r="R7" s="250"/>
      <c r="S7" s="251"/>
      <c r="T7" s="289"/>
      <c r="U7" s="249"/>
      <c r="V7" s="251"/>
      <c r="W7" s="251"/>
      <c r="X7" s="249"/>
      <c r="Y7" s="250"/>
      <c r="Z7" s="250"/>
      <c r="AA7" s="251"/>
      <c r="AB7" s="289"/>
      <c r="AC7" s="249"/>
      <c r="AD7" s="251"/>
      <c r="AE7" s="251"/>
      <c r="AF7" s="249"/>
      <c r="AG7" s="250"/>
      <c r="AH7" s="250"/>
      <c r="AI7" s="251"/>
      <c r="AJ7" s="289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49"/>
      <c r="BF7" s="249"/>
      <c r="BG7" s="250"/>
      <c r="BH7" s="250"/>
      <c r="BI7" s="348"/>
      <c r="BJ7" s="349"/>
      <c r="BK7" s="249"/>
      <c r="BL7" s="349"/>
      <c r="BM7" s="349"/>
      <c r="BN7" s="249"/>
      <c r="BO7" s="249"/>
      <c r="BQ7" s="250"/>
      <c r="BR7" s="251"/>
      <c r="BS7" s="251"/>
      <c r="BT7" s="249"/>
      <c r="BU7" s="251"/>
      <c r="BV7" s="251"/>
      <c r="BW7" s="249"/>
      <c r="BX7" s="249"/>
      <c r="BZ7" s="250"/>
      <c r="CA7" s="250"/>
      <c r="CB7" s="251"/>
      <c r="CC7" s="251"/>
      <c r="CD7" s="249"/>
      <c r="CE7" s="251"/>
      <c r="CF7" s="251"/>
      <c r="CG7" s="249"/>
      <c r="CH7" s="249"/>
      <c r="CI7" s="250"/>
      <c r="CJ7" s="251"/>
      <c r="CK7" s="251"/>
      <c r="CL7" s="249"/>
      <c r="CM7" s="251"/>
      <c r="CN7" s="251"/>
      <c r="CO7" s="249"/>
      <c r="CP7" s="249"/>
      <c r="CQ7" s="73"/>
      <c r="CR7" s="250"/>
      <c r="CS7" s="250"/>
      <c r="CT7" s="251"/>
      <c r="CU7" s="251"/>
      <c r="CV7" s="249"/>
      <c r="CW7" s="251"/>
      <c r="CX7" s="251"/>
      <c r="CY7" s="249"/>
      <c r="CZ7" s="73"/>
      <c r="DA7" s="232"/>
      <c r="DB7" s="232"/>
      <c r="DC7" s="233"/>
      <c r="DD7" s="233"/>
      <c r="DE7" s="231"/>
      <c r="DF7" s="233"/>
      <c r="DG7" s="233"/>
      <c r="DH7" s="231"/>
      <c r="DI7" s="73"/>
      <c r="DJ7" s="103"/>
      <c r="DK7" s="103"/>
      <c r="DL7" s="104"/>
      <c r="DM7" s="104"/>
      <c r="DN7" s="102"/>
      <c r="DO7" s="104"/>
      <c r="DP7" s="104"/>
      <c r="DQ7" s="102"/>
      <c r="DR7" s="73"/>
      <c r="DS7" s="24"/>
      <c r="DT7" s="24"/>
      <c r="DU7" s="123"/>
      <c r="DV7" s="123"/>
      <c r="DW7" s="128"/>
      <c r="DX7" s="123"/>
      <c r="DY7" s="123"/>
      <c r="DZ7" s="128"/>
      <c r="EA7" s="130"/>
      <c r="EB7" s="103"/>
      <c r="EC7" s="103"/>
      <c r="ED7" s="104"/>
      <c r="EE7" s="104"/>
      <c r="EF7" s="102"/>
      <c r="EG7" s="104"/>
      <c r="EH7" s="104"/>
      <c r="EI7" s="102"/>
      <c r="EJ7" s="73"/>
      <c r="EK7" s="77"/>
      <c r="EL7" s="77"/>
      <c r="EM7" s="78"/>
      <c r="EN7" s="78"/>
      <c r="EO7" s="79"/>
      <c r="EP7" s="80"/>
      <c r="EQ7" s="78"/>
      <c r="ER7" s="79"/>
      <c r="ES7" s="61"/>
      <c r="ET7" s="42"/>
      <c r="EU7" s="42"/>
      <c r="EV7" s="43"/>
      <c r="EW7" s="43"/>
      <c r="EX7" s="44"/>
      <c r="EY7" s="45"/>
      <c r="EZ7" s="43"/>
      <c r="FA7" s="44"/>
      <c r="FB7" s="61"/>
      <c r="FC7" s="24"/>
      <c r="FD7" s="25"/>
      <c r="FE7" s="25"/>
      <c r="FF7" s="32"/>
      <c r="FG7" s="27"/>
      <c r="FH7" s="25"/>
      <c r="FI7" s="32"/>
      <c r="FK7" s="4"/>
      <c r="FL7" s="5"/>
      <c r="FM7" s="5"/>
      <c r="FN7" s="36"/>
      <c r="FO7" s="46"/>
      <c r="FP7" s="5"/>
      <c r="FQ7" s="47"/>
    </row>
    <row r="8" spans="1:173" x14ac:dyDescent="0.5">
      <c r="A8" s="247" t="s">
        <v>1</v>
      </c>
      <c r="B8" s="247"/>
      <c r="C8" s="248">
        <v>154317</v>
      </c>
      <c r="D8" s="248">
        <v>144458</v>
      </c>
      <c r="E8" s="249">
        <f>((D8-C8)/C8)*100</f>
        <v>-6.3887970865167159</v>
      </c>
      <c r="F8" s="248">
        <v>141557</v>
      </c>
      <c r="G8" s="248">
        <v>144458</v>
      </c>
      <c r="H8" s="249">
        <f>((G8-F8)/F8)*100</f>
        <v>2.0493511447685386</v>
      </c>
      <c r="I8" s="247" t="s">
        <v>1</v>
      </c>
      <c r="J8" s="247"/>
      <c r="K8" s="248">
        <v>179365</v>
      </c>
      <c r="L8" s="248">
        <v>141557</v>
      </c>
      <c r="M8" s="249">
        <f>((L8-K8)/K8)*100</f>
        <v>-21.078805787082207</v>
      </c>
      <c r="N8" s="248">
        <v>150779</v>
      </c>
      <c r="O8" s="248">
        <v>141557</v>
      </c>
      <c r="P8" s="249">
        <f>((O8-N8)/N8)*100</f>
        <v>-6.1162363459102389</v>
      </c>
      <c r="Q8" s="247" t="s">
        <v>1</v>
      </c>
      <c r="R8" s="247"/>
      <c r="S8" s="248">
        <v>179365</v>
      </c>
      <c r="T8" s="248">
        <v>150779</v>
      </c>
      <c r="U8" s="249">
        <f>((T8-S8)/S8)*100</f>
        <v>-15.937334485546231</v>
      </c>
      <c r="V8" s="248">
        <v>133815</v>
      </c>
      <c r="W8" s="248">
        <v>150779</v>
      </c>
      <c r="X8" s="249">
        <f>((W8-V8)/V8)*100</f>
        <v>12.677203601987818</v>
      </c>
      <c r="Y8" s="247" t="s">
        <v>1</v>
      </c>
      <c r="Z8" s="247"/>
      <c r="AA8" s="248">
        <v>174281</v>
      </c>
      <c r="AB8" s="248">
        <v>133815</v>
      </c>
      <c r="AC8" s="249">
        <f>((AB8-AA8)/AA8)*100</f>
        <v>-23.218824771489722</v>
      </c>
      <c r="AD8" s="248">
        <v>115623</v>
      </c>
      <c r="AE8" s="248">
        <v>133815</v>
      </c>
      <c r="AF8" s="249">
        <f>((AE8-AD8)/AD8)*100</f>
        <v>15.733893775459901</v>
      </c>
      <c r="AG8" s="247" t="s">
        <v>1</v>
      </c>
      <c r="AH8" s="247"/>
      <c r="AI8" s="248">
        <v>161105</v>
      </c>
      <c r="AJ8" s="248">
        <v>115623</v>
      </c>
      <c r="AK8" s="249">
        <f>((AJ8-AI8)/AI8)*100</f>
        <v>-28.231277738121101</v>
      </c>
      <c r="AL8" s="248">
        <v>137023</v>
      </c>
      <c r="AM8" s="248">
        <v>115623</v>
      </c>
      <c r="AN8" s="249">
        <f>((AM8-AL8)/AL8)*100</f>
        <v>-15.617815987097055</v>
      </c>
      <c r="AO8" s="247" t="s">
        <v>1</v>
      </c>
      <c r="AP8" s="247"/>
      <c r="AQ8" s="248">
        <v>125028</v>
      </c>
      <c r="AR8" s="248">
        <v>137023</v>
      </c>
      <c r="AS8" s="249">
        <f>((AR8-AQ8)/AQ8)*100</f>
        <v>9.5938509773810665</v>
      </c>
      <c r="AT8" s="248">
        <v>148723</v>
      </c>
      <c r="AU8" s="248">
        <v>137023</v>
      </c>
      <c r="AV8" s="249">
        <f>((AU8-AT8)/AT8)*100</f>
        <v>-7.8669741734634187</v>
      </c>
      <c r="AW8" s="247" t="s">
        <v>1</v>
      </c>
      <c r="AX8" s="247"/>
      <c r="AY8" s="248">
        <v>150401</v>
      </c>
      <c r="AZ8" s="248">
        <f>SUM(AZ9:AZ14)</f>
        <v>148723</v>
      </c>
      <c r="BA8" s="249">
        <f>((AZ8-AY8)/AY8)*100</f>
        <v>-1.1156840712495262</v>
      </c>
      <c r="BB8" s="248">
        <v>134036</v>
      </c>
      <c r="BC8" s="248">
        <f>SUM(BC9:BC14)</f>
        <v>148723</v>
      </c>
      <c r="BD8" s="249">
        <f>((BC8-BB8)/BB8)*100</f>
        <v>10.957503954161568</v>
      </c>
      <c r="BE8" s="249"/>
      <c r="BF8" s="249"/>
      <c r="BG8" s="247" t="s">
        <v>1</v>
      </c>
      <c r="BH8" s="247"/>
      <c r="BI8" s="285">
        <v>179522</v>
      </c>
      <c r="BJ8" s="248">
        <v>134036</v>
      </c>
      <c r="BK8" s="249">
        <f>((BJ8-BI8)/BI8)*100</f>
        <v>-25.337284566794043</v>
      </c>
      <c r="BL8" s="248">
        <v>137618</v>
      </c>
      <c r="BM8" s="248">
        <v>134036</v>
      </c>
      <c r="BN8" s="249">
        <f>((BM8-BL8)/BL8)*100</f>
        <v>-2.6028571843799502</v>
      </c>
      <c r="BO8" s="249"/>
      <c r="BQ8" s="247"/>
      <c r="BR8" s="248">
        <v>175802</v>
      </c>
      <c r="BS8" s="248">
        <v>140500</v>
      </c>
      <c r="BT8" s="249">
        <f>((BS8-BR8)/BR8)*100</f>
        <v>-20.080545158758149</v>
      </c>
      <c r="BU8" s="248">
        <v>127331</v>
      </c>
      <c r="BV8" s="248">
        <v>140500</v>
      </c>
      <c r="BW8" s="249">
        <f t="shared" si="0"/>
        <v>10.342336116106839</v>
      </c>
      <c r="BX8" s="249"/>
      <c r="BZ8" s="247" t="s">
        <v>1</v>
      </c>
      <c r="CA8" s="247"/>
      <c r="CB8" s="248">
        <v>184457</v>
      </c>
      <c r="CC8" s="248">
        <v>127331</v>
      </c>
      <c r="CD8" s="249">
        <f>((CC8-CB8)/CB8)*100</f>
        <v>-30.969819524333587</v>
      </c>
      <c r="CE8" s="248">
        <v>113477</v>
      </c>
      <c r="CF8" s="248">
        <v>127331</v>
      </c>
      <c r="CG8" s="249">
        <f>((CF8-CE8)/CE8)*100</f>
        <v>12.208641398697534</v>
      </c>
      <c r="CH8" s="249"/>
      <c r="CI8" s="247"/>
      <c r="CJ8" s="248">
        <v>172522</v>
      </c>
      <c r="CK8" s="248">
        <v>113477</v>
      </c>
      <c r="CL8" s="249">
        <f>((CK8-CJ8)/CJ8)*100</f>
        <v>-34.22462062809381</v>
      </c>
      <c r="CM8" s="248">
        <f>SUM(CM9:CM11)</f>
        <v>160805</v>
      </c>
      <c r="CN8" s="248">
        <v>113477</v>
      </c>
      <c r="CO8" s="249">
        <f>((CN8-CM8)/CM8)*100</f>
        <v>-29.431920649233547</v>
      </c>
      <c r="CP8" s="249"/>
      <c r="CQ8" s="73"/>
      <c r="CR8" s="247" t="s">
        <v>1</v>
      </c>
      <c r="CS8" s="247"/>
      <c r="CT8" s="248">
        <f>SUM(CT9:CT11)</f>
        <v>158991</v>
      </c>
      <c r="CU8" s="248">
        <f>SUM(CU9:CU11)</f>
        <v>160805</v>
      </c>
      <c r="CV8" s="249">
        <f>((CU8-CT8)/CT8)*100</f>
        <v>1.1409450849419149</v>
      </c>
      <c r="CW8" s="248">
        <v>176862</v>
      </c>
      <c r="CX8" s="248">
        <v>160805</v>
      </c>
      <c r="CY8" s="249">
        <f>((CX8-CW8)/CW8)*100</f>
        <v>-9.078829822121202</v>
      </c>
      <c r="CZ8" s="73"/>
      <c r="DA8" s="229" t="s">
        <v>1</v>
      </c>
      <c r="DB8" s="229"/>
      <c r="DC8" s="230">
        <f>SUM(DC9:DC11)</f>
        <v>190336</v>
      </c>
      <c r="DD8" s="230">
        <f>SUM(DD9:DD11)</f>
        <v>176862</v>
      </c>
      <c r="DE8" s="231">
        <f t="shared" si="3"/>
        <v>-7.0790601882985875</v>
      </c>
      <c r="DF8" s="230">
        <f>SUM(DF9:DF11)</f>
        <v>187775</v>
      </c>
      <c r="DG8" s="230">
        <v>176862</v>
      </c>
      <c r="DH8" s="231">
        <f t="shared" si="4"/>
        <v>-5.8117427772600188</v>
      </c>
      <c r="DI8" s="73"/>
      <c r="DJ8" s="100" t="s">
        <v>1</v>
      </c>
      <c r="DK8" s="100"/>
      <c r="DL8" s="101">
        <f>SUM(DL9:DL11)</f>
        <v>214104</v>
      </c>
      <c r="DM8" s="101">
        <f>SUM(DM9:DM11)</f>
        <v>187771</v>
      </c>
      <c r="DN8" s="102">
        <f t="shared" si="5"/>
        <v>-12.299163023577327</v>
      </c>
      <c r="DO8" s="101">
        <f>SUM(DO9:DO11)</f>
        <v>178069</v>
      </c>
      <c r="DP8" s="101">
        <f>SUM(DP9:DP11)</f>
        <v>187771</v>
      </c>
      <c r="DQ8" s="102">
        <f t="shared" si="6"/>
        <v>5.4484497582397831</v>
      </c>
      <c r="DR8" s="73"/>
      <c r="DS8" s="120" t="s">
        <v>1</v>
      </c>
      <c r="DT8" s="120"/>
      <c r="DU8" s="121">
        <f>SUM(DU9:DU11)</f>
        <v>182607</v>
      </c>
      <c r="DV8" s="121">
        <f>SUM(DV9:DV11)</f>
        <v>243251</v>
      </c>
      <c r="DW8" s="125">
        <f t="shared" si="7"/>
        <v>33.210117903475769</v>
      </c>
      <c r="DX8" s="121">
        <v>138898</v>
      </c>
      <c r="DY8" s="121">
        <f>SUM(DY9:DY11)</f>
        <v>243251</v>
      </c>
      <c r="DZ8" s="125">
        <f t="shared" si="8"/>
        <v>75.129231522412127</v>
      </c>
      <c r="EA8" s="127"/>
      <c r="EB8" s="100" t="s">
        <v>1</v>
      </c>
      <c r="EC8" s="100"/>
      <c r="ED8" s="101">
        <v>151473</v>
      </c>
      <c r="EE8" s="101">
        <f>SUM(EE9:EE11)</f>
        <v>138898</v>
      </c>
      <c r="EF8" s="102">
        <f t="shared" si="9"/>
        <v>-8.3018095634205444</v>
      </c>
      <c r="EG8" s="101">
        <f>SUM(EG9:EG11)</f>
        <v>160365</v>
      </c>
      <c r="EH8" s="101">
        <f>SUM(EH9:EH11)</f>
        <v>138898</v>
      </c>
      <c r="EI8" s="102">
        <f t="shared" si="10"/>
        <v>-13.386337417765724</v>
      </c>
      <c r="EJ8" s="73"/>
      <c r="EK8" s="74" t="s">
        <v>1</v>
      </c>
      <c r="EL8" s="74"/>
      <c r="EM8" s="75">
        <f>SUM(EM9:EM11)</f>
        <v>163501</v>
      </c>
      <c r="EN8" s="75">
        <f>SUM(EN9:EN11)</f>
        <v>160357</v>
      </c>
      <c r="EO8" s="76">
        <f t="shared" si="11"/>
        <v>-1.9229240188133407</v>
      </c>
      <c r="EP8" s="75">
        <f>SUM(EP9:EP11)</f>
        <v>137972</v>
      </c>
      <c r="EQ8" s="75">
        <f>SUM(EQ9:EQ11)</f>
        <v>160357</v>
      </c>
      <c r="ER8" s="76">
        <f t="shared" si="12"/>
        <v>16.22430638100484</v>
      </c>
      <c r="ES8" s="73"/>
      <c r="ET8" s="63" t="s">
        <v>1</v>
      </c>
      <c r="EU8" s="63"/>
      <c r="EV8" s="64">
        <v>152654</v>
      </c>
      <c r="EW8" s="64">
        <v>137932</v>
      </c>
      <c r="EX8" s="65">
        <f t="shared" si="1"/>
        <v>-9.6440316008751825</v>
      </c>
      <c r="EY8" s="64">
        <v>163280</v>
      </c>
      <c r="EZ8" s="64">
        <v>137932</v>
      </c>
      <c r="FA8" s="65">
        <f t="shared" si="2"/>
        <v>-15.524252817246447</v>
      </c>
      <c r="FB8" s="73"/>
    </row>
    <row r="9" spans="1:173" x14ac:dyDescent="0.5">
      <c r="A9" s="250"/>
      <c r="B9" s="250" t="s">
        <v>521</v>
      </c>
      <c r="C9" s="335">
        <v>0</v>
      </c>
      <c r="D9" s="289">
        <v>0</v>
      </c>
      <c r="E9" s="268"/>
      <c r="F9" s="289">
        <v>0</v>
      </c>
      <c r="G9" s="289">
        <v>0</v>
      </c>
      <c r="H9" s="249">
        <v>0</v>
      </c>
      <c r="I9" s="250"/>
      <c r="J9" s="250" t="s">
        <v>521</v>
      </c>
      <c r="K9" s="335">
        <v>0</v>
      </c>
      <c r="L9" s="289">
        <v>0</v>
      </c>
      <c r="M9" s="268"/>
      <c r="N9" s="289">
        <v>0</v>
      </c>
      <c r="O9" s="289">
        <v>0</v>
      </c>
      <c r="P9" s="249">
        <v>0</v>
      </c>
      <c r="Q9" s="250"/>
      <c r="R9" s="250" t="s">
        <v>521</v>
      </c>
      <c r="S9" s="335">
        <v>0</v>
      </c>
      <c r="T9" s="289">
        <v>0</v>
      </c>
      <c r="U9" s="268"/>
      <c r="V9" s="289" t="s">
        <v>17</v>
      </c>
      <c r="W9" s="289">
        <v>0</v>
      </c>
      <c r="X9" s="249">
        <v>0</v>
      </c>
      <c r="Y9" s="250"/>
      <c r="Z9" s="250" t="s">
        <v>521</v>
      </c>
      <c r="AA9" s="335">
        <v>0</v>
      </c>
      <c r="AB9" s="289" t="s">
        <v>530</v>
      </c>
      <c r="AC9" s="268"/>
      <c r="AD9" s="289" t="s">
        <v>530</v>
      </c>
      <c r="AE9" s="289" t="s">
        <v>530</v>
      </c>
      <c r="AF9" s="249"/>
      <c r="AG9" s="250"/>
      <c r="AH9" s="250" t="s">
        <v>521</v>
      </c>
      <c r="AI9" s="335" t="s">
        <v>530</v>
      </c>
      <c r="AJ9" s="289" t="s">
        <v>530</v>
      </c>
      <c r="AK9" s="268"/>
      <c r="AL9" s="289" t="s">
        <v>530</v>
      </c>
      <c r="AM9" s="289" t="s">
        <v>530</v>
      </c>
      <c r="AN9" s="249"/>
      <c r="AO9" s="250"/>
      <c r="AP9" s="250" t="s">
        <v>521</v>
      </c>
      <c r="AQ9" s="335" t="s">
        <v>530</v>
      </c>
      <c r="AR9" s="289" t="s">
        <v>530</v>
      </c>
      <c r="AS9" s="268"/>
      <c r="AT9" s="289">
        <v>0</v>
      </c>
      <c r="AU9" s="289" t="s">
        <v>530</v>
      </c>
      <c r="AV9" s="249"/>
      <c r="AW9" s="250"/>
      <c r="AX9" s="250" t="s">
        <v>521</v>
      </c>
      <c r="AY9" s="335">
        <v>0</v>
      </c>
      <c r="AZ9" s="289">
        <v>0</v>
      </c>
      <c r="BA9" s="268"/>
      <c r="BB9" s="289" t="s">
        <v>530</v>
      </c>
      <c r="BC9" s="289">
        <v>0</v>
      </c>
      <c r="BD9" s="249"/>
      <c r="BE9" s="249"/>
      <c r="BF9" s="249"/>
      <c r="BG9" s="250"/>
      <c r="BH9" s="250" t="s">
        <v>521</v>
      </c>
      <c r="BI9" s="289" t="s">
        <v>530</v>
      </c>
      <c r="BJ9" s="335" t="s">
        <v>530</v>
      </c>
      <c r="BK9" s="268"/>
      <c r="BL9" s="289"/>
      <c r="BM9" s="289" t="s">
        <v>530</v>
      </c>
      <c r="BN9" s="249"/>
      <c r="BO9" s="249"/>
      <c r="BQ9" s="250" t="s">
        <v>435</v>
      </c>
      <c r="BR9" s="252">
        <v>9</v>
      </c>
      <c r="BS9" s="252"/>
      <c r="BT9" s="249">
        <f t="shared" ref="BT9:BT18" si="17">((BS9-BR9)/BR9)*100</f>
        <v>-100</v>
      </c>
      <c r="BU9" s="252">
        <v>13</v>
      </c>
      <c r="BV9" s="252"/>
      <c r="BW9" s="249">
        <f t="shared" si="0"/>
        <v>-100</v>
      </c>
      <c r="BX9" s="249"/>
      <c r="BZ9" s="250"/>
      <c r="CA9" s="250" t="s">
        <v>435</v>
      </c>
      <c r="CB9" s="252">
        <v>30</v>
      </c>
      <c r="CC9" s="252">
        <v>13</v>
      </c>
      <c r="CD9" s="249">
        <f t="shared" ref="CD9:CD18" si="18">((CC9-CB9)/CB9)*100</f>
        <v>-56.666666666666664</v>
      </c>
      <c r="CE9" s="252"/>
      <c r="CF9" s="252">
        <v>13</v>
      </c>
      <c r="CG9" s="249"/>
      <c r="CH9" s="249"/>
      <c r="CI9" s="250" t="s">
        <v>57</v>
      </c>
      <c r="CJ9" s="252">
        <v>90035</v>
      </c>
      <c r="CK9" s="252">
        <v>56901</v>
      </c>
      <c r="CL9" s="249">
        <f t="shared" ref="CL9:CL18" si="19">((CK9-CJ9)/CJ9)*100</f>
        <v>-36.801243960681958</v>
      </c>
      <c r="CM9" s="252">
        <v>81251</v>
      </c>
      <c r="CN9" s="252">
        <v>56901</v>
      </c>
      <c r="CO9" s="249">
        <f t="shared" ref="CO9:CO18" si="20">((CN9-CM9)/CM9)*100</f>
        <v>-29.968861921699425</v>
      </c>
      <c r="CP9" s="249"/>
      <c r="CQ9" s="73"/>
      <c r="CR9" s="250"/>
      <c r="CS9" s="250" t="s">
        <v>57</v>
      </c>
      <c r="CT9" s="252">
        <v>79930</v>
      </c>
      <c r="CU9" s="252">
        <v>81251</v>
      </c>
      <c r="CV9" s="249">
        <f t="shared" ref="CV9:CV18" si="21">((CU9-CT9)/CT9)*100</f>
        <v>1.6526961090954584</v>
      </c>
      <c r="CW9" s="252">
        <v>84198</v>
      </c>
      <c r="CX9" s="252">
        <v>81251</v>
      </c>
      <c r="CY9" s="249">
        <f t="shared" ref="CY9:CY18" si="22">((CX9-CW9)/CW9)*100</f>
        <v>-3.500083137366683</v>
      </c>
      <c r="CZ9" s="73"/>
      <c r="DA9" s="232"/>
      <c r="DB9" s="232" t="s">
        <v>57</v>
      </c>
      <c r="DC9" s="234">
        <v>86691</v>
      </c>
      <c r="DD9" s="234">
        <v>84197</v>
      </c>
      <c r="DE9" s="231">
        <f t="shared" si="3"/>
        <v>-2.876884567025412</v>
      </c>
      <c r="DF9" s="234">
        <v>86362</v>
      </c>
      <c r="DG9" s="234">
        <v>84197</v>
      </c>
      <c r="DH9" s="231">
        <f t="shared" si="4"/>
        <v>-2.5068896042240802</v>
      </c>
      <c r="DI9" s="73"/>
      <c r="DJ9" s="103"/>
      <c r="DK9" s="103" t="s">
        <v>57</v>
      </c>
      <c r="DL9" s="105">
        <v>98730</v>
      </c>
      <c r="DM9" s="105">
        <v>85853</v>
      </c>
      <c r="DN9" s="102">
        <f t="shared" si="5"/>
        <v>-13.04264154765522</v>
      </c>
      <c r="DO9" s="105">
        <v>93396</v>
      </c>
      <c r="DP9" s="105">
        <v>85853</v>
      </c>
      <c r="DQ9" s="102">
        <f t="shared" si="6"/>
        <v>-8.0763630134052846</v>
      </c>
      <c r="DR9" s="73"/>
      <c r="DS9" s="24"/>
      <c r="DT9" s="24" t="s">
        <v>57</v>
      </c>
      <c r="DU9" s="25">
        <v>79109</v>
      </c>
      <c r="DV9" s="25">
        <v>83733</v>
      </c>
      <c r="DW9" s="128">
        <f t="shared" si="7"/>
        <v>5.8450997990114901</v>
      </c>
      <c r="DX9" s="25">
        <v>66181</v>
      </c>
      <c r="DY9" s="25">
        <v>83733</v>
      </c>
      <c r="DZ9" s="128">
        <f t="shared" si="8"/>
        <v>26.521206992943597</v>
      </c>
      <c r="EA9" s="130"/>
      <c r="EB9" s="103"/>
      <c r="EC9" s="103" t="s">
        <v>57</v>
      </c>
      <c r="ED9" s="105">
        <v>73320</v>
      </c>
      <c r="EE9" s="105">
        <v>66181</v>
      </c>
      <c r="EF9" s="102">
        <f t="shared" si="9"/>
        <v>-9.7367703218767048</v>
      </c>
      <c r="EG9" s="105">
        <v>84093</v>
      </c>
      <c r="EH9" s="105">
        <v>66181</v>
      </c>
      <c r="EI9" s="102">
        <f t="shared" si="10"/>
        <v>-21.300227129487592</v>
      </c>
      <c r="EJ9" s="73"/>
      <c r="EK9" s="77"/>
      <c r="EL9" s="77" t="s">
        <v>57</v>
      </c>
      <c r="EM9" s="80">
        <v>90145</v>
      </c>
      <c r="EN9" s="80">
        <v>88874</v>
      </c>
      <c r="EO9" s="79">
        <f t="shared" si="11"/>
        <v>-1.4099506350879139</v>
      </c>
      <c r="EP9" s="81">
        <v>75244</v>
      </c>
      <c r="EQ9" s="80">
        <v>88874</v>
      </c>
      <c r="ER9" s="79">
        <f t="shared" si="12"/>
        <v>18.114401148264314</v>
      </c>
      <c r="ES9" s="61"/>
      <c r="ET9" s="42"/>
      <c r="EU9" s="42" t="s">
        <v>57</v>
      </c>
      <c r="EV9" s="43">
        <v>82804</v>
      </c>
      <c r="EW9" s="43">
        <v>75224</v>
      </c>
      <c r="EX9" s="44">
        <f t="shared" si="1"/>
        <v>-9.154147142650114</v>
      </c>
      <c r="EY9" s="45">
        <v>92382</v>
      </c>
      <c r="EZ9" s="43">
        <v>75224</v>
      </c>
      <c r="FA9" s="44">
        <f t="shared" si="2"/>
        <v>-18.572882163191963</v>
      </c>
      <c r="FB9" s="61"/>
      <c r="FD9" s="34" t="s">
        <v>23</v>
      </c>
      <c r="FK9" s="34" t="s">
        <v>25</v>
      </c>
    </row>
    <row r="10" spans="1:173" x14ac:dyDescent="0.5">
      <c r="A10" s="250"/>
      <c r="B10" s="250" t="s">
        <v>522</v>
      </c>
      <c r="C10" s="252">
        <v>49874</v>
      </c>
      <c r="D10" s="252">
        <v>43549</v>
      </c>
      <c r="E10" s="249">
        <f t="shared" ref="E10:E18" si="23">((D10-C10)/C10)*100</f>
        <v>-12.681958535509482</v>
      </c>
      <c r="F10" s="252">
        <v>48679</v>
      </c>
      <c r="G10" s="252">
        <v>43549</v>
      </c>
      <c r="H10" s="249">
        <f t="shared" ref="H10:H14" si="24">((G10-F10)/F10)*100</f>
        <v>-10.538425193615316</v>
      </c>
      <c r="I10" s="250"/>
      <c r="J10" s="250" t="s">
        <v>522</v>
      </c>
      <c r="K10" s="252">
        <v>74223</v>
      </c>
      <c r="L10" s="252">
        <v>48679</v>
      </c>
      <c r="M10" s="249">
        <f t="shared" ref="M10:M18" si="25">((L10-K10)/K10)*100</f>
        <v>-34.415208223865918</v>
      </c>
      <c r="N10" s="252">
        <v>61740</v>
      </c>
      <c r="O10" s="252">
        <v>48679</v>
      </c>
      <c r="P10" s="249">
        <f t="shared" ref="P10:P14" si="26">((O10-N10)/N10)*100</f>
        <v>-21.154842889536766</v>
      </c>
      <c r="Q10" s="250"/>
      <c r="R10" s="250" t="s">
        <v>522</v>
      </c>
      <c r="S10" s="252">
        <v>74223</v>
      </c>
      <c r="T10" s="252">
        <v>61740</v>
      </c>
      <c r="U10" s="249">
        <f t="shared" ref="U10:U18" si="27">((T10-S10)/S10)*100</f>
        <v>-16.818236934642901</v>
      </c>
      <c r="V10" s="252">
        <v>52851</v>
      </c>
      <c r="W10" s="252">
        <v>61740</v>
      </c>
      <c r="X10" s="249">
        <f t="shared" ref="X10:X14" si="28">((W10-V10)/V10)*100</f>
        <v>16.818981665436795</v>
      </c>
      <c r="Y10" s="250"/>
      <c r="Z10" s="250" t="s">
        <v>522</v>
      </c>
      <c r="AA10" s="252">
        <v>70161</v>
      </c>
      <c r="AB10" s="252">
        <v>52851</v>
      </c>
      <c r="AC10" s="249">
        <f t="shared" ref="AC10:AC18" si="29">((AB10-AA10)/AA10)*100</f>
        <v>-24.671826228246463</v>
      </c>
      <c r="AD10" s="252">
        <v>57288</v>
      </c>
      <c r="AE10" s="252">
        <v>52851</v>
      </c>
      <c r="AF10" s="249">
        <f t="shared" ref="AF10:AF14" si="30">((AE10-AD10)/AD10)*100</f>
        <v>-7.7450775031420198</v>
      </c>
      <c r="AG10" s="250"/>
      <c r="AH10" s="250" t="s">
        <v>522</v>
      </c>
      <c r="AI10" s="252">
        <v>78963</v>
      </c>
      <c r="AJ10" s="252">
        <v>57288</v>
      </c>
      <c r="AK10" s="249">
        <f t="shared" ref="AK10:AK18" si="31">((AJ10-AI10)/AI10)*100</f>
        <v>-27.449564986132746</v>
      </c>
      <c r="AL10" s="252">
        <v>67716</v>
      </c>
      <c r="AM10" s="252">
        <v>57288</v>
      </c>
      <c r="AN10" s="249">
        <f t="shared" ref="AN10:AN14" si="32">((AM10-AL10)/AL10)*100</f>
        <v>-15.399610136452241</v>
      </c>
      <c r="AO10" s="250"/>
      <c r="AP10" s="250" t="s">
        <v>522</v>
      </c>
      <c r="AQ10" s="252">
        <v>63676</v>
      </c>
      <c r="AR10" s="252">
        <v>67716</v>
      </c>
      <c r="AS10" s="249">
        <f t="shared" ref="AS10:AS18" si="33">((AR10-AQ10)/AQ10)*100</f>
        <v>6.3446196369118661</v>
      </c>
      <c r="AT10" s="252">
        <v>77318</v>
      </c>
      <c r="AU10" s="252">
        <v>67716</v>
      </c>
      <c r="AV10" s="249">
        <f t="shared" ref="AV10:AV14" si="34">((AU10-AT10)/AT10)*100</f>
        <v>-12.418841666882226</v>
      </c>
      <c r="AW10" s="250"/>
      <c r="AX10" s="250" t="s">
        <v>522</v>
      </c>
      <c r="AY10" s="252">
        <v>80983</v>
      </c>
      <c r="AZ10" s="252">
        <v>77318</v>
      </c>
      <c r="BA10" s="249">
        <f t="shared" ref="BA10:BA18" si="35">((AZ10-AY10)/AY10)*100</f>
        <v>-4.5256411839521871</v>
      </c>
      <c r="BB10" s="252">
        <v>68125</v>
      </c>
      <c r="BC10" s="252">
        <v>77318</v>
      </c>
      <c r="BD10" s="249">
        <f t="shared" ref="BD10:BD14" si="36">((BC10-BB10)/BB10)*100</f>
        <v>13.494311926605503</v>
      </c>
      <c r="BE10" s="249"/>
      <c r="BF10" s="249"/>
      <c r="BG10" s="250"/>
      <c r="BH10" s="250" t="s">
        <v>522</v>
      </c>
      <c r="BI10" s="289">
        <v>95275</v>
      </c>
      <c r="BJ10" s="252">
        <v>68125</v>
      </c>
      <c r="BK10" s="249">
        <f t="shared" ref="BK10:BK18" si="37">((BJ10-BI10)/BI10)*100</f>
        <v>-28.496457622671219</v>
      </c>
      <c r="BL10" s="252"/>
      <c r="BM10" s="252">
        <v>68125</v>
      </c>
      <c r="BN10" s="249"/>
      <c r="BO10" s="249"/>
      <c r="BQ10" s="250" t="s">
        <v>436</v>
      </c>
      <c r="BR10" s="252">
        <v>149174</v>
      </c>
      <c r="BS10" s="252"/>
      <c r="BT10" s="249">
        <f t="shared" si="17"/>
        <v>-100</v>
      </c>
      <c r="BU10" s="252">
        <v>109249</v>
      </c>
      <c r="BV10" s="252"/>
      <c r="BW10" s="249">
        <f t="shared" si="0"/>
        <v>-100</v>
      </c>
      <c r="BX10" s="249"/>
      <c r="BZ10" s="250"/>
      <c r="CA10" s="250" t="s">
        <v>436</v>
      </c>
      <c r="CB10" s="252">
        <v>162977</v>
      </c>
      <c r="CC10" s="252">
        <v>109249</v>
      </c>
      <c r="CD10" s="249">
        <f t="shared" si="18"/>
        <v>-32.966614921123835</v>
      </c>
      <c r="CE10" s="252"/>
      <c r="CF10" s="252">
        <v>109249</v>
      </c>
      <c r="CG10" s="249"/>
      <c r="CH10" s="249"/>
      <c r="CI10" s="250" t="s">
        <v>59</v>
      </c>
      <c r="CJ10" s="252">
        <v>61446</v>
      </c>
      <c r="CK10" s="252">
        <v>41432</v>
      </c>
      <c r="CL10" s="249">
        <f t="shared" si="19"/>
        <v>-32.571688962666407</v>
      </c>
      <c r="CM10" s="252">
        <v>60777</v>
      </c>
      <c r="CN10" s="252">
        <v>41432</v>
      </c>
      <c r="CO10" s="249">
        <f t="shared" si="20"/>
        <v>-31.829474965858793</v>
      </c>
      <c r="CP10" s="249"/>
      <c r="CQ10" s="73"/>
      <c r="CR10" s="250"/>
      <c r="CS10" s="250" t="s">
        <v>59</v>
      </c>
      <c r="CT10" s="252">
        <v>62334</v>
      </c>
      <c r="CU10" s="252">
        <v>60777</v>
      </c>
      <c r="CV10" s="249">
        <f t="shared" si="21"/>
        <v>-2.4978342477620563</v>
      </c>
      <c r="CW10" s="252">
        <v>78261</v>
      </c>
      <c r="CX10" s="252">
        <v>60777</v>
      </c>
      <c r="CY10" s="249">
        <f t="shared" si="22"/>
        <v>-22.340629432284278</v>
      </c>
      <c r="CZ10" s="73"/>
      <c r="DA10" s="232"/>
      <c r="DB10" s="232" t="s">
        <v>59</v>
      </c>
      <c r="DC10" s="234">
        <v>89187</v>
      </c>
      <c r="DD10" s="234">
        <v>78261</v>
      </c>
      <c r="DE10" s="231">
        <f t="shared" si="3"/>
        <v>-12.25066433448821</v>
      </c>
      <c r="DF10" s="234">
        <v>93501</v>
      </c>
      <c r="DG10" s="234">
        <v>78261</v>
      </c>
      <c r="DH10" s="231">
        <f t="shared" si="4"/>
        <v>-16.299290916674689</v>
      </c>
      <c r="DI10" s="73"/>
      <c r="DJ10" s="103"/>
      <c r="DK10" s="103" t="s">
        <v>59</v>
      </c>
      <c r="DL10" s="105">
        <v>107199</v>
      </c>
      <c r="DM10" s="105">
        <v>93500</v>
      </c>
      <c r="DN10" s="102">
        <f t="shared" si="5"/>
        <v>-12.779037117883563</v>
      </c>
      <c r="DO10" s="105">
        <v>78116</v>
      </c>
      <c r="DP10" s="105">
        <v>93500</v>
      </c>
      <c r="DQ10" s="102">
        <f t="shared" si="6"/>
        <v>19.693788724461058</v>
      </c>
      <c r="DR10" s="73"/>
      <c r="DS10" s="24"/>
      <c r="DT10" s="24" t="s">
        <v>59</v>
      </c>
      <c r="DU10" s="25">
        <v>4112</v>
      </c>
      <c r="DV10" s="25">
        <v>2993</v>
      </c>
      <c r="DW10" s="128">
        <f t="shared" si="7"/>
        <v>-27.213035019455251</v>
      </c>
      <c r="DX10" s="25">
        <v>66618</v>
      </c>
      <c r="DY10" s="25">
        <v>2993</v>
      </c>
      <c r="DZ10" s="128">
        <f t="shared" si="8"/>
        <v>-95.507220270797674</v>
      </c>
      <c r="EA10" s="130"/>
      <c r="EB10" s="103"/>
      <c r="EC10" s="103" t="s">
        <v>59</v>
      </c>
      <c r="ED10" s="105">
        <v>71624</v>
      </c>
      <c r="EE10" s="105">
        <v>66618</v>
      </c>
      <c r="EF10" s="102">
        <f>((EE10-ED10)/ED10)*100</f>
        <v>-6.9892773372054062</v>
      </c>
      <c r="EG10" s="105">
        <v>69220</v>
      </c>
      <c r="EH10" s="105">
        <v>66618</v>
      </c>
      <c r="EI10" s="102">
        <f>((EH10-EG10)/EG10)*100</f>
        <v>-3.7590291823172493</v>
      </c>
      <c r="EJ10" s="73"/>
      <c r="EK10" s="77"/>
      <c r="EL10" s="77" t="s">
        <v>58</v>
      </c>
      <c r="EM10" s="80">
        <v>1735</v>
      </c>
      <c r="EN10" s="80">
        <v>1742</v>
      </c>
      <c r="EO10" s="79">
        <f t="shared" si="11"/>
        <v>0.40345821325648412</v>
      </c>
      <c r="EP10" s="81">
        <v>1267</v>
      </c>
      <c r="EQ10" s="80">
        <v>1742</v>
      </c>
      <c r="ER10" s="79">
        <f t="shared" si="12"/>
        <v>37.490134175217051</v>
      </c>
      <c r="ES10" s="61"/>
      <c r="ET10" s="42"/>
      <c r="EU10" s="42" t="s">
        <v>58</v>
      </c>
      <c r="EV10" s="43">
        <v>1274</v>
      </c>
      <c r="EW10" s="43">
        <v>1267</v>
      </c>
      <c r="EX10" s="44">
        <f t="shared" si="1"/>
        <v>-0.5494505494505495</v>
      </c>
      <c r="EY10" s="45">
        <v>1602</v>
      </c>
      <c r="EZ10" s="43">
        <v>1267</v>
      </c>
      <c r="FA10" s="44">
        <f t="shared" si="2"/>
        <v>-20.911360799001251</v>
      </c>
      <c r="FB10" s="61"/>
      <c r="FC10" s="29"/>
      <c r="FD10" s="30">
        <v>18050</v>
      </c>
      <c r="FE10" s="30">
        <v>18080</v>
      </c>
      <c r="FF10" s="29" t="s">
        <v>3</v>
      </c>
      <c r="FG10" s="30">
        <v>17715</v>
      </c>
      <c r="FH10" s="30">
        <v>18080</v>
      </c>
      <c r="FI10" s="29" t="s">
        <v>3</v>
      </c>
      <c r="FK10" s="40"/>
      <c r="FL10" s="41">
        <v>17685</v>
      </c>
      <c r="FM10" s="41">
        <v>17715</v>
      </c>
      <c r="FN10" s="40" t="s">
        <v>3</v>
      </c>
      <c r="FO10" s="41">
        <v>17349</v>
      </c>
      <c r="FP10" s="41">
        <v>17715</v>
      </c>
      <c r="FQ10" s="40" t="s">
        <v>3</v>
      </c>
    </row>
    <row r="11" spans="1:173" x14ac:dyDescent="0.5">
      <c r="A11" s="250"/>
      <c r="B11" s="250" t="s">
        <v>523</v>
      </c>
      <c r="C11" s="252">
        <v>71878</v>
      </c>
      <c r="D11" s="252">
        <v>68689</v>
      </c>
      <c r="E11" s="249">
        <f t="shared" si="23"/>
        <v>-4.436684381869278</v>
      </c>
      <c r="F11" s="252">
        <v>60381</v>
      </c>
      <c r="G11" s="252">
        <v>68689</v>
      </c>
      <c r="H11" s="249">
        <f t="shared" si="24"/>
        <v>13.759295142511718</v>
      </c>
      <c r="I11" s="250"/>
      <c r="J11" s="250" t="s">
        <v>523</v>
      </c>
      <c r="K11" s="252">
        <v>60234</v>
      </c>
      <c r="L11" s="252">
        <v>60381</v>
      </c>
      <c r="M11" s="249">
        <f t="shared" si="25"/>
        <v>0.24404821197330412</v>
      </c>
      <c r="N11" s="252">
        <v>48347</v>
      </c>
      <c r="O11" s="252">
        <v>60381</v>
      </c>
      <c r="P11" s="249">
        <f t="shared" si="26"/>
        <v>24.890892919932984</v>
      </c>
      <c r="Q11" s="250"/>
      <c r="R11" s="250" t="s">
        <v>523</v>
      </c>
      <c r="S11" s="252">
        <v>60234</v>
      </c>
      <c r="T11" s="252">
        <v>48347</v>
      </c>
      <c r="U11" s="249">
        <f t="shared" si="27"/>
        <v>-19.734701331473918</v>
      </c>
      <c r="V11" s="252">
        <v>50654</v>
      </c>
      <c r="W11" s="252">
        <v>48347</v>
      </c>
      <c r="X11" s="249">
        <f t="shared" si="28"/>
        <v>-4.5544280807043869</v>
      </c>
      <c r="Y11" s="250"/>
      <c r="Z11" s="250" t="s">
        <v>523</v>
      </c>
      <c r="AA11" s="252">
        <v>63467</v>
      </c>
      <c r="AB11" s="252">
        <v>50654</v>
      </c>
      <c r="AC11" s="249">
        <f t="shared" si="29"/>
        <v>-20.188444388422329</v>
      </c>
      <c r="AD11" s="252">
        <v>31285</v>
      </c>
      <c r="AE11" s="252">
        <v>50654</v>
      </c>
      <c r="AF11" s="249">
        <f t="shared" si="30"/>
        <v>61.911459165734371</v>
      </c>
      <c r="AG11" s="250"/>
      <c r="AH11" s="250" t="s">
        <v>523</v>
      </c>
      <c r="AI11" s="252">
        <v>42377</v>
      </c>
      <c r="AJ11" s="252">
        <v>31285</v>
      </c>
      <c r="AK11" s="249">
        <f t="shared" si="31"/>
        <v>-26.174575831229202</v>
      </c>
      <c r="AL11" s="252">
        <v>38987</v>
      </c>
      <c r="AM11" s="252">
        <v>31285</v>
      </c>
      <c r="AN11" s="249">
        <f t="shared" si="32"/>
        <v>-19.755303049734525</v>
      </c>
      <c r="AO11" s="250"/>
      <c r="AP11" s="250" t="s">
        <v>523</v>
      </c>
      <c r="AQ11" s="252">
        <v>33354</v>
      </c>
      <c r="AR11" s="252">
        <v>38987</v>
      </c>
      <c r="AS11" s="249">
        <f t="shared" si="33"/>
        <v>16.888529111950589</v>
      </c>
      <c r="AT11" s="252">
        <v>40635</v>
      </c>
      <c r="AU11" s="252">
        <v>38987</v>
      </c>
      <c r="AV11" s="249">
        <f t="shared" si="34"/>
        <v>-4.0556170788728929</v>
      </c>
      <c r="AW11" s="250"/>
      <c r="AX11" s="250" t="s">
        <v>523</v>
      </c>
      <c r="AY11" s="252">
        <v>40062</v>
      </c>
      <c r="AZ11" s="252">
        <v>40635</v>
      </c>
      <c r="BA11" s="249">
        <f t="shared" si="35"/>
        <v>1.4302830612550548</v>
      </c>
      <c r="BB11" s="252">
        <v>37793</v>
      </c>
      <c r="BC11" s="252">
        <v>40635</v>
      </c>
      <c r="BD11" s="249">
        <f t="shared" si="36"/>
        <v>7.5199110946471563</v>
      </c>
      <c r="BE11" s="249"/>
      <c r="BF11" s="249"/>
      <c r="BG11" s="250"/>
      <c r="BH11" s="250" t="s">
        <v>523</v>
      </c>
      <c r="BI11" s="289">
        <v>50571</v>
      </c>
      <c r="BJ11" s="252">
        <v>37793</v>
      </c>
      <c r="BK11" s="249">
        <f t="shared" si="37"/>
        <v>-25.267445769314428</v>
      </c>
      <c r="BL11" s="252"/>
      <c r="BM11" s="252">
        <v>37793</v>
      </c>
      <c r="BN11" s="249"/>
      <c r="BO11" s="249"/>
      <c r="BQ11" s="250" t="s">
        <v>437</v>
      </c>
      <c r="BR11" s="252">
        <v>14526</v>
      </c>
      <c r="BS11" s="252"/>
      <c r="BT11" s="249">
        <f t="shared" si="17"/>
        <v>-100</v>
      </c>
      <c r="BU11" s="252">
        <v>12151</v>
      </c>
      <c r="BV11" s="252"/>
      <c r="BW11" s="249">
        <f t="shared" si="0"/>
        <v>-100</v>
      </c>
      <c r="BX11" s="249"/>
      <c r="BZ11" s="250"/>
      <c r="CA11" s="250" t="s">
        <v>437</v>
      </c>
      <c r="CB11" s="252">
        <v>14174</v>
      </c>
      <c r="CC11" s="252">
        <v>12151</v>
      </c>
      <c r="CD11" s="249">
        <f t="shared" si="18"/>
        <v>-14.272611824467335</v>
      </c>
      <c r="CE11" s="252"/>
      <c r="CF11" s="252">
        <v>12151</v>
      </c>
      <c r="CG11" s="249"/>
      <c r="CH11" s="249"/>
      <c r="CI11" s="250" t="s">
        <v>58</v>
      </c>
      <c r="CJ11" s="252">
        <v>21041</v>
      </c>
      <c r="CK11" s="252">
        <v>15144</v>
      </c>
      <c r="CL11" s="249">
        <f t="shared" si="19"/>
        <v>-28.026234494558246</v>
      </c>
      <c r="CM11" s="252">
        <v>18777</v>
      </c>
      <c r="CN11" s="252">
        <v>15144</v>
      </c>
      <c r="CO11" s="249">
        <f t="shared" si="20"/>
        <v>-19.348138680300366</v>
      </c>
      <c r="CP11" s="249"/>
      <c r="CQ11" s="73"/>
      <c r="CR11" s="250"/>
      <c r="CS11" s="250" t="s">
        <v>58</v>
      </c>
      <c r="CT11" s="252">
        <v>16727</v>
      </c>
      <c r="CU11" s="252">
        <v>18777</v>
      </c>
      <c r="CV11" s="249">
        <f t="shared" si="21"/>
        <v>12.255634602738089</v>
      </c>
      <c r="CW11" s="252">
        <v>14404</v>
      </c>
      <c r="CX11" s="252">
        <v>18777</v>
      </c>
      <c r="CY11" s="249">
        <f t="shared" si="22"/>
        <v>30.359622327131351</v>
      </c>
      <c r="CZ11" s="73"/>
      <c r="DA11" s="232"/>
      <c r="DB11" s="232" t="s">
        <v>58</v>
      </c>
      <c r="DC11" s="234">
        <v>14458</v>
      </c>
      <c r="DD11" s="234">
        <v>14404</v>
      </c>
      <c r="DE11" s="231">
        <f t="shared" si="3"/>
        <v>-0.37349564255083689</v>
      </c>
      <c r="DF11" s="234">
        <v>7912</v>
      </c>
      <c r="DG11" s="234">
        <v>14404</v>
      </c>
      <c r="DH11" s="231">
        <f t="shared" si="4"/>
        <v>82.052578361981801</v>
      </c>
      <c r="DI11" s="73"/>
      <c r="DJ11" s="103"/>
      <c r="DK11" s="103" t="s">
        <v>58</v>
      </c>
      <c r="DL11" s="105">
        <v>8175</v>
      </c>
      <c r="DM11" s="105">
        <v>8418</v>
      </c>
      <c r="DN11" s="102">
        <f t="shared" si="5"/>
        <v>2.9724770642201834</v>
      </c>
      <c r="DO11" s="105">
        <v>6557</v>
      </c>
      <c r="DP11" s="105">
        <v>8418</v>
      </c>
      <c r="DQ11" s="102">
        <f t="shared" si="6"/>
        <v>28.381881958212595</v>
      </c>
      <c r="DR11" s="73"/>
      <c r="DS11" s="24"/>
      <c r="DT11" s="24" t="s">
        <v>58</v>
      </c>
      <c r="DU11" s="25">
        <v>99386</v>
      </c>
      <c r="DV11" s="25">
        <v>156525</v>
      </c>
      <c r="DW11" s="128">
        <f t="shared" si="7"/>
        <v>57.492000885436582</v>
      </c>
      <c r="DX11" s="25">
        <v>6099</v>
      </c>
      <c r="DY11" s="25">
        <v>156525</v>
      </c>
      <c r="DZ11" s="128">
        <f t="shared" si="8"/>
        <v>2466.4043285784555</v>
      </c>
      <c r="EA11" s="130"/>
      <c r="EB11" s="103"/>
      <c r="EC11" s="103" t="s">
        <v>58</v>
      </c>
      <c r="ED11" s="105">
        <v>6529</v>
      </c>
      <c r="EE11" s="105">
        <v>6099</v>
      </c>
      <c r="EF11" s="102">
        <f t="shared" si="9"/>
        <v>-6.5860009189768727</v>
      </c>
      <c r="EG11" s="105">
        <v>7052</v>
      </c>
      <c r="EH11" s="105">
        <v>6099</v>
      </c>
      <c r="EI11" s="102">
        <f t="shared" si="10"/>
        <v>-13.513896766874645</v>
      </c>
      <c r="EJ11" s="73"/>
      <c r="EK11" s="77"/>
      <c r="EL11" s="77" t="s">
        <v>59</v>
      </c>
      <c r="EM11" s="80">
        <v>71621</v>
      </c>
      <c r="EN11" s="80">
        <v>69741</v>
      </c>
      <c r="EO11" s="79">
        <f t="shared" si="11"/>
        <v>-2.6249284427751638</v>
      </c>
      <c r="EP11" s="81">
        <v>61461</v>
      </c>
      <c r="EQ11" s="80">
        <v>69741</v>
      </c>
      <c r="ER11" s="79">
        <f t="shared" si="12"/>
        <v>13.471957826914629</v>
      </c>
      <c r="ES11" s="61"/>
      <c r="ET11" s="42"/>
      <c r="EU11" s="42" t="s">
        <v>59</v>
      </c>
      <c r="EV11" s="43">
        <v>68486</v>
      </c>
      <c r="EW11" s="43">
        <v>61441</v>
      </c>
      <c r="EX11" s="44">
        <f t="shared" si="1"/>
        <v>-10.286773939199252</v>
      </c>
      <c r="EY11" s="45">
        <v>69296</v>
      </c>
      <c r="EZ11" s="43">
        <v>61441</v>
      </c>
      <c r="FA11" s="44">
        <f t="shared" si="2"/>
        <v>-11.3354306164858</v>
      </c>
      <c r="FB11" s="61"/>
      <c r="FC11" s="20" t="s">
        <v>0</v>
      </c>
      <c r="FD11" s="21">
        <v>99806</v>
      </c>
      <c r="FE11" s="21">
        <v>93713</v>
      </c>
      <c r="FF11" s="31">
        <f>(FE11-FD11)/FD11*100</f>
        <v>-6.1048433961886053</v>
      </c>
      <c r="FG11" s="35">
        <v>92068</v>
      </c>
      <c r="FH11" s="21">
        <v>93713</v>
      </c>
      <c r="FI11" s="31">
        <f>(FH11-FG11)/FG11*100</f>
        <v>1.7867228570187255</v>
      </c>
      <c r="FK11" s="42" t="s">
        <v>0</v>
      </c>
      <c r="FL11" s="43">
        <v>99310</v>
      </c>
      <c r="FM11" s="43">
        <v>92068</v>
      </c>
      <c r="FN11" s="44">
        <f>(FM11-FL11)/FL11*100</f>
        <v>-7.2923169872117608</v>
      </c>
      <c r="FO11" s="45">
        <v>74240</v>
      </c>
      <c r="FP11" s="43">
        <v>92068</v>
      </c>
      <c r="FQ11" s="44">
        <f>(FP11-FO11)/FO11*100</f>
        <v>24.014008620689655</v>
      </c>
    </row>
    <row r="12" spans="1:173" x14ac:dyDescent="0.5">
      <c r="A12" s="250"/>
      <c r="B12" s="250" t="s">
        <v>524</v>
      </c>
      <c r="C12" s="252">
        <v>24213</v>
      </c>
      <c r="D12" s="252">
        <v>23261</v>
      </c>
      <c r="E12" s="249">
        <f t="shared" si="23"/>
        <v>-3.9317721884937846</v>
      </c>
      <c r="F12" s="252">
        <v>24660</v>
      </c>
      <c r="G12" s="252">
        <v>23261</v>
      </c>
      <c r="H12" s="249">
        <f t="shared" si="24"/>
        <v>-5.6731549067315497</v>
      </c>
      <c r="I12" s="250"/>
      <c r="J12" s="250" t="s">
        <v>524</v>
      </c>
      <c r="K12" s="252">
        <v>35187</v>
      </c>
      <c r="L12" s="252">
        <v>24660</v>
      </c>
      <c r="M12" s="249">
        <f t="shared" si="25"/>
        <v>-29.917299002472504</v>
      </c>
      <c r="N12" s="252">
        <v>31679</v>
      </c>
      <c r="O12" s="252">
        <v>24660</v>
      </c>
      <c r="P12" s="249">
        <f t="shared" si="26"/>
        <v>-22.156633732125382</v>
      </c>
      <c r="Q12" s="250"/>
      <c r="R12" s="250" t="s">
        <v>524</v>
      </c>
      <c r="S12" s="252">
        <v>35187</v>
      </c>
      <c r="T12" s="252">
        <v>31679</v>
      </c>
      <c r="U12" s="249">
        <f t="shared" si="27"/>
        <v>-9.9695910421462468</v>
      </c>
      <c r="V12" s="252">
        <v>25079</v>
      </c>
      <c r="W12" s="252">
        <v>31679</v>
      </c>
      <c r="X12" s="249">
        <f t="shared" si="28"/>
        <v>26.316838789425418</v>
      </c>
      <c r="Y12" s="250"/>
      <c r="Z12" s="250" t="s">
        <v>524</v>
      </c>
      <c r="AA12" s="252">
        <v>34753</v>
      </c>
      <c r="AB12" s="252">
        <v>25079</v>
      </c>
      <c r="AC12" s="249">
        <f t="shared" si="29"/>
        <v>-27.836445774465513</v>
      </c>
      <c r="AD12" s="252">
        <v>21703</v>
      </c>
      <c r="AE12" s="252">
        <v>25079</v>
      </c>
      <c r="AF12" s="249">
        <f t="shared" si="30"/>
        <v>15.555453163157168</v>
      </c>
      <c r="AG12" s="250"/>
      <c r="AH12" s="250" t="s">
        <v>524</v>
      </c>
      <c r="AI12" s="252">
        <v>32704</v>
      </c>
      <c r="AJ12" s="252">
        <v>21703</v>
      </c>
      <c r="AK12" s="249">
        <f t="shared" si="31"/>
        <v>-33.638087084148729</v>
      </c>
      <c r="AL12" s="252">
        <v>25444</v>
      </c>
      <c r="AM12" s="252">
        <v>21703</v>
      </c>
      <c r="AN12" s="249">
        <f t="shared" si="32"/>
        <v>-14.702876906146834</v>
      </c>
      <c r="AO12" s="250"/>
      <c r="AP12" s="250" t="s">
        <v>524</v>
      </c>
      <c r="AQ12" s="252">
        <v>22643</v>
      </c>
      <c r="AR12" s="252">
        <v>25444</v>
      </c>
      <c r="AS12" s="249">
        <f t="shared" si="33"/>
        <v>12.370268957293645</v>
      </c>
      <c r="AT12" s="252">
        <v>25020</v>
      </c>
      <c r="AU12" s="252">
        <v>25444</v>
      </c>
      <c r="AV12" s="249">
        <f t="shared" si="34"/>
        <v>1.6946442845723422</v>
      </c>
      <c r="AW12" s="250"/>
      <c r="AX12" s="250" t="s">
        <v>524</v>
      </c>
      <c r="AY12" s="252">
        <v>24163</v>
      </c>
      <c r="AZ12" s="252">
        <v>25020</v>
      </c>
      <c r="BA12" s="249">
        <f t="shared" si="35"/>
        <v>3.5467450233828579</v>
      </c>
      <c r="BB12" s="252">
        <v>23798</v>
      </c>
      <c r="BC12" s="252">
        <v>25020</v>
      </c>
      <c r="BD12" s="249">
        <f t="shared" si="36"/>
        <v>5.1348852844776873</v>
      </c>
      <c r="BE12" s="249"/>
      <c r="BF12" s="249"/>
      <c r="BG12" s="250"/>
      <c r="BH12" s="250" t="s">
        <v>524</v>
      </c>
      <c r="BI12" s="289">
        <v>28355</v>
      </c>
      <c r="BJ12" s="252">
        <v>23798</v>
      </c>
      <c r="BK12" s="249">
        <f t="shared" si="37"/>
        <v>-16.071239640275085</v>
      </c>
      <c r="BL12" s="252"/>
      <c r="BM12" s="252">
        <v>23798</v>
      </c>
      <c r="BN12" s="249"/>
      <c r="BO12" s="249"/>
      <c r="BQ12" s="250" t="s">
        <v>438</v>
      </c>
      <c r="BR12" s="252">
        <v>12093</v>
      </c>
      <c r="BS12" s="252"/>
      <c r="BT12" s="249">
        <f t="shared" si="17"/>
        <v>-100</v>
      </c>
      <c r="BU12" s="252">
        <v>5918</v>
      </c>
      <c r="BV12" s="252"/>
      <c r="BW12" s="249">
        <f t="shared" si="0"/>
        <v>-100</v>
      </c>
      <c r="BX12" s="249"/>
      <c r="BZ12" s="250"/>
      <c r="CA12" s="250" t="s">
        <v>438</v>
      </c>
      <c r="CB12" s="252">
        <v>7276</v>
      </c>
      <c r="CC12" s="252">
        <v>5918</v>
      </c>
      <c r="CD12" s="249">
        <f t="shared" si="18"/>
        <v>-18.664101154480484</v>
      </c>
      <c r="CE12" s="252"/>
      <c r="CF12" s="252">
        <v>5918</v>
      </c>
      <c r="CG12" s="249"/>
      <c r="CH12" s="249"/>
      <c r="CI12" s="250"/>
      <c r="CJ12" s="252"/>
      <c r="CK12" s="252"/>
      <c r="CL12" s="249"/>
      <c r="CM12" s="252"/>
      <c r="CN12" s="252"/>
      <c r="CO12" s="249"/>
      <c r="CP12" s="249"/>
      <c r="CQ12" s="73"/>
      <c r="CR12" s="250"/>
      <c r="CS12" s="250"/>
      <c r="CT12" s="252"/>
      <c r="CU12" s="252"/>
      <c r="CV12" s="249"/>
      <c r="CW12" s="252"/>
      <c r="CX12" s="252"/>
      <c r="CY12" s="249"/>
      <c r="CZ12" s="73"/>
      <c r="DA12" s="232"/>
      <c r="DB12" s="232"/>
      <c r="DC12" s="234"/>
      <c r="DD12" s="234"/>
      <c r="DE12" s="231"/>
      <c r="DF12" s="234"/>
      <c r="DG12" s="234"/>
      <c r="DH12" s="231"/>
      <c r="DI12" s="73"/>
      <c r="DJ12" s="103"/>
      <c r="DK12" s="103"/>
      <c r="DL12" s="105"/>
      <c r="DM12" s="105"/>
      <c r="DN12" s="102"/>
      <c r="DO12" s="105"/>
      <c r="DP12" s="105"/>
      <c r="DQ12" s="102"/>
      <c r="DR12" s="73"/>
      <c r="DS12" s="24"/>
      <c r="DT12" s="24"/>
      <c r="DU12" s="25"/>
      <c r="DV12" s="25"/>
      <c r="DW12" s="128"/>
      <c r="DX12" s="25"/>
      <c r="DY12" s="25"/>
      <c r="DZ12" s="128"/>
      <c r="EA12" s="130"/>
      <c r="EB12" s="103"/>
      <c r="EC12" s="103"/>
      <c r="ED12" s="105"/>
      <c r="EE12" s="105"/>
      <c r="EF12" s="102"/>
      <c r="EG12" s="105"/>
      <c r="EH12" s="105"/>
      <c r="EI12" s="102"/>
      <c r="EJ12" s="73"/>
      <c r="EK12" s="77"/>
      <c r="EL12" s="77"/>
      <c r="EM12" s="80"/>
      <c r="EN12" s="80"/>
      <c r="EO12" s="79"/>
      <c r="EP12" s="81"/>
      <c r="EQ12" s="80"/>
      <c r="ER12" s="79"/>
      <c r="ES12" s="61"/>
      <c r="ET12" s="42"/>
      <c r="EU12" s="42"/>
      <c r="EV12" s="43"/>
      <c r="EW12" s="43"/>
      <c r="EX12" s="44"/>
      <c r="EY12" s="45"/>
      <c r="EZ12" s="43"/>
      <c r="FA12" s="44"/>
      <c r="FB12" s="61"/>
      <c r="FC12" s="20"/>
      <c r="FD12" s="21"/>
      <c r="FE12" s="21"/>
      <c r="FF12" s="31"/>
      <c r="FG12" s="35"/>
      <c r="FH12" s="21"/>
      <c r="FI12" s="31"/>
      <c r="FK12" s="42"/>
      <c r="FL12" s="43"/>
      <c r="FM12" s="43"/>
      <c r="FN12" s="44"/>
      <c r="FO12" s="45"/>
      <c r="FP12" s="43"/>
      <c r="FQ12" s="44"/>
    </row>
    <row r="13" spans="1:173" x14ac:dyDescent="0.5">
      <c r="A13" s="250"/>
      <c r="B13" s="250" t="s">
        <v>525</v>
      </c>
      <c r="C13" s="252">
        <v>7429</v>
      </c>
      <c r="D13" s="252">
        <v>8033</v>
      </c>
      <c r="E13" s="249">
        <f t="shared" si="23"/>
        <v>8.1303001749899053</v>
      </c>
      <c r="F13" s="252">
        <v>6647</v>
      </c>
      <c r="G13" s="252">
        <v>8033</v>
      </c>
      <c r="H13" s="249">
        <f t="shared" si="24"/>
        <v>20.851511960282835</v>
      </c>
      <c r="I13" s="250"/>
      <c r="J13" s="250" t="s">
        <v>525</v>
      </c>
      <c r="K13" s="252">
        <v>8449</v>
      </c>
      <c r="L13" s="252">
        <v>6647</v>
      </c>
      <c r="M13" s="249">
        <f t="shared" si="25"/>
        <v>-21.327967806841048</v>
      </c>
      <c r="N13" s="252">
        <v>7919</v>
      </c>
      <c r="O13" s="252">
        <v>6647</v>
      </c>
      <c r="P13" s="249">
        <f t="shared" si="26"/>
        <v>-16.062634170981184</v>
      </c>
      <c r="Q13" s="250"/>
      <c r="R13" s="250" t="s">
        <v>525</v>
      </c>
      <c r="S13" s="252">
        <v>8449</v>
      </c>
      <c r="T13" s="252">
        <v>7919</v>
      </c>
      <c r="U13" s="249">
        <f t="shared" si="27"/>
        <v>-6.2729317078944264</v>
      </c>
      <c r="V13" s="252">
        <v>4260</v>
      </c>
      <c r="W13" s="252">
        <v>7919</v>
      </c>
      <c r="X13" s="249">
        <f t="shared" si="28"/>
        <v>85.89201877934272</v>
      </c>
      <c r="Y13" s="250"/>
      <c r="Z13" s="250" t="s">
        <v>525</v>
      </c>
      <c r="AA13" s="252">
        <v>4568</v>
      </c>
      <c r="AB13" s="252">
        <v>4260</v>
      </c>
      <c r="AC13" s="249">
        <f t="shared" si="29"/>
        <v>-6.7425569176882663</v>
      </c>
      <c r="AD13" s="252">
        <v>4463</v>
      </c>
      <c r="AE13" s="252">
        <v>4260</v>
      </c>
      <c r="AF13" s="249">
        <f t="shared" si="30"/>
        <v>-4.5485099708716108</v>
      </c>
      <c r="AG13" s="250"/>
      <c r="AH13" s="250" t="s">
        <v>525</v>
      </c>
      <c r="AI13" s="252">
        <v>5338</v>
      </c>
      <c r="AJ13" s="252">
        <v>4463</v>
      </c>
      <c r="AK13" s="249">
        <f t="shared" si="31"/>
        <v>-16.391907081303859</v>
      </c>
      <c r="AL13" s="252">
        <v>3092</v>
      </c>
      <c r="AM13" s="252">
        <v>4463</v>
      </c>
      <c r="AN13" s="249">
        <f t="shared" si="32"/>
        <v>44.340232858990944</v>
      </c>
      <c r="AO13" s="250"/>
      <c r="AP13" s="250" t="s">
        <v>525</v>
      </c>
      <c r="AQ13" s="252">
        <v>3307</v>
      </c>
      <c r="AR13" s="252">
        <v>3092</v>
      </c>
      <c r="AS13" s="249">
        <f t="shared" si="33"/>
        <v>-6.5013607499244026</v>
      </c>
      <c r="AT13" s="252">
        <v>3503</v>
      </c>
      <c r="AU13" s="252">
        <v>3092</v>
      </c>
      <c r="AV13" s="249">
        <f t="shared" si="34"/>
        <v>-11.732800456751356</v>
      </c>
      <c r="AW13" s="250"/>
      <c r="AX13" s="250" t="s">
        <v>525</v>
      </c>
      <c r="AY13" s="252">
        <v>3038</v>
      </c>
      <c r="AZ13" s="252">
        <v>3503</v>
      </c>
      <c r="BA13" s="249">
        <f t="shared" si="35"/>
        <v>15.306122448979592</v>
      </c>
      <c r="BB13" s="252">
        <v>2157</v>
      </c>
      <c r="BC13" s="252">
        <v>3503</v>
      </c>
      <c r="BD13" s="249">
        <f t="shared" si="36"/>
        <v>62.401483541956424</v>
      </c>
      <c r="BE13" s="249"/>
      <c r="BF13" s="249"/>
      <c r="BG13" s="250"/>
      <c r="BH13" s="250" t="s">
        <v>525</v>
      </c>
      <c r="BI13" s="289">
        <v>2838</v>
      </c>
      <c r="BJ13" s="252">
        <v>2157</v>
      </c>
      <c r="BK13" s="249">
        <f t="shared" si="37"/>
        <v>-23.995771670190276</v>
      </c>
      <c r="BL13" s="252"/>
      <c r="BM13" s="252">
        <v>2157</v>
      </c>
      <c r="BN13" s="249"/>
      <c r="BO13" s="249"/>
      <c r="BQ13" s="250"/>
      <c r="BR13" s="252"/>
      <c r="BS13" s="252"/>
      <c r="BT13" s="249"/>
      <c r="BU13" s="252"/>
      <c r="BV13" s="252"/>
      <c r="BW13" s="249"/>
      <c r="BX13" s="249"/>
      <c r="BZ13" s="250"/>
      <c r="CA13" s="250"/>
      <c r="CB13" s="252"/>
      <c r="CC13" s="252"/>
      <c r="CD13" s="249"/>
      <c r="CE13" s="252"/>
      <c r="CF13" s="252"/>
      <c r="CG13" s="249"/>
      <c r="CH13" s="249"/>
      <c r="CI13" s="250"/>
      <c r="CJ13" s="252"/>
      <c r="CK13" s="252"/>
      <c r="CL13" s="249"/>
      <c r="CM13" s="252"/>
      <c r="CN13" s="252"/>
      <c r="CO13" s="249"/>
      <c r="CP13" s="249"/>
      <c r="CQ13" s="73"/>
      <c r="CR13" s="250"/>
      <c r="CS13" s="250"/>
      <c r="CT13" s="252"/>
      <c r="CU13" s="252"/>
      <c r="CV13" s="249"/>
      <c r="CW13" s="252"/>
      <c r="CX13" s="252"/>
      <c r="CY13" s="249"/>
      <c r="CZ13" s="73"/>
      <c r="DA13" s="232"/>
      <c r="DB13" s="232"/>
      <c r="DC13" s="234"/>
      <c r="DD13" s="234"/>
      <c r="DE13" s="231"/>
      <c r="DF13" s="234"/>
      <c r="DG13" s="234"/>
      <c r="DH13" s="231"/>
      <c r="DI13" s="73"/>
      <c r="DJ13" s="103"/>
      <c r="DK13" s="103"/>
      <c r="DL13" s="105"/>
      <c r="DM13" s="105"/>
      <c r="DN13" s="102"/>
      <c r="DO13" s="105"/>
      <c r="DP13" s="105"/>
      <c r="DQ13" s="102"/>
      <c r="DR13" s="73"/>
      <c r="DS13" s="24"/>
      <c r="DT13" s="24"/>
      <c r="DU13" s="25"/>
      <c r="DV13" s="25"/>
      <c r="DW13" s="128"/>
      <c r="DX13" s="25"/>
      <c r="DY13" s="25"/>
      <c r="DZ13" s="128"/>
      <c r="EA13" s="130"/>
      <c r="EB13" s="103"/>
      <c r="EC13" s="103"/>
      <c r="ED13" s="105"/>
      <c r="EE13" s="105"/>
      <c r="EF13" s="102"/>
      <c r="EG13" s="105"/>
      <c r="EH13" s="105"/>
      <c r="EI13" s="102"/>
      <c r="EJ13" s="73"/>
      <c r="EK13" s="77"/>
      <c r="EL13" s="77"/>
      <c r="EM13" s="80"/>
      <c r="EN13" s="80"/>
      <c r="EO13" s="79"/>
      <c r="EP13" s="81"/>
      <c r="EQ13" s="80"/>
      <c r="ER13" s="79"/>
      <c r="ES13" s="61"/>
      <c r="ET13" s="42"/>
      <c r="EU13" s="42"/>
      <c r="EV13" s="43"/>
      <c r="EW13" s="43"/>
      <c r="EX13" s="44"/>
      <c r="EY13" s="45"/>
      <c r="EZ13" s="43"/>
      <c r="FA13" s="44"/>
      <c r="FB13" s="61"/>
      <c r="FC13" s="20"/>
      <c r="FD13" s="21"/>
      <c r="FE13" s="21"/>
      <c r="FF13" s="31"/>
      <c r="FG13" s="35"/>
      <c r="FH13" s="21"/>
      <c r="FI13" s="31"/>
      <c r="FK13" s="42"/>
      <c r="FL13" s="43"/>
      <c r="FM13" s="43"/>
      <c r="FN13" s="44"/>
      <c r="FO13" s="45"/>
      <c r="FP13" s="43"/>
      <c r="FQ13" s="44"/>
    </row>
    <row r="14" spans="1:173" x14ac:dyDescent="0.5">
      <c r="A14" s="250"/>
      <c r="B14" s="359" t="s">
        <v>787</v>
      </c>
      <c r="C14" s="252">
        <v>923</v>
      </c>
      <c r="D14" s="252">
        <v>926</v>
      </c>
      <c r="E14" s="249">
        <f t="shared" si="23"/>
        <v>0.32502708559046589</v>
      </c>
      <c r="F14" s="252">
        <v>1190</v>
      </c>
      <c r="G14" s="252">
        <v>926</v>
      </c>
      <c r="H14" s="249">
        <f t="shared" si="24"/>
        <v>-22.184873949579831</v>
      </c>
      <c r="I14" s="250"/>
      <c r="J14" s="359" t="s">
        <v>787</v>
      </c>
      <c r="K14" s="252">
        <v>1272</v>
      </c>
      <c r="L14" s="252">
        <v>1190</v>
      </c>
      <c r="M14" s="249">
        <f t="shared" si="25"/>
        <v>-6.4465408805031448</v>
      </c>
      <c r="N14" s="252">
        <v>1094</v>
      </c>
      <c r="O14" s="252">
        <v>1190</v>
      </c>
      <c r="P14" s="249">
        <f t="shared" si="26"/>
        <v>8.7751371115173669</v>
      </c>
      <c r="Q14" s="250"/>
      <c r="R14" s="359" t="s">
        <v>787</v>
      </c>
      <c r="S14" s="252">
        <v>1272</v>
      </c>
      <c r="T14" s="252">
        <v>1094</v>
      </c>
      <c r="U14" s="249">
        <f t="shared" si="27"/>
        <v>-13.9937106918239</v>
      </c>
      <c r="V14" s="252">
        <v>971</v>
      </c>
      <c r="W14" s="252">
        <v>1094</v>
      </c>
      <c r="X14" s="249">
        <f t="shared" si="28"/>
        <v>12.667353244078269</v>
      </c>
      <c r="Y14" s="250"/>
      <c r="Z14" s="355"/>
      <c r="AA14" s="252">
        <v>1332</v>
      </c>
      <c r="AB14" s="252">
        <v>971</v>
      </c>
      <c r="AC14" s="249">
        <f t="shared" si="29"/>
        <v>-27.102102102102105</v>
      </c>
      <c r="AD14" s="252">
        <v>884</v>
      </c>
      <c r="AE14" s="252">
        <v>971</v>
      </c>
      <c r="AF14" s="249">
        <f t="shared" si="30"/>
        <v>9.8416289592760187</v>
      </c>
      <c r="AG14" s="250"/>
      <c r="AH14" s="355">
        <f>ก.ค.!AK18</f>
        <v>-12.137138216040533</v>
      </c>
      <c r="AI14" s="252">
        <v>1723</v>
      </c>
      <c r="AJ14" s="252">
        <v>884</v>
      </c>
      <c r="AK14" s="249">
        <f t="shared" si="31"/>
        <v>-48.694138131166568</v>
      </c>
      <c r="AL14" s="252">
        <v>1784</v>
      </c>
      <c r="AM14" s="252">
        <v>884</v>
      </c>
      <c r="AN14" s="249">
        <f t="shared" si="32"/>
        <v>-50.448430493273541</v>
      </c>
      <c r="AO14" s="250"/>
      <c r="AP14" s="250" t="s">
        <v>526</v>
      </c>
      <c r="AQ14" s="252">
        <v>2048</v>
      </c>
      <c r="AR14" s="252">
        <v>1784</v>
      </c>
      <c r="AS14" s="249">
        <f t="shared" si="33"/>
        <v>-12.890625</v>
      </c>
      <c r="AT14" s="252">
        <v>2247</v>
      </c>
      <c r="AU14" s="252">
        <v>1784</v>
      </c>
      <c r="AV14" s="249">
        <f t="shared" si="34"/>
        <v>-20.605251446372939</v>
      </c>
      <c r="AW14" s="250"/>
      <c r="AX14" s="250" t="s">
        <v>526</v>
      </c>
      <c r="AY14" s="252">
        <v>2155</v>
      </c>
      <c r="AZ14" s="252">
        <v>2247</v>
      </c>
      <c r="BA14" s="249">
        <f t="shared" si="35"/>
        <v>4.2691415313225063</v>
      </c>
      <c r="BB14" s="252">
        <v>2163</v>
      </c>
      <c r="BC14" s="252">
        <v>2247</v>
      </c>
      <c r="BD14" s="249">
        <f t="shared" si="36"/>
        <v>3.8834951456310676</v>
      </c>
      <c r="BE14" s="249"/>
      <c r="BF14" s="249"/>
      <c r="BG14" s="250"/>
      <c r="BH14" s="250" t="s">
        <v>526</v>
      </c>
      <c r="BI14" s="289">
        <v>2483</v>
      </c>
      <c r="BJ14" s="252">
        <v>2163</v>
      </c>
      <c r="BK14" s="249">
        <f t="shared" si="37"/>
        <v>-12.88763592428514</v>
      </c>
      <c r="BL14" s="252"/>
      <c r="BM14" s="252">
        <v>2163</v>
      </c>
      <c r="BN14" s="249"/>
      <c r="BO14" s="249"/>
      <c r="BQ14" s="250"/>
      <c r="BR14" s="252"/>
      <c r="BS14" s="252"/>
      <c r="BT14" s="249"/>
      <c r="BU14" s="252"/>
      <c r="BV14" s="252"/>
      <c r="BW14" s="249"/>
      <c r="BX14" s="249"/>
      <c r="BZ14" s="250"/>
      <c r="CA14" s="250"/>
      <c r="CB14" s="252"/>
      <c r="CC14" s="252"/>
      <c r="CD14" s="249"/>
      <c r="CE14" s="252"/>
      <c r="CF14" s="252"/>
      <c r="CG14" s="249"/>
      <c r="CH14" s="249"/>
      <c r="CI14" s="250"/>
      <c r="CJ14" s="252"/>
      <c r="CK14" s="252"/>
      <c r="CL14" s="249"/>
      <c r="CM14" s="252"/>
      <c r="CN14" s="252"/>
      <c r="CO14" s="249"/>
      <c r="CP14" s="249"/>
      <c r="CQ14" s="73"/>
      <c r="CR14" s="250"/>
      <c r="CS14" s="250"/>
      <c r="CT14" s="252"/>
      <c r="CU14" s="252"/>
      <c r="CV14" s="249"/>
      <c r="CW14" s="252"/>
      <c r="CX14" s="252"/>
      <c r="CY14" s="249"/>
      <c r="CZ14" s="73"/>
      <c r="DA14" s="232"/>
      <c r="DB14" s="232"/>
      <c r="DC14" s="234"/>
      <c r="DD14" s="234"/>
      <c r="DE14" s="231"/>
      <c r="DF14" s="234"/>
      <c r="DG14" s="234"/>
      <c r="DH14" s="231"/>
      <c r="DI14" s="73"/>
      <c r="DJ14" s="103"/>
      <c r="DK14" s="103"/>
      <c r="DL14" s="105"/>
      <c r="DM14" s="105"/>
      <c r="DN14" s="102"/>
      <c r="DO14" s="105"/>
      <c r="DP14" s="105"/>
      <c r="DQ14" s="102"/>
      <c r="DR14" s="73"/>
      <c r="DS14" s="24"/>
      <c r="DT14" s="24"/>
      <c r="DU14" s="25"/>
      <c r="DV14" s="25"/>
      <c r="DW14" s="128"/>
      <c r="DX14" s="25"/>
      <c r="DY14" s="25"/>
      <c r="DZ14" s="128"/>
      <c r="EA14" s="130"/>
      <c r="EB14" s="103"/>
      <c r="EC14" s="103"/>
      <c r="ED14" s="105"/>
      <c r="EE14" s="105"/>
      <c r="EF14" s="102"/>
      <c r="EG14" s="105"/>
      <c r="EH14" s="105"/>
      <c r="EI14" s="102"/>
      <c r="EJ14" s="73"/>
      <c r="EK14" s="77"/>
      <c r="EL14" s="77"/>
      <c r="EM14" s="80"/>
      <c r="EN14" s="80"/>
      <c r="EO14" s="79"/>
      <c r="EP14" s="81"/>
      <c r="EQ14" s="80"/>
      <c r="ER14" s="79"/>
      <c r="ES14" s="61"/>
      <c r="ET14" s="42"/>
      <c r="EU14" s="42"/>
      <c r="EV14" s="43"/>
      <c r="EW14" s="43"/>
      <c r="EX14" s="44"/>
      <c r="EY14" s="45"/>
      <c r="EZ14" s="43"/>
      <c r="FA14" s="44"/>
      <c r="FB14" s="61"/>
      <c r="FC14" s="20"/>
      <c r="FD14" s="21"/>
      <c r="FE14" s="21"/>
      <c r="FF14" s="31"/>
      <c r="FG14" s="35"/>
      <c r="FH14" s="21"/>
      <c r="FI14" s="31"/>
      <c r="FK14" s="42"/>
      <c r="FL14" s="43"/>
      <c r="FM14" s="43"/>
      <c r="FN14" s="44"/>
      <c r="FO14" s="45"/>
      <c r="FP14" s="43"/>
      <c r="FQ14" s="44"/>
    </row>
    <row r="15" spans="1:173" x14ac:dyDescent="0.5">
      <c r="A15" s="247" t="s">
        <v>2</v>
      </c>
      <c r="B15" s="247" t="s">
        <v>60</v>
      </c>
      <c r="C15" s="248">
        <v>65803</v>
      </c>
      <c r="D15" s="248">
        <f>D16+D17</f>
        <v>71250</v>
      </c>
      <c r="E15" s="249">
        <f t="shared" si="23"/>
        <v>8.2777380970472478</v>
      </c>
      <c r="F15" s="248">
        <v>58757</v>
      </c>
      <c r="G15" s="248">
        <v>71250</v>
      </c>
      <c r="H15" s="249">
        <f>((G15-F15)/F15)*100</f>
        <v>21.262147488809845</v>
      </c>
      <c r="I15" s="247" t="s">
        <v>2</v>
      </c>
      <c r="J15" s="247" t="s">
        <v>60</v>
      </c>
      <c r="K15" s="248">
        <v>65365</v>
      </c>
      <c r="L15" s="248">
        <v>58757</v>
      </c>
      <c r="M15" s="249">
        <f t="shared" si="25"/>
        <v>-10.10938575690354</v>
      </c>
      <c r="N15" s="248">
        <v>64238</v>
      </c>
      <c r="O15" s="248">
        <v>58757</v>
      </c>
      <c r="P15" s="249">
        <f>((O15-N15)/N15)*100</f>
        <v>-8.5323328870761852</v>
      </c>
      <c r="Q15" s="247" t="s">
        <v>2</v>
      </c>
      <c r="R15" s="247" t="s">
        <v>60</v>
      </c>
      <c r="S15" s="248">
        <v>65365</v>
      </c>
      <c r="T15" s="248">
        <v>64238</v>
      </c>
      <c r="U15" s="249">
        <f t="shared" si="27"/>
        <v>-1.7241643081159643</v>
      </c>
      <c r="V15" s="248">
        <v>80602.94</v>
      </c>
      <c r="W15" s="248">
        <v>64238</v>
      </c>
      <c r="X15" s="249">
        <f>((W15-V15)/V15)*100</f>
        <v>-20.303155195083459</v>
      </c>
      <c r="Y15" s="247" t="s">
        <v>2</v>
      </c>
      <c r="Z15" s="247" t="s">
        <v>60</v>
      </c>
      <c r="AA15" s="248">
        <v>79268</v>
      </c>
      <c r="AB15" s="248">
        <v>80602.94</v>
      </c>
      <c r="AC15" s="249">
        <f t="shared" si="29"/>
        <v>1.6840843720038381</v>
      </c>
      <c r="AD15" s="248">
        <v>87068</v>
      </c>
      <c r="AE15" s="248">
        <v>80602.94</v>
      </c>
      <c r="AF15" s="249">
        <f>((AE15-AD15)/AD15)*100</f>
        <v>-7.4252997657003688</v>
      </c>
      <c r="AG15" s="247" t="s">
        <v>2</v>
      </c>
      <c r="AH15" s="247" t="s">
        <v>60</v>
      </c>
      <c r="AI15" s="248">
        <v>95089</v>
      </c>
      <c r="AJ15" s="248">
        <v>87068</v>
      </c>
      <c r="AK15" s="249">
        <f t="shared" si="31"/>
        <v>-8.4352553923166713</v>
      </c>
      <c r="AL15" s="248">
        <v>39258</v>
      </c>
      <c r="AM15" s="248">
        <v>87068</v>
      </c>
      <c r="AN15" s="249">
        <f>((AM15-AL15)/AL15)*100</f>
        <v>121.78409496153651</v>
      </c>
      <c r="AO15" s="247" t="s">
        <v>2</v>
      </c>
      <c r="AP15" s="247" t="s">
        <v>60</v>
      </c>
      <c r="AQ15" s="248">
        <v>40128</v>
      </c>
      <c r="AR15" s="248">
        <v>39258</v>
      </c>
      <c r="AS15" s="249">
        <f t="shared" si="33"/>
        <v>-2.1680622009569377</v>
      </c>
      <c r="AT15" s="248">
        <v>65573</v>
      </c>
      <c r="AU15" s="248">
        <v>39258</v>
      </c>
      <c r="AV15" s="249">
        <f>((AU15-AT15)/AT15)*100</f>
        <v>-40.130846537446814</v>
      </c>
      <c r="AW15" s="247" t="s">
        <v>2</v>
      </c>
      <c r="AX15" s="247" t="s">
        <v>60</v>
      </c>
      <c r="AY15" s="248">
        <v>84965</v>
      </c>
      <c r="AZ15" s="248">
        <f>AZ16+AZ17</f>
        <v>73202</v>
      </c>
      <c r="BA15" s="249">
        <f t="shared" si="35"/>
        <v>-13.844524215853587</v>
      </c>
      <c r="BB15" s="248">
        <v>68296</v>
      </c>
      <c r="BC15" s="248">
        <f>BC16+BC17</f>
        <v>73202</v>
      </c>
      <c r="BD15" s="249">
        <f>((BC15-BB15)/BB15)*100</f>
        <v>7.1834368044980668</v>
      </c>
      <c r="BE15" s="249"/>
      <c r="BF15" s="249"/>
      <c r="BG15" s="247" t="s">
        <v>2</v>
      </c>
      <c r="BH15" s="247" t="s">
        <v>60</v>
      </c>
      <c r="BI15" s="285">
        <v>71011</v>
      </c>
      <c r="BJ15" s="248">
        <v>68296</v>
      </c>
      <c r="BK15" s="249">
        <f t="shared" si="37"/>
        <v>-3.8233513117685991</v>
      </c>
      <c r="BL15" s="248">
        <v>61795</v>
      </c>
      <c r="BM15" s="248">
        <v>68296</v>
      </c>
      <c r="BN15" s="249">
        <f t="shared" ref="BN15:BN18" si="38">((BM15-BL15)/BL15)*100</f>
        <v>10.52026863014807</v>
      </c>
      <c r="BO15" s="249"/>
      <c r="BQ15" s="247" t="s">
        <v>60</v>
      </c>
      <c r="BR15" s="248">
        <v>61427</v>
      </c>
      <c r="BS15" s="248">
        <v>61795</v>
      </c>
      <c r="BT15" s="249">
        <f t="shared" si="17"/>
        <v>0.59908509287446887</v>
      </c>
      <c r="BU15" s="248">
        <v>63775</v>
      </c>
      <c r="BV15" s="248">
        <v>61795</v>
      </c>
      <c r="BW15" s="249">
        <f>((BV15-BU15)/BU15)*100</f>
        <v>-3.1046648373186985</v>
      </c>
      <c r="BX15" s="249"/>
      <c r="BZ15" s="247" t="s">
        <v>2</v>
      </c>
      <c r="CA15" s="247" t="s">
        <v>60</v>
      </c>
      <c r="CB15" s="248">
        <v>72320</v>
      </c>
      <c r="CC15" s="248">
        <v>63775</v>
      </c>
      <c r="CD15" s="249">
        <f t="shared" si="18"/>
        <v>-11.815542035398231</v>
      </c>
      <c r="CE15" s="248">
        <v>65960</v>
      </c>
      <c r="CF15" s="248">
        <v>63775</v>
      </c>
      <c r="CG15" s="249">
        <f>((CF15-CE15)/CE15)*100</f>
        <v>-3.312613705275925</v>
      </c>
      <c r="CH15" s="249"/>
      <c r="CI15" s="247" t="s">
        <v>60</v>
      </c>
      <c r="CJ15" s="248">
        <v>76112</v>
      </c>
      <c r="CK15" s="248">
        <v>65960</v>
      </c>
      <c r="CL15" s="249">
        <f t="shared" si="19"/>
        <v>-13.338238385537105</v>
      </c>
      <c r="CM15" s="248">
        <f>SUM(CM16:CM17)</f>
        <v>71300</v>
      </c>
      <c r="CN15" s="248">
        <v>65960</v>
      </c>
      <c r="CO15" s="249">
        <f t="shared" si="20"/>
        <v>-7.4894810659186533</v>
      </c>
      <c r="CP15" s="249"/>
      <c r="CQ15" s="73"/>
      <c r="CR15" s="247" t="s">
        <v>2</v>
      </c>
      <c r="CS15" s="247" t="s">
        <v>60</v>
      </c>
      <c r="CT15" s="248">
        <f>SUM(CT16:CT17)</f>
        <v>73615</v>
      </c>
      <c r="CU15" s="248">
        <f>SUM(CU16:CU17)</f>
        <v>71300</v>
      </c>
      <c r="CV15" s="249">
        <f t="shared" si="21"/>
        <v>-3.1447395231950011</v>
      </c>
      <c r="CW15" s="248">
        <v>97432</v>
      </c>
      <c r="CX15" s="248">
        <v>71300</v>
      </c>
      <c r="CY15" s="249">
        <f t="shared" si="22"/>
        <v>-26.820757040807948</v>
      </c>
      <c r="CZ15" s="73"/>
      <c r="DA15" s="229" t="s">
        <v>2</v>
      </c>
      <c r="DB15" s="229" t="s">
        <v>60</v>
      </c>
      <c r="DC15" s="242">
        <f>SUM(DC16:DC17)</f>
        <v>94639</v>
      </c>
      <c r="DD15" s="242">
        <f>SUM(DD16:DD17)</f>
        <v>97432</v>
      </c>
      <c r="DE15" s="231">
        <f t="shared" si="3"/>
        <v>2.9512146155390484</v>
      </c>
      <c r="DF15" s="230">
        <f>SUM(DF16:DF17)</f>
        <v>64801</v>
      </c>
      <c r="DG15" s="242">
        <v>97432</v>
      </c>
      <c r="DH15" s="231">
        <f t="shared" si="4"/>
        <v>50.355704387277974</v>
      </c>
      <c r="DI15" s="73"/>
      <c r="DJ15" s="100" t="s">
        <v>2</v>
      </c>
      <c r="DK15" s="100" t="s">
        <v>60</v>
      </c>
      <c r="DL15" s="101">
        <v>71772</v>
      </c>
      <c r="DM15" s="101">
        <f>SUM(DM16:DM17)</f>
        <v>64801</v>
      </c>
      <c r="DN15" s="102">
        <f t="shared" si="5"/>
        <v>-9.7127013319957634</v>
      </c>
      <c r="DO15" s="101">
        <f>SUM(DO16:DO17)</f>
        <v>104628</v>
      </c>
      <c r="DP15" s="101">
        <f>SUM(DP16:DP17)</f>
        <v>64801</v>
      </c>
      <c r="DQ15" s="102">
        <f t="shared" si="6"/>
        <v>-38.065336238865314</v>
      </c>
      <c r="DR15" s="73"/>
      <c r="DS15" s="120" t="s">
        <v>2</v>
      </c>
      <c r="DT15" s="120" t="s">
        <v>60</v>
      </c>
      <c r="DU15" s="121">
        <f>SUM(DU16:DU17)</f>
        <v>54525</v>
      </c>
      <c r="DV15" s="121">
        <f>SUM(DV16:DV17)</f>
        <v>74210</v>
      </c>
      <c r="DW15" s="125">
        <f t="shared" si="7"/>
        <v>36.102705181109584</v>
      </c>
      <c r="DX15" s="121">
        <v>36272</v>
      </c>
      <c r="DY15" s="121">
        <f>SUM(DY16:DY17)</f>
        <v>74210</v>
      </c>
      <c r="DZ15" s="125">
        <f t="shared" si="8"/>
        <v>104.5930745478606</v>
      </c>
      <c r="EA15" s="127"/>
      <c r="EB15" s="100" t="s">
        <v>2</v>
      </c>
      <c r="EC15" s="100" t="s">
        <v>60</v>
      </c>
      <c r="ED15" s="101">
        <v>39550</v>
      </c>
      <c r="EE15" s="101">
        <f>SUM(EE16:EE17)</f>
        <v>36272</v>
      </c>
      <c r="EF15" s="102">
        <f t="shared" si="9"/>
        <v>-8.2882427307206079</v>
      </c>
      <c r="EG15" s="101">
        <v>124346</v>
      </c>
      <c r="EH15" s="101">
        <f>SUM(EH16:EH17)</f>
        <v>36272</v>
      </c>
      <c r="EI15" s="102">
        <f t="shared" si="10"/>
        <v>-70.829781416370452</v>
      </c>
      <c r="EJ15" s="73"/>
      <c r="EK15" s="74" t="s">
        <v>2</v>
      </c>
      <c r="EL15" s="74" t="s">
        <v>60</v>
      </c>
      <c r="EM15" s="75">
        <f>SUM(EM16:EM17)</f>
        <v>171420</v>
      </c>
      <c r="EN15" s="75">
        <f>SUM(EN16:EN17)</f>
        <v>124346</v>
      </c>
      <c r="EO15" s="76">
        <f t="shared" si="11"/>
        <v>-27.461206393653015</v>
      </c>
      <c r="EP15" s="75">
        <f>SUM(EP16:EP17)</f>
        <v>170349</v>
      </c>
      <c r="EQ15" s="75">
        <f>SUM(EQ16:EQ17)</f>
        <v>124346</v>
      </c>
      <c r="ER15" s="76">
        <f t="shared" si="12"/>
        <v>-27.005148254465833</v>
      </c>
      <c r="ES15" s="73"/>
      <c r="ET15" s="63" t="s">
        <v>2</v>
      </c>
      <c r="EU15" s="63" t="s">
        <v>60</v>
      </c>
      <c r="EV15" s="64">
        <v>155669</v>
      </c>
      <c r="EW15" s="64">
        <v>170349</v>
      </c>
      <c r="EX15" s="65">
        <f t="shared" si="1"/>
        <v>9.4302654992323465</v>
      </c>
      <c r="EY15" s="64">
        <v>133265</v>
      </c>
      <c r="EZ15" s="64">
        <v>170349</v>
      </c>
      <c r="FA15" s="65">
        <f t="shared" si="2"/>
        <v>27.827261471504144</v>
      </c>
      <c r="FB15" s="73"/>
      <c r="FC15" s="20" t="s">
        <v>1</v>
      </c>
      <c r="FD15" s="21">
        <v>55532</v>
      </c>
      <c r="FE15" s="21">
        <v>50638</v>
      </c>
      <c r="FF15" s="31">
        <f>(FE15-FD15)/FD15*100</f>
        <v>-8.8129366851545061</v>
      </c>
      <c r="FG15" s="35">
        <v>50872</v>
      </c>
      <c r="FH15" s="21">
        <v>50638</v>
      </c>
      <c r="FI15" s="31">
        <f>(FH15-FG15)/FG15*100</f>
        <v>-0.4599779839597421</v>
      </c>
      <c r="FK15" s="42" t="s">
        <v>1</v>
      </c>
      <c r="FL15" s="43">
        <v>63421</v>
      </c>
      <c r="FM15" s="43">
        <v>50872</v>
      </c>
      <c r="FN15" s="44">
        <f>(FM15-FL15)/FL15*100</f>
        <v>-19.786821399851785</v>
      </c>
      <c r="FO15" s="45">
        <v>45424</v>
      </c>
      <c r="FP15" s="43">
        <v>50872</v>
      </c>
      <c r="FQ15" s="44">
        <f>(FP15-FO15)/FO15*100</f>
        <v>11.993659739344839</v>
      </c>
    </row>
    <row r="16" spans="1:173" x14ac:dyDescent="0.5">
      <c r="A16" s="250"/>
      <c r="B16" s="250" t="s">
        <v>61</v>
      </c>
      <c r="C16" s="252">
        <v>36372</v>
      </c>
      <c r="D16" s="252">
        <v>34673</v>
      </c>
      <c r="E16" s="249">
        <f t="shared" si="23"/>
        <v>-4.6711756296051909</v>
      </c>
      <c r="F16" s="252">
        <v>30528</v>
      </c>
      <c r="G16" s="252">
        <v>34673</v>
      </c>
      <c r="H16" s="249">
        <f>((G16-F16)/F16)*100</f>
        <v>13.577699161425578</v>
      </c>
      <c r="I16" s="250"/>
      <c r="J16" s="250" t="s">
        <v>61</v>
      </c>
      <c r="K16" s="252">
        <v>40100</v>
      </c>
      <c r="L16" s="252">
        <v>30528</v>
      </c>
      <c r="M16" s="249">
        <f t="shared" si="25"/>
        <v>-23.870324189526183</v>
      </c>
      <c r="N16" s="252">
        <v>39588</v>
      </c>
      <c r="O16" s="252">
        <v>30528</v>
      </c>
      <c r="P16" s="249">
        <f>((O16-N16)/N16)*100</f>
        <v>-22.885722946347379</v>
      </c>
      <c r="Q16" s="250"/>
      <c r="R16" s="250" t="s">
        <v>61</v>
      </c>
      <c r="S16" s="252">
        <v>40100</v>
      </c>
      <c r="T16" s="252">
        <v>39588</v>
      </c>
      <c r="U16" s="249">
        <f t="shared" si="27"/>
        <v>-1.2768079800498755</v>
      </c>
      <c r="V16" s="252">
        <v>22031</v>
      </c>
      <c r="W16" s="252">
        <v>39588</v>
      </c>
      <c r="X16" s="249">
        <f>((W16-V16)/V16)*100</f>
        <v>79.692251826971088</v>
      </c>
      <c r="Y16" s="250"/>
      <c r="Z16" s="250" t="s">
        <v>61</v>
      </c>
      <c r="AA16" s="252">
        <v>25061</v>
      </c>
      <c r="AB16" s="252">
        <v>22031</v>
      </c>
      <c r="AC16" s="249">
        <f t="shared" si="29"/>
        <v>-12.090499181995931</v>
      </c>
      <c r="AD16" s="252">
        <v>39840</v>
      </c>
      <c r="AE16" s="252">
        <v>22031</v>
      </c>
      <c r="AF16" s="249">
        <f>((AE16-AD16)/AD16)*100</f>
        <v>-44.701305220883533</v>
      </c>
      <c r="AG16" s="250"/>
      <c r="AH16" s="250" t="s">
        <v>61</v>
      </c>
      <c r="AI16" s="252">
        <v>52139</v>
      </c>
      <c r="AJ16" s="252">
        <v>39840</v>
      </c>
      <c r="AK16" s="249">
        <f t="shared" si="31"/>
        <v>-23.588868217648976</v>
      </c>
      <c r="AL16" s="252">
        <v>14036</v>
      </c>
      <c r="AM16" s="252">
        <v>39840</v>
      </c>
      <c r="AN16" s="249">
        <f>((AM16-AL16)/AL16)*100</f>
        <v>183.84155029923056</v>
      </c>
      <c r="AO16" s="250"/>
      <c r="AP16" s="250" t="s">
        <v>61</v>
      </c>
      <c r="AQ16" s="252">
        <v>26148</v>
      </c>
      <c r="AR16" s="252">
        <v>14036</v>
      </c>
      <c r="AS16" s="249">
        <f t="shared" si="33"/>
        <v>-46.320942328285149</v>
      </c>
      <c r="AT16" s="252">
        <v>24407</v>
      </c>
      <c r="AU16" s="252">
        <v>14036</v>
      </c>
      <c r="AV16" s="249">
        <f>((AU16-AT16)/AT16)*100</f>
        <v>-42.49190805916335</v>
      </c>
      <c r="AW16" s="250"/>
      <c r="AX16" s="250" t="s">
        <v>61</v>
      </c>
      <c r="AY16" s="252">
        <v>38853</v>
      </c>
      <c r="AZ16" s="252">
        <v>32036</v>
      </c>
      <c r="BA16" s="249">
        <f t="shared" si="35"/>
        <v>-17.545620672792321</v>
      </c>
      <c r="BB16" s="252">
        <v>31941</v>
      </c>
      <c r="BC16" s="252">
        <v>32036</v>
      </c>
      <c r="BD16" s="249">
        <f>((BC16-BB16)/BB16)*100</f>
        <v>0.29742337434645127</v>
      </c>
      <c r="BE16" s="249"/>
      <c r="BF16" s="249"/>
      <c r="BG16" s="250"/>
      <c r="BH16" s="250" t="s">
        <v>61</v>
      </c>
      <c r="BI16" s="289">
        <v>30953</v>
      </c>
      <c r="BJ16" s="252">
        <v>31941</v>
      </c>
      <c r="BK16" s="249">
        <f t="shared" si="37"/>
        <v>3.1919361612767747</v>
      </c>
      <c r="BL16" s="252">
        <v>29301</v>
      </c>
      <c r="BM16" s="252">
        <v>31941</v>
      </c>
      <c r="BN16" s="249">
        <f t="shared" si="38"/>
        <v>9.0099314016586476</v>
      </c>
      <c r="BO16" s="249"/>
      <c r="BQ16" s="250" t="s">
        <v>61</v>
      </c>
      <c r="BR16" s="252">
        <v>26095</v>
      </c>
      <c r="BS16" s="252">
        <v>29301</v>
      </c>
      <c r="BT16" s="249">
        <f t="shared" si="17"/>
        <v>12.285878520789423</v>
      </c>
      <c r="BU16" s="252">
        <v>19399</v>
      </c>
      <c r="BV16" s="252">
        <v>29301</v>
      </c>
      <c r="BW16" s="249">
        <f>((BV16-BU16)/BU16)*100</f>
        <v>51.043868240630964</v>
      </c>
      <c r="BX16" s="249"/>
      <c r="BZ16" s="250"/>
      <c r="CA16" s="250" t="s">
        <v>61</v>
      </c>
      <c r="CB16" s="252">
        <v>23176</v>
      </c>
      <c r="CC16" s="252">
        <v>19399</v>
      </c>
      <c r="CD16" s="249">
        <f t="shared" si="18"/>
        <v>-16.297031411805314</v>
      </c>
      <c r="CE16" s="252">
        <v>23705</v>
      </c>
      <c r="CF16" s="252">
        <v>19399</v>
      </c>
      <c r="CG16" s="249">
        <f>((CF16-CE16)/CE16)*100</f>
        <v>-18.164944104619281</v>
      </c>
      <c r="CH16" s="249"/>
      <c r="CI16" s="250" t="s">
        <v>61</v>
      </c>
      <c r="CJ16" s="252">
        <v>30007</v>
      </c>
      <c r="CK16" s="252">
        <v>23705</v>
      </c>
      <c r="CL16" s="249">
        <f t="shared" si="19"/>
        <v>-21.001766254540609</v>
      </c>
      <c r="CM16" s="252">
        <v>24058</v>
      </c>
      <c r="CN16" s="252">
        <v>23705</v>
      </c>
      <c r="CO16" s="249">
        <f t="shared" si="20"/>
        <v>-1.467287388810375</v>
      </c>
      <c r="CP16" s="249"/>
      <c r="CQ16" s="73"/>
      <c r="CR16" s="250"/>
      <c r="CS16" s="250" t="s">
        <v>61</v>
      </c>
      <c r="CT16" s="252">
        <v>24476</v>
      </c>
      <c r="CU16" s="252">
        <v>24058</v>
      </c>
      <c r="CV16" s="249">
        <f t="shared" si="21"/>
        <v>-1.707795391403824</v>
      </c>
      <c r="CW16" s="252">
        <v>34385</v>
      </c>
      <c r="CX16" s="252">
        <v>24058</v>
      </c>
      <c r="CY16" s="249">
        <f t="shared" si="22"/>
        <v>-30.03344481605351</v>
      </c>
      <c r="CZ16" s="73"/>
      <c r="DA16" s="232"/>
      <c r="DB16" s="232" t="s">
        <v>61</v>
      </c>
      <c r="DC16" s="244">
        <v>29273</v>
      </c>
      <c r="DD16" s="244">
        <v>34385</v>
      </c>
      <c r="DE16" s="231">
        <f t="shared" si="3"/>
        <v>17.463191336726677</v>
      </c>
      <c r="DF16" s="234">
        <v>25953</v>
      </c>
      <c r="DG16" s="244">
        <v>34385</v>
      </c>
      <c r="DH16" s="231">
        <f t="shared" si="4"/>
        <v>32.489500250452743</v>
      </c>
      <c r="DI16" s="73"/>
      <c r="DJ16" s="103"/>
      <c r="DK16" s="103" t="s">
        <v>61</v>
      </c>
      <c r="DL16" s="105">
        <v>28069</v>
      </c>
      <c r="DM16" s="105">
        <v>25953</v>
      </c>
      <c r="DN16" s="102">
        <f t="shared" si="5"/>
        <v>-7.5385656774377434</v>
      </c>
      <c r="DO16" s="105">
        <v>21428</v>
      </c>
      <c r="DP16" s="105">
        <v>25953</v>
      </c>
      <c r="DQ16" s="102">
        <f t="shared" si="6"/>
        <v>21.117229792794475</v>
      </c>
      <c r="DR16" s="73"/>
      <c r="DS16" s="24"/>
      <c r="DT16" s="24" t="s">
        <v>61</v>
      </c>
      <c r="DU16" s="25">
        <v>12165</v>
      </c>
      <c r="DV16" s="25">
        <v>17323</v>
      </c>
      <c r="DW16" s="128">
        <f t="shared" si="7"/>
        <v>42.400328812166052</v>
      </c>
      <c r="DX16" s="25">
        <v>4536</v>
      </c>
      <c r="DY16" s="25">
        <v>17323</v>
      </c>
      <c r="DZ16" s="128">
        <f t="shared" si="8"/>
        <v>281.90035273368608</v>
      </c>
      <c r="EA16" s="130"/>
      <c r="EB16" s="103"/>
      <c r="EC16" s="103" t="s">
        <v>61</v>
      </c>
      <c r="ED16" s="105">
        <v>6702</v>
      </c>
      <c r="EE16" s="105">
        <v>4536</v>
      </c>
      <c r="EF16" s="102">
        <f t="shared" si="9"/>
        <v>-32.318710832587286</v>
      </c>
      <c r="EG16" s="105">
        <v>10281</v>
      </c>
      <c r="EH16" s="105">
        <v>4536</v>
      </c>
      <c r="EI16" s="102">
        <f t="shared" si="10"/>
        <v>-55.879778231689528</v>
      </c>
      <c r="EJ16" s="73"/>
      <c r="EK16" s="77"/>
      <c r="EL16" s="77" t="s">
        <v>61</v>
      </c>
      <c r="EM16" s="80">
        <v>12757</v>
      </c>
      <c r="EN16" s="80">
        <v>10281</v>
      </c>
      <c r="EO16" s="79">
        <f t="shared" si="11"/>
        <v>-19.408951947950147</v>
      </c>
      <c r="EP16" s="81">
        <v>8480</v>
      </c>
      <c r="EQ16" s="80">
        <v>10281</v>
      </c>
      <c r="ER16" s="79">
        <f t="shared" si="12"/>
        <v>21.238207547169811</v>
      </c>
      <c r="ES16" s="61"/>
      <c r="ET16" s="42"/>
      <c r="EU16" s="42" t="s">
        <v>61</v>
      </c>
      <c r="EV16" s="43">
        <v>8600</v>
      </c>
      <c r="EW16" s="43">
        <v>8480</v>
      </c>
      <c r="EX16" s="44">
        <f t="shared" si="1"/>
        <v>-1.3953488372093024</v>
      </c>
      <c r="EY16" s="45">
        <v>9931</v>
      </c>
      <c r="EZ16" s="43">
        <v>8480</v>
      </c>
      <c r="FA16" s="44">
        <f t="shared" si="2"/>
        <v>-14.610814620884099</v>
      </c>
      <c r="FB16" s="61"/>
      <c r="FC16" s="20" t="s">
        <v>2</v>
      </c>
      <c r="FD16" s="21">
        <v>45780</v>
      </c>
      <c r="FE16" s="21">
        <v>40561</v>
      </c>
      <c r="FF16" s="31">
        <f>(FE16-FD16)/FD16*100</f>
        <v>-11.400174748798602</v>
      </c>
      <c r="FG16" s="35">
        <v>38049</v>
      </c>
      <c r="FH16" s="21">
        <v>40561</v>
      </c>
      <c r="FI16" s="31">
        <f>(FH16-FG16)/FG16*100</f>
        <v>6.6020131935136268</v>
      </c>
      <c r="FK16" s="42" t="s">
        <v>2</v>
      </c>
      <c r="FL16" s="43">
        <v>37036</v>
      </c>
      <c r="FM16" s="43">
        <v>38049</v>
      </c>
      <c r="FN16" s="44">
        <f>(FM16-FL16)/FL16*100</f>
        <v>2.7351765849443783</v>
      </c>
      <c r="FO16" s="45">
        <v>32196</v>
      </c>
      <c r="FP16" s="43">
        <v>38049</v>
      </c>
      <c r="FQ16" s="44">
        <f>(FP16-FO16)/FO16*100</f>
        <v>18.179276928811035</v>
      </c>
    </row>
    <row r="17" spans="1:158" x14ac:dyDescent="0.5">
      <c r="A17" s="250"/>
      <c r="B17" s="250" t="s">
        <v>62</v>
      </c>
      <c r="C17" s="252">
        <v>29431</v>
      </c>
      <c r="D17" s="252">
        <v>36577</v>
      </c>
      <c r="E17" s="249">
        <f t="shared" si="23"/>
        <v>24.280520539567124</v>
      </c>
      <c r="F17" s="252">
        <v>28229</v>
      </c>
      <c r="G17" s="252">
        <v>36577</v>
      </c>
      <c r="H17" s="249">
        <f>((G17-F17)/F17)*100</f>
        <v>29.572425519855468</v>
      </c>
      <c r="I17" s="250"/>
      <c r="J17" s="250" t="s">
        <v>62</v>
      </c>
      <c r="K17" s="252">
        <v>25265</v>
      </c>
      <c r="L17" s="252">
        <v>28229</v>
      </c>
      <c r="M17" s="249">
        <f t="shared" si="25"/>
        <v>11.731644567583615</v>
      </c>
      <c r="N17" s="252">
        <v>24650</v>
      </c>
      <c r="O17" s="252">
        <v>28229</v>
      </c>
      <c r="P17" s="249">
        <f>((O17-N17)/N17)*100</f>
        <v>14.519269776876268</v>
      </c>
      <c r="Q17" s="250"/>
      <c r="R17" s="250" t="s">
        <v>62</v>
      </c>
      <c r="S17" s="252">
        <v>25265</v>
      </c>
      <c r="T17" s="252">
        <v>24650</v>
      </c>
      <c r="U17" s="249">
        <f t="shared" si="27"/>
        <v>-2.4341975064318224</v>
      </c>
      <c r="V17" s="252">
        <v>58571.94</v>
      </c>
      <c r="W17" s="252">
        <v>24650</v>
      </c>
      <c r="X17" s="249">
        <f>((W17-V17)/V17)*100</f>
        <v>-57.915001620229759</v>
      </c>
      <c r="Y17" s="250"/>
      <c r="Z17" s="250" t="s">
        <v>62</v>
      </c>
      <c r="AA17" s="252">
        <v>54207</v>
      </c>
      <c r="AB17" s="252">
        <v>58571.94</v>
      </c>
      <c r="AC17" s="249">
        <f t="shared" si="29"/>
        <v>8.0523548619182073</v>
      </c>
      <c r="AD17" s="252">
        <v>47228</v>
      </c>
      <c r="AE17" s="252">
        <v>58571.94</v>
      </c>
      <c r="AF17" s="249">
        <f>((AE17-AD17)/AD17)*100</f>
        <v>24.01952231726942</v>
      </c>
      <c r="AG17" s="250"/>
      <c r="AH17" s="250" t="s">
        <v>62</v>
      </c>
      <c r="AI17" s="252">
        <v>42950</v>
      </c>
      <c r="AJ17" s="252">
        <v>47228</v>
      </c>
      <c r="AK17" s="249">
        <f t="shared" si="31"/>
        <v>9.9604190919674043</v>
      </c>
      <c r="AL17" s="252">
        <v>25222</v>
      </c>
      <c r="AM17" s="252">
        <v>47228</v>
      </c>
      <c r="AN17" s="249">
        <f>((AM17-AL17)/AL17)*100</f>
        <v>87.249226865434935</v>
      </c>
      <c r="AO17" s="250"/>
      <c r="AP17" s="250" t="s">
        <v>62</v>
      </c>
      <c r="AQ17" s="252">
        <v>13980</v>
      </c>
      <c r="AR17" s="252">
        <v>25222</v>
      </c>
      <c r="AS17" s="249">
        <f t="shared" si="33"/>
        <v>80.414878397711021</v>
      </c>
      <c r="AT17" s="252">
        <v>41166</v>
      </c>
      <c r="AU17" s="252">
        <v>25222</v>
      </c>
      <c r="AV17" s="249">
        <f>((AU17-AT17)/AT17)*100</f>
        <v>-38.730991595005584</v>
      </c>
      <c r="AW17" s="250"/>
      <c r="AX17" s="250" t="s">
        <v>62</v>
      </c>
      <c r="AY17" s="252">
        <v>46112</v>
      </c>
      <c r="AZ17" s="252">
        <v>41166</v>
      </c>
      <c r="BA17" s="249">
        <f t="shared" si="35"/>
        <v>-10.726058292852187</v>
      </c>
      <c r="BB17" s="252">
        <v>36355</v>
      </c>
      <c r="BC17" s="252">
        <v>41166</v>
      </c>
      <c r="BD17" s="249">
        <f>((BC17-BB17)/BB17)*100</f>
        <v>13.23339293082107</v>
      </c>
      <c r="BE17" s="249"/>
      <c r="BF17" s="249"/>
      <c r="BG17" s="250"/>
      <c r="BH17" s="250" t="s">
        <v>62</v>
      </c>
      <c r="BI17" s="289">
        <v>40058</v>
      </c>
      <c r="BJ17" s="252">
        <v>36355</v>
      </c>
      <c r="BK17" s="249">
        <f t="shared" si="37"/>
        <v>-9.2440960607119678</v>
      </c>
      <c r="BL17" s="252">
        <v>32494</v>
      </c>
      <c r="BM17" s="252">
        <v>36355</v>
      </c>
      <c r="BN17" s="249">
        <f t="shared" si="38"/>
        <v>11.882193635748138</v>
      </c>
      <c r="BO17" s="249"/>
      <c r="BQ17" s="250" t="s">
        <v>62</v>
      </c>
      <c r="BR17" s="252">
        <v>35332</v>
      </c>
      <c r="BS17" s="252">
        <v>32494</v>
      </c>
      <c r="BT17" s="249">
        <f t="shared" si="17"/>
        <v>-8.0323785803237868</v>
      </c>
      <c r="BU17" s="252">
        <v>44376</v>
      </c>
      <c r="BV17" s="252">
        <v>32494</v>
      </c>
      <c r="BW17" s="249">
        <f>((BV17-BU17)/BU17)*100</f>
        <v>-26.775734631332256</v>
      </c>
      <c r="BX17" s="249"/>
      <c r="BZ17" s="250"/>
      <c r="CA17" s="250" t="s">
        <v>62</v>
      </c>
      <c r="CB17" s="252">
        <v>49144</v>
      </c>
      <c r="CC17" s="252">
        <v>44376</v>
      </c>
      <c r="CD17" s="249">
        <f t="shared" si="18"/>
        <v>-9.7020999511639268</v>
      </c>
      <c r="CE17" s="252">
        <v>42255</v>
      </c>
      <c r="CF17" s="252">
        <v>44376</v>
      </c>
      <c r="CG17" s="249">
        <f>((CF17-CE17)/CE17)*100</f>
        <v>5.0195243166489174</v>
      </c>
      <c r="CH17" s="249"/>
      <c r="CI17" s="250" t="s">
        <v>62</v>
      </c>
      <c r="CJ17" s="252">
        <v>46105</v>
      </c>
      <c r="CK17" s="252">
        <v>42255</v>
      </c>
      <c r="CL17" s="249">
        <f t="shared" si="19"/>
        <v>-8.3505042837002499</v>
      </c>
      <c r="CM17" s="252">
        <v>47242</v>
      </c>
      <c r="CN17" s="252">
        <v>42255</v>
      </c>
      <c r="CO17" s="249">
        <f t="shared" si="20"/>
        <v>-10.556284661953347</v>
      </c>
      <c r="CP17" s="249"/>
      <c r="CQ17" s="73"/>
      <c r="CR17" s="250"/>
      <c r="CS17" s="250" t="s">
        <v>62</v>
      </c>
      <c r="CT17" s="252">
        <v>49139</v>
      </c>
      <c r="CU17" s="252">
        <v>47242</v>
      </c>
      <c r="CV17" s="249">
        <f t="shared" si="21"/>
        <v>-3.8604774211929427</v>
      </c>
      <c r="CW17" s="252">
        <v>63047</v>
      </c>
      <c r="CX17" s="252">
        <v>47242</v>
      </c>
      <c r="CY17" s="249">
        <f t="shared" si="22"/>
        <v>-25.068599616159371</v>
      </c>
      <c r="CZ17" s="73"/>
      <c r="DA17" s="232"/>
      <c r="DB17" s="232" t="s">
        <v>62</v>
      </c>
      <c r="DC17" s="244">
        <v>65366</v>
      </c>
      <c r="DD17" s="244">
        <v>63047</v>
      </c>
      <c r="DE17" s="231">
        <f t="shared" si="3"/>
        <v>-3.5477159379493926</v>
      </c>
      <c r="DF17" s="234">
        <v>38848</v>
      </c>
      <c r="DG17" s="244">
        <v>63047</v>
      </c>
      <c r="DH17" s="231">
        <f t="shared" si="4"/>
        <v>62.291495057660626</v>
      </c>
      <c r="DI17" s="73"/>
      <c r="DJ17" s="103"/>
      <c r="DK17" s="103" t="s">
        <v>62</v>
      </c>
      <c r="DL17" s="105">
        <v>43703</v>
      </c>
      <c r="DM17" s="105">
        <v>38848</v>
      </c>
      <c r="DN17" s="102">
        <f t="shared" si="5"/>
        <v>-11.109077180056289</v>
      </c>
      <c r="DO17" s="105">
        <v>83200</v>
      </c>
      <c r="DP17" s="105">
        <v>38848</v>
      </c>
      <c r="DQ17" s="102">
        <f t="shared" si="6"/>
        <v>-53.307692307692314</v>
      </c>
      <c r="DR17" s="73"/>
      <c r="DS17" s="24"/>
      <c r="DT17" s="24" t="s">
        <v>62</v>
      </c>
      <c r="DU17" s="25">
        <v>42360</v>
      </c>
      <c r="DV17" s="25">
        <v>56887</v>
      </c>
      <c r="DW17" s="128">
        <f t="shared" si="7"/>
        <v>34.294145420207741</v>
      </c>
      <c r="DX17" s="25">
        <v>31736</v>
      </c>
      <c r="DY17" s="25">
        <v>56887</v>
      </c>
      <c r="DZ17" s="128">
        <f t="shared" si="8"/>
        <v>79.250693219057226</v>
      </c>
      <c r="EA17" s="130"/>
      <c r="EB17" s="103"/>
      <c r="EC17" s="103" t="s">
        <v>62</v>
      </c>
      <c r="ED17" s="105">
        <v>32848</v>
      </c>
      <c r="EE17" s="105">
        <v>31736</v>
      </c>
      <c r="EF17" s="102">
        <f t="shared" si="9"/>
        <v>-3.3852898197759376</v>
      </c>
      <c r="EG17" s="105">
        <v>114065</v>
      </c>
      <c r="EH17" s="105">
        <v>31736</v>
      </c>
      <c r="EI17" s="102">
        <f t="shared" si="10"/>
        <v>-72.177267347564992</v>
      </c>
      <c r="EJ17" s="73"/>
      <c r="EK17" s="77"/>
      <c r="EL17" s="77" t="s">
        <v>62</v>
      </c>
      <c r="EM17" s="80">
        <v>158663</v>
      </c>
      <c r="EN17" s="80">
        <v>114065</v>
      </c>
      <c r="EO17" s="79">
        <f t="shared" si="11"/>
        <v>-28.108632762521822</v>
      </c>
      <c r="EP17" s="81">
        <v>161869</v>
      </c>
      <c r="EQ17" s="80">
        <v>114065</v>
      </c>
      <c r="ER17" s="79">
        <f t="shared" si="12"/>
        <v>-29.532523213215622</v>
      </c>
      <c r="ES17" s="61"/>
      <c r="ET17" s="42"/>
      <c r="EU17" s="42" t="s">
        <v>62</v>
      </c>
      <c r="EV17" s="43">
        <v>147069</v>
      </c>
      <c r="EW17" s="43">
        <v>161869</v>
      </c>
      <c r="EX17" s="44">
        <f t="shared" si="1"/>
        <v>10.063303619389538</v>
      </c>
      <c r="EY17" s="45">
        <v>123334</v>
      </c>
      <c r="EZ17" s="43">
        <v>161869</v>
      </c>
      <c r="FA17" s="44">
        <f t="shared" si="2"/>
        <v>31.244425705806993</v>
      </c>
      <c r="FB17" s="61"/>
    </row>
    <row r="18" spans="1:158" x14ac:dyDescent="0.5">
      <c r="A18" s="250"/>
      <c r="B18" s="250" t="s">
        <v>63</v>
      </c>
      <c r="C18" s="256">
        <v>5074.1727086684996</v>
      </c>
      <c r="D18" s="256">
        <v>5246.1960052190898</v>
      </c>
      <c r="E18" s="249">
        <f t="shared" si="23"/>
        <v>3.3901742496212828</v>
      </c>
      <c r="F18" s="256">
        <v>4624.9229228499998</v>
      </c>
      <c r="G18" s="256">
        <v>5246.1960052190898</v>
      </c>
      <c r="H18" s="249">
        <f>((G18-F18)/F18)*100</f>
        <v>13.433155378646722</v>
      </c>
      <c r="I18" s="250"/>
      <c r="J18" s="250" t="s">
        <v>63</v>
      </c>
      <c r="K18" s="256">
        <v>5602.4912697884101</v>
      </c>
      <c r="L18" s="256">
        <v>4624.9229228499998</v>
      </c>
      <c r="M18" s="249">
        <f t="shared" si="25"/>
        <v>-17.448815176383668</v>
      </c>
      <c r="N18" s="256">
        <v>5690.3665062574701</v>
      </c>
      <c r="O18" s="256">
        <v>4624.9229228499998</v>
      </c>
      <c r="P18" s="249">
        <f>((O18-N18)/N18)*100</f>
        <v>-18.723637260198341</v>
      </c>
      <c r="Q18" s="250"/>
      <c r="R18" s="250" t="s">
        <v>63</v>
      </c>
      <c r="S18" s="256">
        <v>5602.4912697884101</v>
      </c>
      <c r="T18" s="256">
        <v>5690.3665062574701</v>
      </c>
      <c r="U18" s="249">
        <f t="shared" si="27"/>
        <v>1.5685028719799992</v>
      </c>
      <c r="V18" s="256">
        <v>4385.6544619065098</v>
      </c>
      <c r="W18" s="256">
        <v>5690.3665062574701</v>
      </c>
      <c r="X18" s="249">
        <f>((W18-V18)/V18)*100</f>
        <v>29.749540363555738</v>
      </c>
      <c r="Y18" s="250"/>
      <c r="Z18" s="250" t="s">
        <v>63</v>
      </c>
      <c r="AA18" s="256">
        <v>5139.9834543445904</v>
      </c>
      <c r="AB18" s="256">
        <v>4385.6544619065098</v>
      </c>
      <c r="AC18" s="249">
        <f t="shared" si="29"/>
        <v>-14.675708572572956</v>
      </c>
      <c r="AD18" s="256">
        <v>6317.7</v>
      </c>
      <c r="AE18" s="256">
        <v>4385.6544619065098</v>
      </c>
      <c r="AF18" s="249">
        <f>((AE18-AD18)/AD18)*100</f>
        <v>-30.581470125100751</v>
      </c>
      <c r="AG18" s="250"/>
      <c r="AH18" s="250" t="s">
        <v>63</v>
      </c>
      <c r="AI18" s="256">
        <v>7190.41</v>
      </c>
      <c r="AJ18" s="256">
        <v>6317.7</v>
      </c>
      <c r="AK18" s="249">
        <f t="shared" si="31"/>
        <v>-12.137138216040533</v>
      </c>
      <c r="AL18" s="256">
        <v>3155.8444632625101</v>
      </c>
      <c r="AM18" s="256">
        <v>6317.7</v>
      </c>
      <c r="AN18" s="249">
        <f>((AM18-AL18)/AL18)*100</f>
        <v>100.19047432612587</v>
      </c>
      <c r="AO18" s="250"/>
      <c r="AP18" s="250" t="s">
        <v>63</v>
      </c>
      <c r="AQ18" s="256">
        <v>4668.1696049581396</v>
      </c>
      <c r="AR18" s="256">
        <v>3155.8444632625101</v>
      </c>
      <c r="AS18" s="249">
        <f t="shared" si="33"/>
        <v>-32.396533752530416</v>
      </c>
      <c r="AT18" s="256">
        <v>4927.8665549099996</v>
      </c>
      <c r="AU18" s="256">
        <v>3155.8444632625101</v>
      </c>
      <c r="AV18" s="249">
        <f>((AU18-AT18)/AT18)*100</f>
        <v>-35.959214234035869</v>
      </c>
      <c r="AW18" s="250"/>
      <c r="AX18" s="250" t="s">
        <v>63</v>
      </c>
      <c r="AY18" s="256">
        <v>6494.3146469559397</v>
      </c>
      <c r="AZ18" s="256">
        <v>5605.0349399099996</v>
      </c>
      <c r="BA18" s="249">
        <f t="shared" si="35"/>
        <v>-13.693203292248391</v>
      </c>
      <c r="BB18" s="256">
        <v>5287.87</v>
      </c>
      <c r="BC18" s="256">
        <v>5605.0349399099996</v>
      </c>
      <c r="BD18" s="249">
        <f>((BC18-BB18)/BB18)*100</f>
        <v>5.9979715823195292</v>
      </c>
      <c r="BE18" s="249"/>
      <c r="BF18" s="249"/>
      <c r="BG18" s="250"/>
      <c r="BH18" s="250" t="s">
        <v>63</v>
      </c>
      <c r="BI18" s="290">
        <v>4734.75</v>
      </c>
      <c r="BJ18" s="256">
        <v>5287.87</v>
      </c>
      <c r="BK18" s="249">
        <f t="shared" si="37"/>
        <v>11.682137388457678</v>
      </c>
      <c r="BL18" s="256">
        <v>4328.07</v>
      </c>
      <c r="BM18" s="256">
        <v>5287.87</v>
      </c>
      <c r="BN18" s="249">
        <f t="shared" si="38"/>
        <v>22.176166281968644</v>
      </c>
      <c r="BO18" s="249"/>
      <c r="BQ18" s="250" t="s">
        <v>63</v>
      </c>
      <c r="BR18" s="256">
        <v>3614.52</v>
      </c>
      <c r="BS18" s="256">
        <v>4328.07</v>
      </c>
      <c r="BT18" s="249">
        <f t="shared" si="17"/>
        <v>19.741210451180233</v>
      </c>
      <c r="BU18" s="256">
        <v>2978.83</v>
      </c>
      <c r="BV18" s="256">
        <v>4328.07</v>
      </c>
      <c r="BW18" s="249">
        <f>((BV18-BU18)/BU18)*100</f>
        <v>45.294293397071996</v>
      </c>
      <c r="BX18" s="249"/>
      <c r="BZ18" s="250"/>
      <c r="CA18" s="250" t="s">
        <v>63</v>
      </c>
      <c r="CB18" s="256">
        <v>3343.33</v>
      </c>
      <c r="CC18" s="256">
        <v>2978.83</v>
      </c>
      <c r="CD18" s="249">
        <f t="shared" si="18"/>
        <v>-10.902303990332991</v>
      </c>
      <c r="CE18" s="256">
        <v>3398.21</v>
      </c>
      <c r="CF18" s="256">
        <v>2978.83</v>
      </c>
      <c r="CG18" s="249">
        <f>((CF18-CE18)/CE18)*100</f>
        <v>-12.341203162841618</v>
      </c>
      <c r="CH18" s="249"/>
      <c r="CI18" s="250" t="s">
        <v>63</v>
      </c>
      <c r="CJ18" s="256">
        <v>4009.43</v>
      </c>
      <c r="CK18" s="256">
        <v>3398.21</v>
      </c>
      <c r="CL18" s="249">
        <f t="shared" si="19"/>
        <v>-15.244560947566107</v>
      </c>
      <c r="CM18" s="256">
        <v>4260.8100000000004</v>
      </c>
      <c r="CN18" s="256">
        <v>3398.21</v>
      </c>
      <c r="CO18" s="249">
        <f t="shared" si="20"/>
        <v>-20.244976894064752</v>
      </c>
      <c r="CP18" s="249"/>
      <c r="CQ18" s="73"/>
      <c r="CR18" s="250"/>
      <c r="CS18" s="250" t="s">
        <v>63</v>
      </c>
      <c r="CT18" s="256">
        <v>3884.82</v>
      </c>
      <c r="CU18" s="256">
        <v>3831.84</v>
      </c>
      <c r="CV18" s="249">
        <f t="shared" si="21"/>
        <v>-1.3637697499498049</v>
      </c>
      <c r="CW18" s="256">
        <v>4892.8</v>
      </c>
      <c r="CX18" s="256">
        <v>3831.84</v>
      </c>
      <c r="CY18" s="249">
        <f t="shared" si="22"/>
        <v>-21.684107259646829</v>
      </c>
      <c r="CZ18" s="73"/>
      <c r="DA18" s="232"/>
      <c r="DB18" s="232" t="s">
        <v>63</v>
      </c>
      <c r="DC18" s="243">
        <v>2993.55</v>
      </c>
      <c r="DD18" s="243">
        <v>4892.8</v>
      </c>
      <c r="DE18" s="231">
        <f t="shared" si="3"/>
        <v>63.444739523308449</v>
      </c>
      <c r="DF18" s="235">
        <v>2435.8200000000002</v>
      </c>
      <c r="DG18" s="243">
        <v>4892.8</v>
      </c>
      <c r="DH18" s="231">
        <f t="shared" si="4"/>
        <v>100.86870129976764</v>
      </c>
      <c r="DI18" s="73"/>
      <c r="DJ18" s="103"/>
      <c r="DK18" s="103" t="s">
        <v>63</v>
      </c>
      <c r="DL18" s="106">
        <v>2380.3000000000002</v>
      </c>
      <c r="DM18" s="106">
        <v>2435.8200000000002</v>
      </c>
      <c r="DN18" s="102">
        <f t="shared" si="5"/>
        <v>2.3324790992732001</v>
      </c>
      <c r="DO18" s="106">
        <v>1948.68</v>
      </c>
      <c r="DP18" s="106">
        <v>2435.8200000000002</v>
      </c>
      <c r="DQ18" s="102">
        <f t="shared" si="6"/>
        <v>24.998460496335987</v>
      </c>
      <c r="DR18" s="73"/>
      <c r="DS18" s="24"/>
      <c r="DT18" s="24" t="s">
        <v>63</v>
      </c>
      <c r="DU18" s="124">
        <v>1732.64</v>
      </c>
      <c r="DV18" s="124">
        <v>2311.63</v>
      </c>
      <c r="DW18" s="125">
        <f t="shared" si="7"/>
        <v>33.416635885123277</v>
      </c>
      <c r="DX18" s="124">
        <v>944.61</v>
      </c>
      <c r="DY18" s="124">
        <v>2311.63</v>
      </c>
      <c r="DZ18" s="125">
        <f t="shared" si="8"/>
        <v>144.71792591651581</v>
      </c>
      <c r="EA18" s="127"/>
      <c r="EB18" s="103"/>
      <c r="EC18" s="103" t="s">
        <v>63</v>
      </c>
      <c r="ED18" s="106">
        <v>1228.9100000000001</v>
      </c>
      <c r="EE18" s="106">
        <v>944.61</v>
      </c>
      <c r="EF18" s="102">
        <f t="shared" si="9"/>
        <v>-23.134322285602693</v>
      </c>
      <c r="EG18" s="106">
        <v>1933.67</v>
      </c>
      <c r="EH18" s="106">
        <v>944.61</v>
      </c>
      <c r="EI18" s="102">
        <f t="shared" si="10"/>
        <v>-51.149368816809492</v>
      </c>
      <c r="EJ18" s="73"/>
      <c r="EK18" s="77"/>
      <c r="EL18" s="77" t="s">
        <v>63</v>
      </c>
      <c r="EM18" s="82">
        <v>2222.11</v>
      </c>
      <c r="EN18" s="82">
        <v>1933.67</v>
      </c>
      <c r="EO18" s="79">
        <f t="shared" si="11"/>
        <v>-12.980455513003408</v>
      </c>
      <c r="EP18" s="83">
        <v>2130.13</v>
      </c>
      <c r="EQ18" s="82">
        <v>1933.67</v>
      </c>
      <c r="ER18" s="79">
        <f t="shared" si="12"/>
        <v>-9.2229112777154452</v>
      </c>
      <c r="ES18" s="61"/>
      <c r="ET18" s="42"/>
      <c r="EU18" s="42" t="s">
        <v>63</v>
      </c>
      <c r="EV18" s="66">
        <v>3484.3</v>
      </c>
      <c r="EW18" s="66">
        <v>2130.13</v>
      </c>
      <c r="EX18" s="44">
        <f t="shared" si="1"/>
        <v>-38.864908302958987</v>
      </c>
      <c r="EY18" s="67">
        <v>1967.63</v>
      </c>
      <c r="EZ18" s="66">
        <v>2130.13</v>
      </c>
      <c r="FA18" s="44">
        <f t="shared" si="2"/>
        <v>8.2586665175871481</v>
      </c>
      <c r="FB18" s="61"/>
    </row>
    <row r="20" spans="1:158" x14ac:dyDescent="0.5">
      <c r="C20" s="62" t="s">
        <v>877</v>
      </c>
      <c r="K20" s="62" t="s">
        <v>839</v>
      </c>
      <c r="S20" s="62" t="s">
        <v>786</v>
      </c>
      <c r="AA20" s="62" t="s">
        <v>783</v>
      </c>
      <c r="AI20" s="62" t="s">
        <v>694</v>
      </c>
      <c r="AQ20" s="62" t="s">
        <v>648</v>
      </c>
      <c r="AY20" s="62" t="s">
        <v>600</v>
      </c>
      <c r="BI20" s="62" t="s">
        <v>607</v>
      </c>
      <c r="BR20" s="62" t="s">
        <v>510</v>
      </c>
      <c r="CB20" s="62" t="s">
        <v>450</v>
      </c>
      <c r="CJ20" t="s">
        <v>400</v>
      </c>
      <c r="CT20" t="s">
        <v>358</v>
      </c>
      <c r="DC20" t="s">
        <v>268</v>
      </c>
      <c r="DL20" t="s">
        <v>268</v>
      </c>
      <c r="DU20" t="s">
        <v>188</v>
      </c>
      <c r="ED20" t="s">
        <v>152</v>
      </c>
      <c r="EM20" t="s">
        <v>109</v>
      </c>
      <c r="EV20" t="s">
        <v>69</v>
      </c>
    </row>
    <row r="21" spans="1:158" x14ac:dyDescent="0.5">
      <c r="A21" s="163"/>
      <c r="B21" s="163"/>
      <c r="C21" s="263" t="s">
        <v>873</v>
      </c>
      <c r="D21" s="263" t="s">
        <v>876</v>
      </c>
      <c r="E21" s="265" t="s">
        <v>3</v>
      </c>
      <c r="F21" s="263" t="s">
        <v>836</v>
      </c>
      <c r="G21" s="263" t="s">
        <v>876</v>
      </c>
      <c r="H21" s="265" t="s">
        <v>3</v>
      </c>
      <c r="I21" s="163"/>
      <c r="J21" s="163"/>
      <c r="K21" s="263" t="s">
        <v>833</v>
      </c>
      <c r="L21" s="263" t="s">
        <v>836</v>
      </c>
      <c r="M21" s="265" t="s">
        <v>3</v>
      </c>
      <c r="N21" s="263" t="s">
        <v>784</v>
      </c>
      <c r="O21" s="263" t="s">
        <v>836</v>
      </c>
      <c r="P21" s="265" t="s">
        <v>3</v>
      </c>
      <c r="Q21" s="163"/>
      <c r="R21" s="163"/>
      <c r="S21" s="263" t="s">
        <v>781</v>
      </c>
      <c r="T21" s="263" t="s">
        <v>784</v>
      </c>
      <c r="U21" s="265" t="s">
        <v>3</v>
      </c>
      <c r="V21" s="263" t="s">
        <v>738</v>
      </c>
      <c r="W21" s="263" t="s">
        <v>784</v>
      </c>
      <c r="X21" s="265" t="s">
        <v>3</v>
      </c>
      <c r="Y21" s="163"/>
      <c r="Z21" s="163"/>
      <c r="AA21" s="263" t="s">
        <v>737</v>
      </c>
      <c r="AB21" s="263" t="s">
        <v>738</v>
      </c>
      <c r="AC21" s="265" t="s">
        <v>3</v>
      </c>
      <c r="AD21" s="263" t="s">
        <v>695</v>
      </c>
      <c r="AE21" s="263" t="s">
        <v>738</v>
      </c>
      <c r="AF21" s="265" t="s">
        <v>3</v>
      </c>
      <c r="AG21" s="163"/>
      <c r="AH21" s="163"/>
      <c r="AI21" s="263" t="s">
        <v>691</v>
      </c>
      <c r="AJ21" s="263" t="s">
        <v>695</v>
      </c>
      <c r="AK21" s="265" t="s">
        <v>3</v>
      </c>
      <c r="AL21" s="263" t="s">
        <v>649</v>
      </c>
      <c r="AM21" s="263" t="s">
        <v>695</v>
      </c>
      <c r="AN21" s="265" t="s">
        <v>3</v>
      </c>
      <c r="AO21" s="163"/>
      <c r="AP21" s="163"/>
      <c r="AQ21" s="263" t="s">
        <v>646</v>
      </c>
      <c r="AR21" s="263" t="s">
        <v>649</v>
      </c>
      <c r="AS21" s="265" t="s">
        <v>3</v>
      </c>
      <c r="AT21" s="263" t="s">
        <v>598</v>
      </c>
      <c r="AU21" s="263" t="s">
        <v>649</v>
      </c>
      <c r="AV21" s="265" t="s">
        <v>3</v>
      </c>
      <c r="AW21" s="163"/>
      <c r="AX21" s="163"/>
      <c r="AY21" s="263" t="s">
        <v>596</v>
      </c>
      <c r="AZ21" s="263">
        <v>22828</v>
      </c>
      <c r="BA21" s="265" t="s">
        <v>3</v>
      </c>
      <c r="BB21" s="263" t="s">
        <v>555</v>
      </c>
      <c r="BC21" s="263">
        <v>22828</v>
      </c>
      <c r="BD21" s="265" t="s">
        <v>3</v>
      </c>
      <c r="BE21" s="265"/>
      <c r="BF21" s="163"/>
      <c r="BG21" s="163"/>
      <c r="BH21" s="163"/>
      <c r="BI21" s="263" t="s">
        <v>606</v>
      </c>
      <c r="BJ21" s="263" t="s">
        <v>555</v>
      </c>
      <c r="BK21" s="265" t="s">
        <v>3</v>
      </c>
      <c r="BL21" s="263" t="s">
        <v>508</v>
      </c>
      <c r="BM21" s="263" t="s">
        <v>555</v>
      </c>
      <c r="BN21" s="265" t="s">
        <v>3</v>
      </c>
      <c r="BO21" s="163"/>
      <c r="BQ21" s="163"/>
      <c r="BR21" s="263" t="s">
        <v>507</v>
      </c>
      <c r="BS21" s="263" t="s">
        <v>508</v>
      </c>
      <c r="BT21" s="265" t="s">
        <v>3</v>
      </c>
      <c r="BU21" s="263" t="s">
        <v>452</v>
      </c>
      <c r="BV21" s="263" t="s">
        <v>508</v>
      </c>
      <c r="BW21" s="265" t="s">
        <v>3</v>
      </c>
      <c r="BX21" s="163"/>
      <c r="BZ21" s="163"/>
      <c r="CA21" s="163"/>
      <c r="CB21" s="263" t="s">
        <v>451</v>
      </c>
      <c r="CC21" s="263" t="s">
        <v>452</v>
      </c>
      <c r="CD21" s="265" t="s">
        <v>3</v>
      </c>
      <c r="CE21" s="263" t="s">
        <v>453</v>
      </c>
      <c r="CF21" s="263" t="s">
        <v>452</v>
      </c>
      <c r="CG21" s="265" t="s">
        <v>3</v>
      </c>
      <c r="CH21" s="163"/>
      <c r="CI21" s="163"/>
      <c r="CJ21" s="172" t="s">
        <v>401</v>
      </c>
      <c r="CK21" s="172" t="s">
        <v>402</v>
      </c>
      <c r="CL21" s="163" t="s">
        <v>3</v>
      </c>
      <c r="CM21" s="172" t="s">
        <v>359</v>
      </c>
      <c r="CN21" s="172" t="s">
        <v>399</v>
      </c>
      <c r="CO21" s="163" t="s">
        <v>3</v>
      </c>
      <c r="CP21" s="163"/>
      <c r="CQ21" s="62"/>
      <c r="CR21" s="163"/>
      <c r="CS21" s="163"/>
      <c r="CT21" s="172" t="s">
        <v>356</v>
      </c>
      <c r="CU21" s="172" t="s">
        <v>360</v>
      </c>
      <c r="CV21" s="163" t="s">
        <v>3</v>
      </c>
      <c r="CW21" s="172" t="s">
        <v>305</v>
      </c>
      <c r="CX21" s="172" t="s">
        <v>359</v>
      </c>
      <c r="CY21" s="163" t="s">
        <v>3</v>
      </c>
      <c r="CZ21" s="62"/>
      <c r="DA21" s="239"/>
      <c r="DB21" s="239"/>
      <c r="DC21" s="240" t="s">
        <v>303</v>
      </c>
      <c r="DD21" s="240" t="s">
        <v>305</v>
      </c>
      <c r="DE21" s="239" t="s">
        <v>3</v>
      </c>
      <c r="DF21" s="241" t="s">
        <v>267</v>
      </c>
      <c r="DG21" s="240" t="s">
        <v>305</v>
      </c>
      <c r="DH21" s="239" t="s">
        <v>3</v>
      </c>
      <c r="DI21" s="62"/>
      <c r="DJ21" s="141"/>
      <c r="DK21" s="141"/>
      <c r="DL21" s="144" t="s">
        <v>265</v>
      </c>
      <c r="DM21" s="144" t="s">
        <v>267</v>
      </c>
      <c r="DN21" s="141" t="s">
        <v>3</v>
      </c>
      <c r="DO21" s="146" t="s">
        <v>224</v>
      </c>
      <c r="DP21" s="144" t="s">
        <v>267</v>
      </c>
      <c r="DQ21" s="141" t="s">
        <v>3</v>
      </c>
      <c r="DR21" s="62"/>
      <c r="DS21" s="95"/>
      <c r="DT21" s="95"/>
      <c r="DU21" s="96" t="s">
        <v>186</v>
      </c>
      <c r="DV21" s="96" t="s">
        <v>189</v>
      </c>
      <c r="DW21" s="95" t="s">
        <v>3</v>
      </c>
      <c r="DX21" s="96" t="s">
        <v>151</v>
      </c>
      <c r="DY21" s="96" t="s">
        <v>189</v>
      </c>
      <c r="DZ21" s="95" t="s">
        <v>3</v>
      </c>
      <c r="EA21" s="62"/>
      <c r="EB21" s="107"/>
      <c r="EC21" s="107"/>
      <c r="ED21" s="108" t="s">
        <v>150</v>
      </c>
      <c r="EE21" s="108" t="s">
        <v>151</v>
      </c>
      <c r="EF21" s="107" t="s">
        <v>3</v>
      </c>
      <c r="EG21" s="108" t="s">
        <v>110</v>
      </c>
      <c r="EH21" s="108" t="s">
        <v>151</v>
      </c>
      <c r="EI21" s="107" t="s">
        <v>3</v>
      </c>
      <c r="EJ21" s="62"/>
      <c r="EK21" s="95"/>
      <c r="EL21" s="95"/>
      <c r="EM21" s="96">
        <v>18780</v>
      </c>
      <c r="EN21" s="96">
        <v>18810</v>
      </c>
      <c r="EO21" s="95" t="s">
        <v>3</v>
      </c>
      <c r="EP21" s="96" t="s">
        <v>111</v>
      </c>
      <c r="EQ21" s="96" t="s">
        <v>110</v>
      </c>
      <c r="ER21" s="95" t="s">
        <v>3</v>
      </c>
      <c r="ES21" s="62"/>
      <c r="ET21" s="54"/>
      <c r="EU21" s="54"/>
      <c r="EV21" s="55">
        <v>18415</v>
      </c>
      <c r="EW21" s="55">
        <v>18445</v>
      </c>
      <c r="EX21" s="54" t="s">
        <v>3</v>
      </c>
      <c r="EY21" s="55">
        <v>18080</v>
      </c>
      <c r="EZ21" s="55">
        <v>18445</v>
      </c>
      <c r="FA21" s="54" t="s">
        <v>3</v>
      </c>
      <c r="FB21" s="62"/>
    </row>
    <row r="22" spans="1:158" x14ac:dyDescent="0.5">
      <c r="A22" s="165" t="s">
        <v>0</v>
      </c>
      <c r="B22" s="165"/>
      <c r="C22" s="166">
        <v>130223</v>
      </c>
      <c r="D22" s="166">
        <v>110616</v>
      </c>
      <c r="E22" s="167">
        <f t="shared" ref="E22:E32" si="39">((D22-C22)/C22)*100</f>
        <v>-15.056480038088511</v>
      </c>
      <c r="F22" s="166">
        <v>124829</v>
      </c>
      <c r="G22" s="166">
        <v>110616</v>
      </c>
      <c r="H22" s="167">
        <f t="shared" ref="H22:H32" si="40">((G22-F22)/F22)*100</f>
        <v>-11.385976015188778</v>
      </c>
      <c r="I22" s="165" t="s">
        <v>0</v>
      </c>
      <c r="J22" s="165"/>
      <c r="K22" s="166">
        <v>116289</v>
      </c>
      <c r="L22" s="166">
        <v>124829</v>
      </c>
      <c r="M22" s="167">
        <f t="shared" ref="M22:M32" si="41">((L22-K22)/K22)*100</f>
        <v>7.3437728417993107</v>
      </c>
      <c r="N22" s="166">
        <v>149709</v>
      </c>
      <c r="O22" s="166">
        <v>124829</v>
      </c>
      <c r="P22" s="167">
        <f t="shared" ref="P22:P32" si="42">((O22-N22)/N22)*100</f>
        <v>-16.618907346919691</v>
      </c>
      <c r="Q22" s="165" t="s">
        <v>0</v>
      </c>
      <c r="R22" s="165"/>
      <c r="S22" s="166">
        <v>145557</v>
      </c>
      <c r="T22" s="166">
        <v>149709</v>
      </c>
      <c r="U22" s="167">
        <f t="shared" ref="U22:U32" si="43">((T22-S22)/S22)*100</f>
        <v>2.852490776809085</v>
      </c>
      <c r="V22" s="166">
        <v>142958</v>
      </c>
      <c r="W22" s="166">
        <v>149709</v>
      </c>
      <c r="X22" s="167">
        <f t="shared" ref="X22:X32" si="44">((W22-V22)/V22)*100</f>
        <v>4.7223660095972244</v>
      </c>
      <c r="Y22" s="165" t="s">
        <v>0</v>
      </c>
      <c r="Z22" s="165"/>
      <c r="AA22" s="166">
        <v>143016</v>
      </c>
      <c r="AB22" s="166">
        <v>142958</v>
      </c>
      <c r="AC22" s="167">
        <f t="shared" ref="AC22:AC32" si="45">((AB22-AA22)/AA22)*100</f>
        <v>-4.0554902947921911E-2</v>
      </c>
      <c r="AD22" s="166">
        <v>123163</v>
      </c>
      <c r="AE22" s="166">
        <v>142958</v>
      </c>
      <c r="AF22" s="167">
        <f t="shared" ref="AF22:AF32" si="46">((AE22-AD22)/AD22)*100</f>
        <v>16.07219700721808</v>
      </c>
      <c r="AG22" s="165" t="s">
        <v>0</v>
      </c>
      <c r="AH22" s="165"/>
      <c r="AI22" s="166">
        <v>134245</v>
      </c>
      <c r="AJ22" s="166">
        <v>122852</v>
      </c>
      <c r="AK22" s="167">
        <f t="shared" ref="AK22:AK32" si="47">((AJ22-AI22)/AI22)*100</f>
        <v>-8.4867220380647321</v>
      </c>
      <c r="AL22" s="166">
        <v>89336</v>
      </c>
      <c r="AM22" s="166">
        <v>122852</v>
      </c>
      <c r="AN22" s="167">
        <f t="shared" ref="AN22:AN32" si="48">((AM22-AL22)/AL22)*100</f>
        <v>37.516790543565861</v>
      </c>
      <c r="AO22" s="165" t="s">
        <v>0</v>
      </c>
      <c r="AP22" s="165"/>
      <c r="AQ22" s="166">
        <v>71704</v>
      </c>
      <c r="AR22" s="166">
        <v>89336</v>
      </c>
      <c r="AS22" s="167">
        <f t="shared" ref="AS22:AS32" si="49">((AR22-AQ22)/AQ22)*100</f>
        <v>24.589981033136226</v>
      </c>
      <c r="AT22" s="166">
        <v>170847</v>
      </c>
      <c r="AU22" s="166">
        <v>89336</v>
      </c>
      <c r="AV22" s="167">
        <f t="shared" ref="AV22:AV32" si="50">((AU22-AT22)/AT22)*100</f>
        <v>-47.709939302416785</v>
      </c>
      <c r="AW22" s="165" t="s">
        <v>0</v>
      </c>
      <c r="AX22" s="165"/>
      <c r="AY22" s="166">
        <v>172878</v>
      </c>
      <c r="AZ22" s="166">
        <v>170847</v>
      </c>
      <c r="BA22" s="167">
        <f t="shared" ref="BA22:BA32" si="51">((AZ22-AY22)/AY22)*100</f>
        <v>-1.1748169229167389</v>
      </c>
      <c r="BB22" s="166">
        <v>183119</v>
      </c>
      <c r="BC22" s="166">
        <v>170847</v>
      </c>
      <c r="BD22" s="167">
        <f t="shared" ref="BD22:BD32" si="52">((BC22-BB22)/BB22)*100</f>
        <v>-6.7016530234437708</v>
      </c>
      <c r="BE22" s="167"/>
      <c r="BF22" s="167"/>
      <c r="BG22" s="165" t="s">
        <v>0</v>
      </c>
      <c r="BH22" s="165"/>
      <c r="BI22" s="166">
        <v>188970</v>
      </c>
      <c r="BJ22" s="166">
        <v>183119</v>
      </c>
      <c r="BK22" s="167">
        <f>((BJ22-BI22)/BI22)*100</f>
        <v>-3.0962586653966238</v>
      </c>
      <c r="BL22" s="166">
        <v>159091</v>
      </c>
      <c r="BM22" s="166">
        <v>183119</v>
      </c>
      <c r="BN22" s="167">
        <f t="shared" ref="BN22:BN32" si="53">((BM22-BL22)/BL22)*100</f>
        <v>15.103305655253912</v>
      </c>
      <c r="BO22" s="167"/>
      <c r="BQ22" s="165"/>
      <c r="BR22" s="166">
        <v>175443</v>
      </c>
      <c r="BS22" s="166">
        <v>159091</v>
      </c>
      <c r="BT22" s="167">
        <f>((BS22-BR22)/BR22)*100</f>
        <v>-9.3204060578079488</v>
      </c>
      <c r="BU22" s="166">
        <v>153950</v>
      </c>
      <c r="BV22" s="166">
        <v>159091</v>
      </c>
      <c r="BW22" s="167">
        <f t="shared" ref="BW22:BW32" si="54">((BV22-BU22)/BU22)*100</f>
        <v>3.3393959077622606</v>
      </c>
      <c r="BX22" s="167"/>
      <c r="BZ22" s="165" t="s">
        <v>0</v>
      </c>
      <c r="CA22" s="165"/>
      <c r="CB22" s="166">
        <v>179875</v>
      </c>
      <c r="CC22" s="166">
        <v>153950</v>
      </c>
      <c r="CD22" s="167">
        <f>((CC22-CB22)/CB22)*100</f>
        <v>-14.412786657400972</v>
      </c>
      <c r="CE22" s="166">
        <v>165863</v>
      </c>
      <c r="CF22" s="166">
        <v>153950</v>
      </c>
      <c r="CG22" s="167">
        <f t="shared" ref="CG22:CG32" si="55">((CF22-CE22)/CE22)*100</f>
        <v>-7.1824336952786343</v>
      </c>
      <c r="CH22" s="167"/>
      <c r="CI22" s="165"/>
      <c r="CJ22" s="166">
        <v>151698</v>
      </c>
      <c r="CK22" s="166">
        <v>165863</v>
      </c>
      <c r="CL22" s="167">
        <f>((CK22-CJ22)/CJ22)*100</f>
        <v>9.3376313464910545</v>
      </c>
      <c r="CM22" s="166">
        <v>151339</v>
      </c>
      <c r="CN22" s="166">
        <v>165863</v>
      </c>
      <c r="CO22" s="167">
        <f t="shared" ref="CO22:CO32" si="56">((CN22-CM22)/CM22)*100</f>
        <v>9.5969974692577598</v>
      </c>
      <c r="CP22" s="167"/>
      <c r="CQ22" s="73"/>
      <c r="CR22" s="165" t="s">
        <v>0</v>
      </c>
      <c r="CS22" s="165"/>
      <c r="CT22" s="166">
        <f>SUM(CT23:CT25)</f>
        <v>159872</v>
      </c>
      <c r="CU22" s="166">
        <f>SUM(CU23:CU25)</f>
        <v>151339</v>
      </c>
      <c r="CV22" s="167">
        <f>((CU22-CT22)/CT22)*100</f>
        <v>-5.3373949159327463</v>
      </c>
      <c r="CW22" s="166">
        <f>SUM(CW23:CW25)</f>
        <v>201481</v>
      </c>
      <c r="CX22" s="166">
        <v>151339</v>
      </c>
      <c r="CY22" s="167">
        <f t="shared" ref="CY22:CY32" si="57">((CX22-CW22)/CW22)*100</f>
        <v>-24.886713883691268</v>
      </c>
      <c r="CZ22" s="73"/>
      <c r="DA22" s="224" t="s">
        <v>0</v>
      </c>
      <c r="DB22" s="224"/>
      <c r="DC22" s="238">
        <v>217110</v>
      </c>
      <c r="DD22" s="238">
        <f>SUM(DD23:DD25)</f>
        <v>201481</v>
      </c>
      <c r="DE22" s="225">
        <f>((DD22-DC22)/DC22)*100</f>
        <v>-7.1986550596471837</v>
      </c>
      <c r="DF22" s="238">
        <f>SUM(DF23:DF25)</f>
        <v>215331</v>
      </c>
      <c r="DG22" s="238">
        <v>201481</v>
      </c>
      <c r="DH22" s="225">
        <f>((DG22-DF22)/DF22)*100</f>
        <v>-6.4319582410335707</v>
      </c>
      <c r="DI22" s="73"/>
      <c r="DJ22" s="150" t="s">
        <v>0</v>
      </c>
      <c r="DK22" s="150"/>
      <c r="DL22" s="147">
        <v>205600</v>
      </c>
      <c r="DM22" s="147">
        <f>SUM(DM23:DM25)</f>
        <v>209917</v>
      </c>
      <c r="DN22" s="151">
        <f>((DM22-DL22)/DL22)*100</f>
        <v>2.0997081712062258</v>
      </c>
      <c r="DO22" s="147">
        <f>SUM(DO23:DO25)</f>
        <v>147236</v>
      </c>
      <c r="DP22" s="147">
        <f>SUM(DP23:DP25)</f>
        <v>209917</v>
      </c>
      <c r="DQ22" s="151">
        <f>((DP22-DO22)/DO22)*100</f>
        <v>42.571789508000762</v>
      </c>
      <c r="DR22" s="73"/>
      <c r="DS22" s="86" t="s">
        <v>0</v>
      </c>
      <c r="DT22" s="86"/>
      <c r="DU22" s="87">
        <f>SUM(DU23:DU25)</f>
        <v>148878</v>
      </c>
      <c r="DV22" s="87">
        <f>SUM(DV23:DV25)</f>
        <v>145771</v>
      </c>
      <c r="DW22" s="126">
        <f>((DV22-DU22)/DU22)*100</f>
        <v>-2.0869436719998928</v>
      </c>
      <c r="DX22" s="87">
        <v>74983</v>
      </c>
      <c r="DY22" s="87">
        <f>SUM(DY23:DY25)</f>
        <v>145771</v>
      </c>
      <c r="DZ22" s="126">
        <f>((DY22-DX22)/DX22)*100</f>
        <v>94.405398557006265</v>
      </c>
      <c r="EA22" s="127"/>
      <c r="EB22" s="63" t="s">
        <v>0</v>
      </c>
      <c r="EC22" s="63"/>
      <c r="ED22" s="68">
        <f>SUM(ED23:ED25)</f>
        <v>74717</v>
      </c>
      <c r="EE22" s="68">
        <f>SUM(EE23:EE25)</f>
        <v>74983</v>
      </c>
      <c r="EF22" s="65">
        <f t="shared" ref="EF22:EF32" si="58">(EE22-ED22)/ED22*100</f>
        <v>0.35601001110858305</v>
      </c>
      <c r="EG22" s="68">
        <f>SUM(EG23:EG25)</f>
        <v>121672</v>
      </c>
      <c r="EH22" s="68">
        <f>SUM(EH23:EH25)</f>
        <v>74983</v>
      </c>
      <c r="EI22" s="65">
        <f t="shared" ref="EI22:EI32" si="59">(EH22-EG22)/EG22*100</f>
        <v>-38.372838450917222</v>
      </c>
      <c r="EJ22" s="73"/>
      <c r="EK22" s="86" t="s">
        <v>0</v>
      </c>
      <c r="EL22" s="86"/>
      <c r="EM22" s="87">
        <f>SUM(EM23:EM25)</f>
        <v>130549</v>
      </c>
      <c r="EN22" s="87">
        <f>SUM(EN23:EN25)</f>
        <v>121672</v>
      </c>
      <c r="EO22" s="88">
        <f>((EN22-EM22)/EM22)*100</f>
        <v>-6.7997456893580193</v>
      </c>
      <c r="EP22" s="87">
        <f>SUM(EP23:EP25)</f>
        <v>107213</v>
      </c>
      <c r="EQ22" s="87">
        <f>SUM(EQ23:EQ25)</f>
        <v>121672</v>
      </c>
      <c r="ER22" s="88">
        <f>((EQ22-EP22)/EP22)*100</f>
        <v>13.486237676401183</v>
      </c>
      <c r="ES22" s="73"/>
      <c r="ET22" s="63" t="s">
        <v>0</v>
      </c>
      <c r="EU22" s="63"/>
      <c r="EV22" s="68">
        <v>111336</v>
      </c>
      <c r="EW22" s="68">
        <v>107213</v>
      </c>
      <c r="EX22" s="65">
        <f t="shared" ref="EX22:EX32" si="60">(EW22-EV22)/EV22*100</f>
        <v>-3.7032047136595532</v>
      </c>
      <c r="EY22" s="68">
        <v>93713</v>
      </c>
      <c r="EZ22" s="68">
        <v>107213</v>
      </c>
      <c r="FA22" s="65">
        <f t="shared" ref="FA22:FA32" si="61">(EZ22-EY22)/EY22*100</f>
        <v>14.405685443855173</v>
      </c>
      <c r="FB22" s="73"/>
    </row>
    <row r="23" spans="1:158" x14ac:dyDescent="0.5">
      <c r="A23" s="168"/>
      <c r="B23" s="168" t="s">
        <v>51</v>
      </c>
      <c r="C23" s="169">
        <v>50048</v>
      </c>
      <c r="D23" s="169">
        <v>37590</v>
      </c>
      <c r="E23" s="167">
        <f t="shared" si="39"/>
        <v>-24.892103580562662</v>
      </c>
      <c r="F23" s="169">
        <v>45479</v>
      </c>
      <c r="G23" s="169">
        <v>37590</v>
      </c>
      <c r="H23" s="167">
        <f t="shared" si="40"/>
        <v>-17.346467600430966</v>
      </c>
      <c r="I23" s="168"/>
      <c r="J23" s="168" t="s">
        <v>51</v>
      </c>
      <c r="K23" s="169">
        <v>42337</v>
      </c>
      <c r="L23" s="169">
        <v>45479</v>
      </c>
      <c r="M23" s="167">
        <f t="shared" si="41"/>
        <v>7.4214044452842671</v>
      </c>
      <c r="N23" s="169">
        <v>49894</v>
      </c>
      <c r="O23" s="169">
        <v>45479</v>
      </c>
      <c r="P23" s="167">
        <f t="shared" si="42"/>
        <v>-8.848759369864112</v>
      </c>
      <c r="Q23" s="168"/>
      <c r="R23" s="168" t="s">
        <v>51</v>
      </c>
      <c r="S23" s="169">
        <v>49507</v>
      </c>
      <c r="T23" s="169">
        <v>49894</v>
      </c>
      <c r="U23" s="167">
        <f t="shared" si="43"/>
        <v>0.78170763730381565</v>
      </c>
      <c r="V23" s="169">
        <v>44700</v>
      </c>
      <c r="W23" s="169">
        <v>49894</v>
      </c>
      <c r="X23" s="167">
        <f t="shared" si="44"/>
        <v>11.619686800894854</v>
      </c>
      <c r="Y23" s="168"/>
      <c r="Z23" s="168" t="s">
        <v>51</v>
      </c>
      <c r="AA23" s="169">
        <v>43355</v>
      </c>
      <c r="AB23" s="169">
        <v>44700</v>
      </c>
      <c r="AC23" s="167">
        <f t="shared" si="45"/>
        <v>3.1022950063429824</v>
      </c>
      <c r="AD23" s="169">
        <v>45203</v>
      </c>
      <c r="AE23" s="169">
        <v>44700</v>
      </c>
      <c r="AF23" s="167">
        <f t="shared" si="46"/>
        <v>-1.1127580027874258</v>
      </c>
      <c r="AG23" s="168"/>
      <c r="AH23" s="168" t="s">
        <v>51</v>
      </c>
      <c r="AI23" s="169">
        <v>49302</v>
      </c>
      <c r="AJ23" s="169">
        <v>45203</v>
      </c>
      <c r="AK23" s="167">
        <f t="shared" si="47"/>
        <v>-8.3140643381607227</v>
      </c>
      <c r="AL23" s="169">
        <v>34482</v>
      </c>
      <c r="AM23" s="169">
        <v>45203</v>
      </c>
      <c r="AN23" s="167">
        <f t="shared" si="48"/>
        <v>31.09158401484833</v>
      </c>
      <c r="AO23" s="168"/>
      <c r="AP23" s="168" t="s">
        <v>51</v>
      </c>
      <c r="AQ23" s="169">
        <v>25559</v>
      </c>
      <c r="AR23" s="169">
        <v>34482</v>
      </c>
      <c r="AS23" s="167">
        <f t="shared" si="49"/>
        <v>34.911381509448724</v>
      </c>
      <c r="AT23" s="169">
        <v>64826</v>
      </c>
      <c r="AU23" s="169">
        <v>34482</v>
      </c>
      <c r="AV23" s="167">
        <f t="shared" si="50"/>
        <v>-46.808379353962913</v>
      </c>
      <c r="AW23" s="168"/>
      <c r="AX23" s="168" t="s">
        <v>51</v>
      </c>
      <c r="AY23" s="169">
        <v>70076</v>
      </c>
      <c r="AZ23" s="169">
        <v>64826</v>
      </c>
      <c r="BA23" s="167">
        <f t="shared" si="51"/>
        <v>-7.4918659740852798</v>
      </c>
      <c r="BB23" s="169">
        <v>73919</v>
      </c>
      <c r="BC23" s="169">
        <v>64826</v>
      </c>
      <c r="BD23" s="167">
        <f t="shared" si="52"/>
        <v>-12.301302777364413</v>
      </c>
      <c r="BE23" s="167"/>
      <c r="BF23" s="167"/>
      <c r="BG23" s="168"/>
      <c r="BH23" s="168" t="s">
        <v>51</v>
      </c>
      <c r="BI23" s="169">
        <v>76836</v>
      </c>
      <c r="BJ23" s="169">
        <v>73919</v>
      </c>
      <c r="BK23" s="167">
        <f>((BJ23-BI23)/BI23)*100</f>
        <v>-3.7963975219948978</v>
      </c>
      <c r="BL23" s="169">
        <v>64796</v>
      </c>
      <c r="BM23" s="169">
        <v>73919</v>
      </c>
      <c r="BN23" s="167">
        <f t="shared" si="53"/>
        <v>14.079572813136613</v>
      </c>
      <c r="BO23" s="167"/>
      <c r="BQ23" s="168" t="s">
        <v>51</v>
      </c>
      <c r="BR23" s="169">
        <v>75080</v>
      </c>
      <c r="BS23" s="169">
        <v>64796</v>
      </c>
      <c r="BT23" s="167">
        <f>((BS23-BR23)/BR23)*100</f>
        <v>-13.697389451251999</v>
      </c>
      <c r="BU23" s="169">
        <v>69297</v>
      </c>
      <c r="BV23" s="169">
        <v>64796</v>
      </c>
      <c r="BW23" s="167">
        <f t="shared" si="54"/>
        <v>-6.4952306737665415</v>
      </c>
      <c r="BX23" s="167"/>
      <c r="BZ23" s="168"/>
      <c r="CA23" s="168" t="s">
        <v>51</v>
      </c>
      <c r="CB23" s="169">
        <v>81106</v>
      </c>
      <c r="CC23" s="169">
        <v>69297</v>
      </c>
      <c r="CD23" s="167">
        <f>((CC23-CB23)/CB23)*100</f>
        <v>-14.559958572731979</v>
      </c>
      <c r="CE23" s="169">
        <v>64174</v>
      </c>
      <c r="CF23" s="169">
        <v>69297</v>
      </c>
      <c r="CG23" s="167">
        <f t="shared" si="55"/>
        <v>7.9829837628946301</v>
      </c>
      <c r="CH23" s="167"/>
      <c r="CI23" s="168" t="s">
        <v>51</v>
      </c>
      <c r="CJ23" s="169">
        <v>66430</v>
      </c>
      <c r="CK23" s="169">
        <v>64174</v>
      </c>
      <c r="CL23" s="167">
        <f>((CK23-CJ23)/CJ23)*100</f>
        <v>-3.3960559987957244</v>
      </c>
      <c r="CM23" s="169">
        <v>58666</v>
      </c>
      <c r="CN23" s="169">
        <v>64174</v>
      </c>
      <c r="CO23" s="167">
        <f t="shared" si="56"/>
        <v>9.3887430538983399</v>
      </c>
      <c r="CP23" s="167"/>
      <c r="CQ23" s="73"/>
      <c r="CR23" s="168"/>
      <c r="CS23" s="168" t="s">
        <v>51</v>
      </c>
      <c r="CT23" s="169">
        <v>58830</v>
      </c>
      <c r="CU23" s="169">
        <v>58666</v>
      </c>
      <c r="CV23" s="167">
        <f>((CU23-CT23)/CT23)*100</f>
        <v>-0.27876933537310894</v>
      </c>
      <c r="CW23" s="169">
        <v>87861</v>
      </c>
      <c r="CX23" s="169">
        <v>58666</v>
      </c>
      <c r="CY23" s="167">
        <f t="shared" si="57"/>
        <v>-33.228622483240571</v>
      </c>
      <c r="CZ23" s="73"/>
      <c r="DA23" s="226"/>
      <c r="DB23" s="226" t="s">
        <v>51</v>
      </c>
      <c r="DC23" s="227">
        <v>96429</v>
      </c>
      <c r="DD23" s="227">
        <v>87861</v>
      </c>
      <c r="DE23" s="225">
        <f t="shared" ref="DE23:DE32" si="62">((DD23-DC23)/DC23)*100</f>
        <v>-8.8852938431384754</v>
      </c>
      <c r="DF23" s="227">
        <v>91877</v>
      </c>
      <c r="DG23" s="227">
        <v>87861</v>
      </c>
      <c r="DH23" s="225">
        <f t="shared" ref="DH23:DH32" si="63">((DG23-DF23)/DF23)*100</f>
        <v>-4.3710613102299813</v>
      </c>
      <c r="DI23" s="73"/>
      <c r="DJ23" s="152"/>
      <c r="DK23" s="152" t="s">
        <v>51</v>
      </c>
      <c r="DL23" s="148">
        <v>82806</v>
      </c>
      <c r="DM23" s="148">
        <v>88837</v>
      </c>
      <c r="DN23" s="151">
        <f t="shared" ref="DN23:DN32" si="64">((DM23-DL23)/DL23)*100</f>
        <v>7.2832886505808752</v>
      </c>
      <c r="DO23" s="148">
        <v>50205</v>
      </c>
      <c r="DP23" s="148">
        <v>88837</v>
      </c>
      <c r="DQ23" s="151">
        <f t="shared" ref="DQ23:DQ32" si="65">((DP23-DO23)/DO23)*100</f>
        <v>76.948511104471663</v>
      </c>
      <c r="DR23" s="73"/>
      <c r="DS23" s="89"/>
      <c r="DT23" s="89" t="s">
        <v>51</v>
      </c>
      <c r="DU23" s="90">
        <v>54159</v>
      </c>
      <c r="DV23" s="90">
        <f>7963+25963+7940+4415+3447+122+292</f>
        <v>50142</v>
      </c>
      <c r="DW23" s="129">
        <f t="shared" ref="DW23:DW32" si="66">((DV23-DU23)/DU23)*100</f>
        <v>-7.4170497978175378</v>
      </c>
      <c r="DX23" s="90">
        <v>26358</v>
      </c>
      <c r="DY23" s="90">
        <f>7963+25963+7940+4415+3447+122+292</f>
        <v>50142</v>
      </c>
      <c r="DZ23" s="129">
        <f t="shared" ref="DZ23:DZ32" si="67">((DY23-DX23)/DX23)*100</f>
        <v>90.234463919872525</v>
      </c>
      <c r="EA23" s="130"/>
      <c r="EB23" s="42"/>
      <c r="EC23" s="42" t="s">
        <v>51</v>
      </c>
      <c r="ED23" s="43">
        <v>27434</v>
      </c>
      <c r="EE23" s="43">
        <v>26358</v>
      </c>
      <c r="EF23" s="44">
        <f>((EE23-ED23)/ED23)*100</f>
        <v>-3.9221404097105781</v>
      </c>
      <c r="EG23" s="43">
        <v>36155</v>
      </c>
      <c r="EH23" s="43">
        <v>26358</v>
      </c>
      <c r="EI23" s="44">
        <f t="shared" si="59"/>
        <v>-27.097220301479741</v>
      </c>
      <c r="EJ23" s="61"/>
      <c r="EK23" s="89"/>
      <c r="EL23" s="89" t="s">
        <v>51</v>
      </c>
      <c r="EM23" s="90">
        <v>38954</v>
      </c>
      <c r="EN23" s="90">
        <v>36155</v>
      </c>
      <c r="EO23" s="91">
        <f t="shared" ref="EO23:EO32" si="68">((EN23-EM23)/EM23)*100</f>
        <v>-7.1853981619345895</v>
      </c>
      <c r="EP23" s="92">
        <v>28932</v>
      </c>
      <c r="EQ23" s="90">
        <v>36155</v>
      </c>
      <c r="ER23" s="91">
        <f t="shared" ref="ER23:ER31" si="69">((EQ23-EP23)/EP23)*100</f>
        <v>24.96543619521637</v>
      </c>
      <c r="ES23" s="61"/>
      <c r="ET23" s="42"/>
      <c r="EU23" s="42" t="s">
        <v>51</v>
      </c>
      <c r="EV23" s="43">
        <v>28398</v>
      </c>
      <c r="EW23" s="43">
        <v>28932</v>
      </c>
      <c r="EX23" s="44">
        <f t="shared" si="60"/>
        <v>1.8804141136699766</v>
      </c>
      <c r="EY23" s="45">
        <v>23901</v>
      </c>
      <c r="EZ23" s="43">
        <v>28932</v>
      </c>
      <c r="FA23" s="44">
        <f t="shared" si="61"/>
        <v>21.049328479979916</v>
      </c>
      <c r="FB23" s="61"/>
    </row>
    <row r="24" spans="1:158" x14ac:dyDescent="0.5">
      <c r="A24" s="168"/>
      <c r="B24" s="168" t="s">
        <v>52</v>
      </c>
      <c r="C24" s="169">
        <v>78492</v>
      </c>
      <c r="D24" s="169">
        <v>71471</v>
      </c>
      <c r="E24" s="167">
        <f t="shared" si="39"/>
        <v>-8.9448606227386236</v>
      </c>
      <c r="F24" s="169">
        <v>77838</v>
      </c>
      <c r="G24" s="169">
        <v>71471</v>
      </c>
      <c r="H24" s="167">
        <f t="shared" si="40"/>
        <v>-8.1798093476194147</v>
      </c>
      <c r="I24" s="168"/>
      <c r="J24" s="168" t="s">
        <v>52</v>
      </c>
      <c r="K24" s="169">
        <v>72417</v>
      </c>
      <c r="L24" s="169">
        <v>77838</v>
      </c>
      <c r="M24" s="167">
        <f t="shared" si="41"/>
        <v>7.4858113426405399</v>
      </c>
      <c r="N24" s="169">
        <v>96257</v>
      </c>
      <c r="O24" s="169">
        <v>77838</v>
      </c>
      <c r="P24" s="167">
        <f t="shared" si="42"/>
        <v>-19.135231723407127</v>
      </c>
      <c r="Q24" s="168"/>
      <c r="R24" s="168" t="s">
        <v>52</v>
      </c>
      <c r="S24" s="169">
        <v>91737</v>
      </c>
      <c r="T24" s="169">
        <v>96257</v>
      </c>
      <c r="U24" s="167">
        <f t="shared" si="43"/>
        <v>4.9271286394802534</v>
      </c>
      <c r="V24" s="169">
        <v>94310</v>
      </c>
      <c r="W24" s="169">
        <v>96257</v>
      </c>
      <c r="X24" s="167">
        <f t="shared" si="44"/>
        <v>2.064468243028311</v>
      </c>
      <c r="Y24" s="168"/>
      <c r="Z24" s="168" t="s">
        <v>52</v>
      </c>
      <c r="AA24" s="169">
        <v>95496</v>
      </c>
      <c r="AB24" s="169">
        <v>94310</v>
      </c>
      <c r="AC24" s="167">
        <f t="shared" si="45"/>
        <v>-1.2419368350506828</v>
      </c>
      <c r="AD24" s="169">
        <v>74890</v>
      </c>
      <c r="AE24" s="169">
        <v>94310</v>
      </c>
      <c r="AF24" s="167">
        <f t="shared" si="46"/>
        <v>25.931366003471755</v>
      </c>
      <c r="AG24" s="168"/>
      <c r="AH24" s="168" t="s">
        <v>52</v>
      </c>
      <c r="AI24" s="169">
        <v>81615</v>
      </c>
      <c r="AJ24" s="169">
        <v>74890</v>
      </c>
      <c r="AK24" s="167">
        <f t="shared" si="47"/>
        <v>-8.2399068798627706</v>
      </c>
      <c r="AL24" s="169">
        <v>53541</v>
      </c>
      <c r="AM24" s="169">
        <v>74890</v>
      </c>
      <c r="AN24" s="167">
        <f t="shared" si="48"/>
        <v>39.874115164079868</v>
      </c>
      <c r="AO24" s="168"/>
      <c r="AP24" s="168" t="s">
        <v>52</v>
      </c>
      <c r="AQ24" s="169">
        <v>45100</v>
      </c>
      <c r="AR24" s="169">
        <v>53541</v>
      </c>
      <c r="AS24" s="167">
        <f t="shared" si="49"/>
        <v>18.716186252771617</v>
      </c>
      <c r="AT24" s="169">
        <v>102074</v>
      </c>
      <c r="AU24" s="169">
        <v>53541</v>
      </c>
      <c r="AV24" s="167">
        <f t="shared" si="50"/>
        <v>-47.546877755353961</v>
      </c>
      <c r="AW24" s="168"/>
      <c r="AX24" s="168" t="s">
        <v>52</v>
      </c>
      <c r="AY24" s="169">
        <v>99373</v>
      </c>
      <c r="AZ24" s="169">
        <v>102074</v>
      </c>
      <c r="BA24" s="167">
        <f t="shared" si="51"/>
        <v>2.7180421241182211</v>
      </c>
      <c r="BB24" s="169">
        <v>105778</v>
      </c>
      <c r="BC24" s="169">
        <v>102074</v>
      </c>
      <c r="BD24" s="167">
        <f t="shared" si="52"/>
        <v>-3.5016733158123619</v>
      </c>
      <c r="BE24" s="167"/>
      <c r="BF24" s="167"/>
      <c r="BG24" s="168"/>
      <c r="BH24" s="168" t="s">
        <v>52</v>
      </c>
      <c r="BI24" s="169">
        <v>108439</v>
      </c>
      <c r="BJ24" s="169">
        <v>105778</v>
      </c>
      <c r="BK24" s="167">
        <f>((BJ24-BI24)/BI24)*100</f>
        <v>-2.4539141821669328</v>
      </c>
      <c r="BL24" s="169">
        <v>90914</v>
      </c>
      <c r="BM24" s="169">
        <v>105778</v>
      </c>
      <c r="BN24" s="167">
        <f t="shared" si="53"/>
        <v>16.349517126075192</v>
      </c>
      <c r="BO24" s="167"/>
      <c r="BQ24" s="168" t="s">
        <v>52</v>
      </c>
      <c r="BR24" s="169">
        <v>96968</v>
      </c>
      <c r="BS24" s="169">
        <v>90914</v>
      </c>
      <c r="BT24" s="167">
        <f>((BS24-BR24)/BR24)*100</f>
        <v>-6.2432967576932601</v>
      </c>
      <c r="BU24" s="169">
        <v>81167</v>
      </c>
      <c r="BV24" s="169">
        <v>90914</v>
      </c>
      <c r="BW24" s="167">
        <f t="shared" si="54"/>
        <v>12.008574913450047</v>
      </c>
      <c r="BX24" s="167"/>
      <c r="BZ24" s="168"/>
      <c r="CA24" s="168" t="s">
        <v>52</v>
      </c>
      <c r="CB24" s="169">
        <v>95250</v>
      </c>
      <c r="CC24" s="169">
        <v>81167</v>
      </c>
      <c r="CD24" s="167">
        <f>((CC24-CB24)/CB24)*100</f>
        <v>-14.785301837270341</v>
      </c>
      <c r="CE24" s="169">
        <v>98545</v>
      </c>
      <c r="CF24" s="169">
        <v>81167</v>
      </c>
      <c r="CG24" s="167">
        <f t="shared" si="55"/>
        <v>-17.634583185346798</v>
      </c>
      <c r="CH24" s="167"/>
      <c r="CI24" s="168" t="s">
        <v>52</v>
      </c>
      <c r="CJ24" s="169">
        <v>82248</v>
      </c>
      <c r="CK24" s="169">
        <v>98545</v>
      </c>
      <c r="CL24" s="167">
        <f>((CK24-CJ24)/CJ24)*100</f>
        <v>19.814463573582337</v>
      </c>
      <c r="CM24" s="169">
        <v>90895</v>
      </c>
      <c r="CN24" s="169">
        <v>98545</v>
      </c>
      <c r="CO24" s="167">
        <f t="shared" si="56"/>
        <v>8.4163045272017172</v>
      </c>
      <c r="CP24" s="167"/>
      <c r="CQ24" s="73"/>
      <c r="CR24" s="168"/>
      <c r="CS24" s="168" t="s">
        <v>52</v>
      </c>
      <c r="CT24" s="169">
        <v>99999</v>
      </c>
      <c r="CU24" s="169">
        <v>90895</v>
      </c>
      <c r="CV24" s="167">
        <f>((CU24-CT24)/CT24)*100</f>
        <v>-9.1040910409104079</v>
      </c>
      <c r="CW24" s="169">
        <v>107830</v>
      </c>
      <c r="CX24" s="169">
        <v>90895</v>
      </c>
      <c r="CY24" s="167">
        <f t="shared" si="57"/>
        <v>-15.705276824631365</v>
      </c>
      <c r="CZ24" s="73"/>
      <c r="DA24" s="226"/>
      <c r="DB24" s="226" t="s">
        <v>52</v>
      </c>
      <c r="DC24" s="227">
        <v>115028</v>
      </c>
      <c r="DD24" s="227">
        <v>107830</v>
      </c>
      <c r="DE24" s="225">
        <f t="shared" si="62"/>
        <v>-6.2576068435511347</v>
      </c>
      <c r="DF24" s="227">
        <v>120475</v>
      </c>
      <c r="DG24" s="227">
        <v>107830</v>
      </c>
      <c r="DH24" s="225">
        <f t="shared" si="63"/>
        <v>-10.495953517327246</v>
      </c>
      <c r="DI24" s="73"/>
      <c r="DJ24" s="152"/>
      <c r="DK24" s="152" t="s">
        <v>52</v>
      </c>
      <c r="DL24" s="148">
        <v>119568</v>
      </c>
      <c r="DM24" s="148">
        <v>118101</v>
      </c>
      <c r="DN24" s="151">
        <f t="shared" si="64"/>
        <v>-1.226916900843035</v>
      </c>
      <c r="DO24" s="148">
        <v>94985</v>
      </c>
      <c r="DP24" s="148">
        <v>118101</v>
      </c>
      <c r="DQ24" s="151">
        <f t="shared" si="65"/>
        <v>24.336474180133706</v>
      </c>
      <c r="DR24" s="73"/>
      <c r="DS24" s="89"/>
      <c r="DT24" s="89" t="s">
        <v>52</v>
      </c>
      <c r="DU24" s="90">
        <v>92713</v>
      </c>
      <c r="DV24" s="90">
        <f>12193+31052+50384</f>
        <v>93629</v>
      </c>
      <c r="DW24" s="129">
        <f t="shared" si="66"/>
        <v>0.98799521102757981</v>
      </c>
      <c r="DX24" s="90">
        <v>47395</v>
      </c>
      <c r="DY24" s="90">
        <f>12193+31052+50384</f>
        <v>93629</v>
      </c>
      <c r="DZ24" s="129">
        <f t="shared" si="67"/>
        <v>97.55037451207933</v>
      </c>
      <c r="EA24" s="130"/>
      <c r="EB24" s="42"/>
      <c r="EC24" s="42" t="s">
        <v>52</v>
      </c>
      <c r="ED24" s="43">
        <v>46081</v>
      </c>
      <c r="EE24" s="43">
        <v>47395</v>
      </c>
      <c r="EF24" s="44">
        <f t="shared" si="58"/>
        <v>2.8515006184761615</v>
      </c>
      <c r="EG24" s="43">
        <v>83785</v>
      </c>
      <c r="EH24" s="43">
        <v>47395</v>
      </c>
      <c r="EI24" s="44">
        <f t="shared" si="59"/>
        <v>-43.432595333293548</v>
      </c>
      <c r="EJ24" s="61"/>
      <c r="EK24" s="89"/>
      <c r="EL24" s="89" t="s">
        <v>52</v>
      </c>
      <c r="EM24" s="90">
        <v>89803</v>
      </c>
      <c r="EN24" s="90">
        <v>83785</v>
      </c>
      <c r="EO24" s="91">
        <f t="shared" si="68"/>
        <v>-6.7013351447056335</v>
      </c>
      <c r="EP24" s="92">
        <v>76521</v>
      </c>
      <c r="EQ24" s="90">
        <v>83785</v>
      </c>
      <c r="ER24" s="91">
        <f t="shared" si="69"/>
        <v>9.4928189647286363</v>
      </c>
      <c r="ES24" s="61"/>
      <c r="ET24" s="42"/>
      <c r="EU24" s="42" t="s">
        <v>52</v>
      </c>
      <c r="EV24" s="43">
        <v>80949</v>
      </c>
      <c r="EW24" s="43">
        <v>76521</v>
      </c>
      <c r="EX24" s="44">
        <f t="shared" si="60"/>
        <v>-5.470110810510322</v>
      </c>
      <c r="EY24" s="45">
        <v>68038</v>
      </c>
      <c r="EZ24" s="43">
        <v>76521</v>
      </c>
      <c r="FA24" s="44">
        <f t="shared" si="61"/>
        <v>12.468032570034392</v>
      </c>
      <c r="FB24" s="61"/>
    </row>
    <row r="25" spans="1:158" x14ac:dyDescent="0.5">
      <c r="A25" s="168"/>
      <c r="B25" s="168" t="s">
        <v>53</v>
      </c>
      <c r="C25" s="169">
        <v>1683</v>
      </c>
      <c r="D25" s="169">
        <f>D22-D23-D24</f>
        <v>1555</v>
      </c>
      <c r="E25" s="167">
        <f t="shared" si="39"/>
        <v>-7.6054664289958414</v>
      </c>
      <c r="F25" s="169">
        <v>1512</v>
      </c>
      <c r="G25" s="169">
        <v>1555</v>
      </c>
      <c r="H25" s="167">
        <f t="shared" si="40"/>
        <v>2.8439153439153437</v>
      </c>
      <c r="I25" s="168"/>
      <c r="J25" s="168" t="s">
        <v>53</v>
      </c>
      <c r="K25" s="169">
        <v>1535</v>
      </c>
      <c r="L25" s="169">
        <v>1512</v>
      </c>
      <c r="M25" s="167">
        <f t="shared" si="41"/>
        <v>-1.498371335504886</v>
      </c>
      <c r="N25" s="169">
        <v>3558</v>
      </c>
      <c r="O25" s="169">
        <v>1512</v>
      </c>
      <c r="P25" s="167">
        <f t="shared" si="42"/>
        <v>-57.504215851602027</v>
      </c>
      <c r="Q25" s="168"/>
      <c r="R25" s="168" t="s">
        <v>53</v>
      </c>
      <c r="S25" s="169">
        <v>4313</v>
      </c>
      <c r="T25" s="169">
        <v>3558</v>
      </c>
      <c r="U25" s="167">
        <f t="shared" si="43"/>
        <v>-17.505216786459542</v>
      </c>
      <c r="V25" s="169">
        <v>3948</v>
      </c>
      <c r="W25" s="169">
        <v>3558</v>
      </c>
      <c r="X25" s="167">
        <f t="shared" si="44"/>
        <v>-9.8784194528875382</v>
      </c>
      <c r="Y25" s="168"/>
      <c r="Z25" s="168" t="s">
        <v>53</v>
      </c>
      <c r="AA25" s="169">
        <v>4165</v>
      </c>
      <c r="AB25" s="169">
        <v>3948</v>
      </c>
      <c r="AC25" s="167">
        <f t="shared" si="45"/>
        <v>-5.2100840336134455</v>
      </c>
      <c r="AD25" s="169">
        <v>3070</v>
      </c>
      <c r="AE25" s="169">
        <v>3948</v>
      </c>
      <c r="AF25" s="167">
        <f t="shared" si="46"/>
        <v>28.599348534201958</v>
      </c>
      <c r="AG25" s="168"/>
      <c r="AH25" s="168" t="s">
        <v>53</v>
      </c>
      <c r="AI25" s="169">
        <v>3328</v>
      </c>
      <c r="AJ25" s="169">
        <v>2759</v>
      </c>
      <c r="AK25" s="167">
        <f t="shared" si="47"/>
        <v>-17.097355769230766</v>
      </c>
      <c r="AL25" s="169">
        <v>1313</v>
      </c>
      <c r="AM25" s="169">
        <v>2759</v>
      </c>
      <c r="AN25" s="167">
        <f t="shared" si="48"/>
        <v>110.12947448591012</v>
      </c>
      <c r="AO25" s="168"/>
      <c r="AP25" s="168" t="s">
        <v>53</v>
      </c>
      <c r="AQ25" s="169">
        <v>1045</v>
      </c>
      <c r="AR25" s="169">
        <v>1313</v>
      </c>
      <c r="AS25" s="167">
        <f t="shared" si="49"/>
        <v>25.645933014354068</v>
      </c>
      <c r="AT25" s="169">
        <v>3947</v>
      </c>
      <c r="AU25" s="169">
        <v>1313</v>
      </c>
      <c r="AV25" s="167">
        <f t="shared" si="50"/>
        <v>-66.734228527995938</v>
      </c>
      <c r="AW25" s="168"/>
      <c r="AX25" s="168" t="s">
        <v>53</v>
      </c>
      <c r="AY25" s="169">
        <v>3429</v>
      </c>
      <c r="AZ25" s="169">
        <v>3947</v>
      </c>
      <c r="BA25" s="167">
        <f t="shared" si="51"/>
        <v>15.10644502770487</v>
      </c>
      <c r="BB25" s="169">
        <v>3422</v>
      </c>
      <c r="BC25" s="169">
        <v>3947</v>
      </c>
      <c r="BD25" s="167">
        <f t="shared" si="52"/>
        <v>15.341905318527177</v>
      </c>
      <c r="BE25" s="167"/>
      <c r="BF25" s="167"/>
      <c r="BG25" s="168"/>
      <c r="BH25" s="168" t="s">
        <v>53</v>
      </c>
      <c r="BI25" s="169">
        <v>3695</v>
      </c>
      <c r="BJ25" s="169">
        <v>3422</v>
      </c>
      <c r="BK25" s="167">
        <f>((BJ25-BI25)/BI25)*100</f>
        <v>-7.3883626522327468</v>
      </c>
      <c r="BL25" s="169">
        <v>3381</v>
      </c>
      <c r="BM25" s="169">
        <v>3422</v>
      </c>
      <c r="BN25" s="167">
        <f t="shared" si="53"/>
        <v>1.2126589766341318</v>
      </c>
      <c r="BO25" s="167"/>
      <c r="BQ25" s="168" t="s">
        <v>53</v>
      </c>
      <c r="BR25" s="169">
        <v>3395</v>
      </c>
      <c r="BS25" s="169">
        <v>3381</v>
      </c>
      <c r="BT25" s="167">
        <f>((BS25-BR25)/BR25)*100</f>
        <v>-0.41237113402061859</v>
      </c>
      <c r="BU25" s="169">
        <v>3486</v>
      </c>
      <c r="BV25" s="169">
        <v>3381</v>
      </c>
      <c r="BW25" s="167">
        <f t="shared" si="54"/>
        <v>-3.0120481927710845</v>
      </c>
      <c r="BX25" s="167"/>
      <c r="BZ25" s="168"/>
      <c r="CA25" s="168" t="s">
        <v>53</v>
      </c>
      <c r="CB25" s="169">
        <v>3519</v>
      </c>
      <c r="CC25" s="169">
        <v>3486</v>
      </c>
      <c r="CD25" s="167">
        <f>((CC25-CB25)/CB25)*100</f>
        <v>-0.93776641091219104</v>
      </c>
      <c r="CE25" s="169">
        <v>3144</v>
      </c>
      <c r="CF25" s="169">
        <v>3486</v>
      </c>
      <c r="CG25" s="167">
        <f t="shared" si="55"/>
        <v>10.877862595419847</v>
      </c>
      <c r="CH25" s="167"/>
      <c r="CI25" s="168" t="s">
        <v>53</v>
      </c>
      <c r="CJ25" s="169">
        <v>3020</v>
      </c>
      <c r="CK25" s="169">
        <v>3144</v>
      </c>
      <c r="CL25" s="167">
        <f>((CK25-CJ25)/CJ25)*100</f>
        <v>4.1059602649006619</v>
      </c>
      <c r="CM25" s="169">
        <v>1778</v>
      </c>
      <c r="CN25" s="169">
        <v>3144</v>
      </c>
      <c r="CO25" s="167">
        <f t="shared" si="56"/>
        <v>76.82789651293588</v>
      </c>
      <c r="CP25" s="167"/>
      <c r="CQ25" s="73"/>
      <c r="CR25" s="168"/>
      <c r="CS25" s="168" t="s">
        <v>53</v>
      </c>
      <c r="CT25" s="169">
        <v>1043</v>
      </c>
      <c r="CU25" s="169">
        <v>1778</v>
      </c>
      <c r="CV25" s="167">
        <f>((CU25-CT25)/CT25)*100</f>
        <v>70.469798657718115</v>
      </c>
      <c r="CW25" s="169">
        <v>5790</v>
      </c>
      <c r="CX25" s="169">
        <v>1778</v>
      </c>
      <c r="CY25" s="167">
        <f t="shared" si="57"/>
        <v>-69.291882556131256</v>
      </c>
      <c r="CZ25" s="73"/>
      <c r="DA25" s="226"/>
      <c r="DB25" s="226" t="s">
        <v>53</v>
      </c>
      <c r="DC25" s="227">
        <v>5653</v>
      </c>
      <c r="DD25" s="227">
        <v>5790</v>
      </c>
      <c r="DE25" s="225">
        <f t="shared" si="62"/>
        <v>2.4234919511763668</v>
      </c>
      <c r="DF25" s="227">
        <v>2979</v>
      </c>
      <c r="DG25" s="227">
        <v>5790</v>
      </c>
      <c r="DH25" s="225">
        <f t="shared" si="63"/>
        <v>94.360523665659613</v>
      </c>
      <c r="DI25" s="73"/>
      <c r="DJ25" s="152"/>
      <c r="DK25" s="152" t="s">
        <v>53</v>
      </c>
      <c r="DL25" s="148">
        <v>3226</v>
      </c>
      <c r="DM25" s="148">
        <v>2979</v>
      </c>
      <c r="DN25" s="151">
        <f t="shared" si="64"/>
        <v>-7.6565406075635458</v>
      </c>
      <c r="DO25" s="148">
        <v>2046</v>
      </c>
      <c r="DP25" s="148">
        <v>2979</v>
      </c>
      <c r="DQ25" s="151">
        <f t="shared" si="65"/>
        <v>45.60117302052786</v>
      </c>
      <c r="DR25" s="73"/>
      <c r="DS25" s="89"/>
      <c r="DT25" s="89" t="s">
        <v>53</v>
      </c>
      <c r="DU25" s="90">
        <v>2006</v>
      </c>
      <c r="DV25" s="90">
        <f>46+674+238+1042</f>
        <v>2000</v>
      </c>
      <c r="DW25" s="129">
        <f t="shared" si="66"/>
        <v>-0.29910269192422734</v>
      </c>
      <c r="DX25" s="90">
        <v>1230</v>
      </c>
      <c r="DY25" s="90">
        <f>46+674+238+1042</f>
        <v>2000</v>
      </c>
      <c r="DZ25" s="129">
        <f t="shared" si="67"/>
        <v>62.601626016260155</v>
      </c>
      <c r="EA25" s="130"/>
      <c r="EB25" s="42"/>
      <c r="EC25" s="42" t="s">
        <v>53</v>
      </c>
      <c r="ED25" s="43">
        <v>1202</v>
      </c>
      <c r="EE25" s="43">
        <v>1230</v>
      </c>
      <c r="EF25" s="44">
        <f t="shared" si="58"/>
        <v>2.3294509151414311</v>
      </c>
      <c r="EG25" s="43">
        <v>1732</v>
      </c>
      <c r="EH25" s="43">
        <v>1230</v>
      </c>
      <c r="EI25" s="44">
        <f t="shared" si="59"/>
        <v>-28.983833718244806</v>
      </c>
      <c r="EJ25" s="61"/>
      <c r="EK25" s="89"/>
      <c r="EL25" s="89" t="s">
        <v>53</v>
      </c>
      <c r="EM25" s="90">
        <v>1792</v>
      </c>
      <c r="EN25" s="90">
        <v>1732</v>
      </c>
      <c r="EO25" s="91">
        <f t="shared" si="68"/>
        <v>-3.3482142857142856</v>
      </c>
      <c r="EP25" s="92">
        <v>1760</v>
      </c>
      <c r="EQ25" s="90">
        <v>1732</v>
      </c>
      <c r="ER25" s="91">
        <f t="shared" si="69"/>
        <v>-1.5909090909090908</v>
      </c>
      <c r="ES25" s="61"/>
      <c r="ET25" s="42"/>
      <c r="EU25" s="42" t="s">
        <v>53</v>
      </c>
      <c r="EV25" s="43">
        <v>1989</v>
      </c>
      <c r="EW25" s="43">
        <v>1760</v>
      </c>
      <c r="EX25" s="44">
        <f t="shared" si="60"/>
        <v>-11.51332327802916</v>
      </c>
      <c r="EY25" s="45">
        <v>1774</v>
      </c>
      <c r="EZ25" s="43">
        <v>1760</v>
      </c>
      <c r="FA25" s="44">
        <f t="shared" si="61"/>
        <v>-0.78917700112739564</v>
      </c>
      <c r="FB25" s="61"/>
    </row>
    <row r="26" spans="1:158" x14ac:dyDescent="0.5">
      <c r="A26" s="165" t="s">
        <v>1</v>
      </c>
      <c r="B26" s="165"/>
      <c r="C26" s="166">
        <v>50079</v>
      </c>
      <c r="D26" s="166">
        <v>49102</v>
      </c>
      <c r="E26" s="167">
        <f t="shared" si="39"/>
        <v>-1.9509175502705725</v>
      </c>
      <c r="F26" s="166">
        <v>46393</v>
      </c>
      <c r="G26" s="166">
        <f>G27+G28+G29+G30</f>
        <v>49102</v>
      </c>
      <c r="H26" s="167">
        <f t="shared" si="40"/>
        <v>5.8392429892440676</v>
      </c>
      <c r="I26" s="165" t="s">
        <v>1</v>
      </c>
      <c r="J26" s="165"/>
      <c r="K26" s="166">
        <v>47662</v>
      </c>
      <c r="L26" s="166">
        <v>46393</v>
      </c>
      <c r="M26" s="167">
        <f t="shared" si="41"/>
        <v>-2.6624984264193698</v>
      </c>
      <c r="N26" s="166">
        <v>58419</v>
      </c>
      <c r="O26" s="166">
        <v>46393</v>
      </c>
      <c r="P26" s="167">
        <f t="shared" si="42"/>
        <v>-20.585768328797137</v>
      </c>
      <c r="Q26" s="165" t="s">
        <v>1</v>
      </c>
      <c r="R26" s="165"/>
      <c r="S26" s="166">
        <v>64440</v>
      </c>
      <c r="T26" s="166">
        <v>58419</v>
      </c>
      <c r="U26" s="167">
        <f t="shared" si="43"/>
        <v>-9.3435754189944138</v>
      </c>
      <c r="V26" s="166">
        <v>64033</v>
      </c>
      <c r="W26" s="166">
        <v>58419</v>
      </c>
      <c r="X26" s="167">
        <f t="shared" si="44"/>
        <v>-8.7673543329220873</v>
      </c>
      <c r="Y26" s="165" t="s">
        <v>1</v>
      </c>
      <c r="Z26" s="165"/>
      <c r="AA26" s="166">
        <v>67945</v>
      </c>
      <c r="AB26" s="166">
        <v>64033</v>
      </c>
      <c r="AC26" s="167">
        <f t="shared" si="45"/>
        <v>-5.7575980572521885</v>
      </c>
      <c r="AD26" s="166">
        <v>52442</v>
      </c>
      <c r="AE26" s="166">
        <v>64033</v>
      </c>
      <c r="AF26" s="167">
        <f t="shared" si="46"/>
        <v>22.102513252736355</v>
      </c>
      <c r="AG26" s="165" t="s">
        <v>1</v>
      </c>
      <c r="AH26" s="165"/>
      <c r="AI26" s="166">
        <v>61758</v>
      </c>
      <c r="AJ26" s="166">
        <v>52442</v>
      </c>
      <c r="AK26" s="167">
        <f t="shared" si="47"/>
        <v>-15.084685384889408</v>
      </c>
      <c r="AL26" s="166">
        <v>59335</v>
      </c>
      <c r="AM26" s="166">
        <v>52442</v>
      </c>
      <c r="AN26" s="167">
        <f t="shared" si="48"/>
        <v>-11.617089407600909</v>
      </c>
      <c r="AO26" s="165" t="s">
        <v>1</v>
      </c>
      <c r="AP26" s="165"/>
      <c r="AQ26" s="166">
        <v>58049</v>
      </c>
      <c r="AR26" s="166">
        <v>59335</v>
      </c>
      <c r="AS26" s="167">
        <f t="shared" si="49"/>
        <v>2.2153697738117795</v>
      </c>
      <c r="AT26" s="166">
        <v>81044</v>
      </c>
      <c r="AU26" s="166">
        <v>59335</v>
      </c>
      <c r="AV26" s="167">
        <f t="shared" si="50"/>
        <v>-26.786683776713883</v>
      </c>
      <c r="AW26" s="165" t="s">
        <v>1</v>
      </c>
      <c r="AX26" s="165"/>
      <c r="AY26" s="166">
        <v>86048</v>
      </c>
      <c r="AZ26" s="166">
        <v>81044</v>
      </c>
      <c r="BA26" s="167">
        <f t="shared" si="51"/>
        <v>-5.8153588694682039</v>
      </c>
      <c r="BB26" s="166">
        <v>81946</v>
      </c>
      <c r="BC26" s="166">
        <v>81044</v>
      </c>
      <c r="BD26" s="167">
        <f t="shared" si="52"/>
        <v>-1.1007248675957337</v>
      </c>
      <c r="BE26" s="167"/>
      <c r="BF26" s="167"/>
      <c r="BG26" s="165" t="s">
        <v>1</v>
      </c>
      <c r="BH26" s="165"/>
      <c r="BI26" s="166">
        <v>87854</v>
      </c>
      <c r="BJ26" s="166">
        <v>81946</v>
      </c>
      <c r="BK26" s="167">
        <f t="shared" ref="BK26:BK32" si="70">((BJ26-BI26)/BI26)*100</f>
        <v>-6.7247934072438369</v>
      </c>
      <c r="BL26" s="166">
        <v>65178</v>
      </c>
      <c r="BM26" s="166">
        <v>81946</v>
      </c>
      <c r="BN26" s="167">
        <f t="shared" si="53"/>
        <v>25.72647212249532</v>
      </c>
      <c r="BO26" s="167"/>
      <c r="BQ26" s="165"/>
      <c r="BR26" s="166">
        <v>69798</v>
      </c>
      <c r="BS26" s="166">
        <v>65178</v>
      </c>
      <c r="BT26" s="167">
        <f t="shared" ref="BT26:BT32" si="71">((BS26-BR26)/BR26)*100</f>
        <v>-6.6191008338347803</v>
      </c>
      <c r="BU26" s="166">
        <v>60635</v>
      </c>
      <c r="BV26" s="166">
        <v>65178</v>
      </c>
      <c r="BW26" s="167">
        <f t="shared" si="54"/>
        <v>7.4923723921827339</v>
      </c>
      <c r="BX26" s="167"/>
      <c r="BZ26" s="165" t="s">
        <v>1</v>
      </c>
      <c r="CA26" s="165"/>
      <c r="CB26" s="166">
        <v>66049</v>
      </c>
      <c r="CC26" s="166">
        <v>60635</v>
      </c>
      <c r="CD26" s="167">
        <f t="shared" ref="CD26:CD32" si="72">((CC26-CB26)/CB26)*100</f>
        <v>-8.1969446925767233</v>
      </c>
      <c r="CE26" s="166">
        <v>60863</v>
      </c>
      <c r="CF26" s="166">
        <v>60635</v>
      </c>
      <c r="CG26" s="167">
        <f t="shared" si="55"/>
        <v>-0.37461183313343083</v>
      </c>
      <c r="CH26" s="167"/>
      <c r="CI26" s="165"/>
      <c r="CJ26" s="166">
        <v>60322</v>
      </c>
      <c r="CK26" s="166">
        <v>60863</v>
      </c>
      <c r="CL26" s="167">
        <f t="shared" ref="CL26:CL32" si="73">((CK26-CJ26)/CJ26)*100</f>
        <v>0.89685355260104105</v>
      </c>
      <c r="CM26" s="166">
        <v>69267</v>
      </c>
      <c r="CN26" s="166">
        <v>60863</v>
      </c>
      <c r="CO26" s="167">
        <f t="shared" si="56"/>
        <v>-12.132761632523424</v>
      </c>
      <c r="CP26" s="167"/>
      <c r="CQ26" s="73"/>
      <c r="CR26" s="165" t="s">
        <v>1</v>
      </c>
      <c r="CS26" s="165"/>
      <c r="CT26" s="166">
        <f>SUM(CT27:CT30)</f>
        <v>73799</v>
      </c>
      <c r="CU26" s="166">
        <f>SUM(CU27:CU30)</f>
        <v>69267</v>
      </c>
      <c r="CV26" s="167">
        <f t="shared" ref="CV26:CV32" si="74">((CU26-CT26)/CT26)*100</f>
        <v>-6.1410046206588165</v>
      </c>
      <c r="CW26" s="166">
        <f>SUM(CW27:CW30)</f>
        <v>98258</v>
      </c>
      <c r="CX26" s="166">
        <v>69267</v>
      </c>
      <c r="CY26" s="167">
        <f t="shared" si="57"/>
        <v>-29.504976694009649</v>
      </c>
      <c r="CZ26" s="73"/>
      <c r="DA26" s="224" t="s">
        <v>1</v>
      </c>
      <c r="DB26" s="224"/>
      <c r="DC26" s="238">
        <v>106018</v>
      </c>
      <c r="DD26" s="238">
        <f>SUM(DD27:DD30)</f>
        <v>98258</v>
      </c>
      <c r="DE26" s="225">
        <f t="shared" si="62"/>
        <v>-7.319511781018317</v>
      </c>
      <c r="DF26" s="238">
        <f>SUM(DF27:DF30)</f>
        <v>131646</v>
      </c>
      <c r="DG26" s="238">
        <v>98258</v>
      </c>
      <c r="DH26" s="225">
        <f t="shared" si="63"/>
        <v>-25.361955547453018</v>
      </c>
      <c r="DI26" s="73"/>
      <c r="DJ26" s="150" t="s">
        <v>1</v>
      </c>
      <c r="DK26" s="150"/>
      <c r="DL26" s="147">
        <v>123471</v>
      </c>
      <c r="DM26" s="147">
        <f>SUM(DM27:DM30)</f>
        <v>131646</v>
      </c>
      <c r="DN26" s="151">
        <f t="shared" si="64"/>
        <v>6.6209879242899143</v>
      </c>
      <c r="DO26" s="147">
        <f>SUM(DO27:DO30)</f>
        <v>72902</v>
      </c>
      <c r="DP26" s="147">
        <f>SUM(DP27:DP30)</f>
        <v>131646</v>
      </c>
      <c r="DQ26" s="151">
        <f t="shared" si="65"/>
        <v>80.579407972346445</v>
      </c>
      <c r="DR26" s="73"/>
      <c r="DS26" s="86" t="s">
        <v>1</v>
      </c>
      <c r="DT26" s="86"/>
      <c r="DU26" s="87">
        <f>SUM(DU27:DU30)</f>
        <v>70557</v>
      </c>
      <c r="DV26" s="87">
        <f>SUM(DV27:DV30)</f>
        <v>65672</v>
      </c>
      <c r="DW26" s="126">
        <f t="shared" si="66"/>
        <v>-6.9234803067023831</v>
      </c>
      <c r="DX26" s="87">
        <v>43156</v>
      </c>
      <c r="DY26" s="87">
        <f>SUM(DY27:DY30)</f>
        <v>65672</v>
      </c>
      <c r="DZ26" s="126">
        <f t="shared" si="67"/>
        <v>52.173510056539065</v>
      </c>
      <c r="EA26" s="127"/>
      <c r="EB26" s="63" t="s">
        <v>1</v>
      </c>
      <c r="EC26" s="63"/>
      <c r="ED26" s="68">
        <f>SUM(ED27:ED30)</f>
        <v>43402</v>
      </c>
      <c r="EE26" s="68">
        <f>SUM(EE27:EE30)</f>
        <v>43156</v>
      </c>
      <c r="EF26" s="65">
        <f t="shared" si="58"/>
        <v>-0.56679415695129254</v>
      </c>
      <c r="EG26" s="68">
        <f>SUM(EG27:EG30)</f>
        <v>44772</v>
      </c>
      <c r="EH26" s="68">
        <f>SUM(EH27:EH30)</f>
        <v>43156</v>
      </c>
      <c r="EI26" s="65">
        <f t="shared" si="59"/>
        <v>-3.6093987313499514</v>
      </c>
      <c r="EJ26" s="73"/>
      <c r="EK26" s="86" t="s">
        <v>1</v>
      </c>
      <c r="EL26" s="86"/>
      <c r="EM26" s="87">
        <f>SUM(EM27:EM30)</f>
        <v>50108</v>
      </c>
      <c r="EN26" s="87">
        <f>SUM(EN27:EN30)</f>
        <v>45539</v>
      </c>
      <c r="EO26" s="88">
        <f t="shared" si="68"/>
        <v>-9.1183044623612997</v>
      </c>
      <c r="EP26" s="87">
        <f>SUM(EP27:EP30)</f>
        <v>51158</v>
      </c>
      <c r="EQ26" s="87">
        <f>SUM(EQ27:EQ30)</f>
        <v>45539</v>
      </c>
      <c r="ER26" s="88">
        <f t="shared" si="69"/>
        <v>-10.983619375268775</v>
      </c>
      <c r="ES26" s="73"/>
      <c r="ET26" s="63" t="s">
        <v>1</v>
      </c>
      <c r="EU26" s="63"/>
      <c r="EV26" s="68">
        <v>53222</v>
      </c>
      <c r="EW26" s="68">
        <v>51158</v>
      </c>
      <c r="EX26" s="65">
        <f t="shared" si="60"/>
        <v>-3.8780955244072</v>
      </c>
      <c r="EY26" s="68">
        <v>50638</v>
      </c>
      <c r="EZ26" s="68">
        <v>51158</v>
      </c>
      <c r="FA26" s="65">
        <f t="shared" si="61"/>
        <v>1.0268967968719143</v>
      </c>
      <c r="FB26" s="73"/>
    </row>
    <row r="27" spans="1:158" x14ac:dyDescent="0.5">
      <c r="A27" s="168"/>
      <c r="B27" s="168" t="s">
        <v>51</v>
      </c>
      <c r="C27" s="169">
        <v>19398</v>
      </c>
      <c r="D27" s="169">
        <f>D26-D28-D29-D30</f>
        <v>18814</v>
      </c>
      <c r="E27" s="167">
        <f t="shared" si="39"/>
        <v>-3.0106196515104653</v>
      </c>
      <c r="F27" s="169">
        <v>16571</v>
      </c>
      <c r="G27" s="169">
        <v>18814</v>
      </c>
      <c r="H27" s="167">
        <f t="shared" si="40"/>
        <v>13.535694888660913</v>
      </c>
      <c r="I27" s="168"/>
      <c r="J27" s="168" t="s">
        <v>51</v>
      </c>
      <c r="K27" s="169">
        <v>17737</v>
      </c>
      <c r="L27" s="169">
        <v>16571</v>
      </c>
      <c r="M27" s="167">
        <f t="shared" si="41"/>
        <v>-6.5738287196256406</v>
      </c>
      <c r="N27" s="169">
        <v>22511</v>
      </c>
      <c r="O27" s="169">
        <v>16571</v>
      </c>
      <c r="P27" s="167">
        <f t="shared" si="42"/>
        <v>-26.387099640175915</v>
      </c>
      <c r="Q27" s="168"/>
      <c r="R27" s="168" t="s">
        <v>51</v>
      </c>
      <c r="S27" s="169">
        <v>24333</v>
      </c>
      <c r="T27" s="169">
        <v>22511</v>
      </c>
      <c r="U27" s="167">
        <f t="shared" si="43"/>
        <v>-7.487773805120618</v>
      </c>
      <c r="V27" s="169">
        <v>19194</v>
      </c>
      <c r="W27" s="169">
        <v>22511</v>
      </c>
      <c r="X27" s="167">
        <f t="shared" si="44"/>
        <v>17.281442117328332</v>
      </c>
      <c r="Y27" s="168"/>
      <c r="Z27" s="168" t="s">
        <v>51</v>
      </c>
      <c r="AA27" s="169">
        <v>19591</v>
      </c>
      <c r="AB27" s="169">
        <v>19194</v>
      </c>
      <c r="AC27" s="167">
        <f t="shared" si="45"/>
        <v>-2.0264407125720996</v>
      </c>
      <c r="AD27" s="169">
        <v>16689</v>
      </c>
      <c r="AE27" s="169">
        <v>19194</v>
      </c>
      <c r="AF27" s="167">
        <f t="shared" si="46"/>
        <v>15.009886751752651</v>
      </c>
      <c r="AG27" s="168"/>
      <c r="AH27" s="168" t="s">
        <v>51</v>
      </c>
      <c r="AI27" s="169">
        <v>19322</v>
      </c>
      <c r="AJ27" s="169">
        <v>16689</v>
      </c>
      <c r="AK27" s="167">
        <f t="shared" si="47"/>
        <v>-13.626953731497773</v>
      </c>
      <c r="AL27" s="169">
        <v>18500</v>
      </c>
      <c r="AM27" s="169">
        <v>16689</v>
      </c>
      <c r="AN27" s="167">
        <f t="shared" si="48"/>
        <v>-9.7891891891891891</v>
      </c>
      <c r="AO27" s="168"/>
      <c r="AP27" s="168" t="s">
        <v>51</v>
      </c>
      <c r="AQ27" s="169">
        <v>20804</v>
      </c>
      <c r="AR27" s="169">
        <v>18500</v>
      </c>
      <c r="AS27" s="167">
        <f t="shared" si="49"/>
        <v>-11.074793308979043</v>
      </c>
      <c r="AT27" s="169">
        <v>32794</v>
      </c>
      <c r="AU27" s="169">
        <v>18500</v>
      </c>
      <c r="AV27" s="167">
        <f t="shared" si="50"/>
        <v>-43.587241568579614</v>
      </c>
      <c r="AW27" s="168"/>
      <c r="AX27" s="168" t="s">
        <v>51</v>
      </c>
      <c r="AY27" s="169">
        <v>35409</v>
      </c>
      <c r="AZ27" s="169">
        <v>32794</v>
      </c>
      <c r="BA27" s="167">
        <f t="shared" si="51"/>
        <v>-7.3851280747832471</v>
      </c>
      <c r="BB27" s="169">
        <v>32531</v>
      </c>
      <c r="BC27" s="169">
        <v>32794</v>
      </c>
      <c r="BD27" s="167">
        <f t="shared" si="52"/>
        <v>0.80845962312870789</v>
      </c>
      <c r="BE27" s="167"/>
      <c r="BF27" s="167"/>
      <c r="BG27" s="168"/>
      <c r="BH27" s="168" t="s">
        <v>51</v>
      </c>
      <c r="BI27" s="169">
        <v>37131</v>
      </c>
      <c r="BJ27" s="169">
        <v>32531</v>
      </c>
      <c r="BK27" s="167">
        <f t="shared" si="70"/>
        <v>-12.388570197409173</v>
      </c>
      <c r="BL27" s="169">
        <v>26799</v>
      </c>
      <c r="BM27" s="169">
        <v>32531</v>
      </c>
      <c r="BN27" s="167">
        <f t="shared" si="53"/>
        <v>21.38885779320124</v>
      </c>
      <c r="BO27" s="167"/>
      <c r="BQ27" s="168" t="s">
        <v>51</v>
      </c>
      <c r="BR27" s="169">
        <v>29424</v>
      </c>
      <c r="BS27" s="169">
        <v>26799</v>
      </c>
      <c r="BT27" s="167">
        <f t="shared" si="71"/>
        <v>-8.9212887438825454</v>
      </c>
      <c r="BU27" s="169">
        <v>24358</v>
      </c>
      <c r="BV27" s="169">
        <v>26799</v>
      </c>
      <c r="BW27" s="167">
        <f t="shared" si="54"/>
        <v>10.021348222349946</v>
      </c>
      <c r="BX27" s="167"/>
      <c r="BZ27" s="168"/>
      <c r="CA27" s="168" t="s">
        <v>51</v>
      </c>
      <c r="CB27" s="169">
        <v>25460</v>
      </c>
      <c r="CC27" s="169">
        <v>24358</v>
      </c>
      <c r="CD27" s="167">
        <f t="shared" si="72"/>
        <v>-4.3283582089552244</v>
      </c>
      <c r="CE27" s="169">
        <v>26120</v>
      </c>
      <c r="CF27" s="169">
        <v>24358</v>
      </c>
      <c r="CG27" s="167">
        <f t="shared" si="55"/>
        <v>-6.7457886676875951</v>
      </c>
      <c r="CH27" s="167"/>
      <c r="CI27" s="168" t="s">
        <v>51</v>
      </c>
      <c r="CJ27" s="169">
        <v>21283</v>
      </c>
      <c r="CK27" s="169">
        <v>26120</v>
      </c>
      <c r="CL27" s="167">
        <f t="shared" si="73"/>
        <v>22.727059155194286</v>
      </c>
      <c r="CM27" s="169">
        <v>29440</v>
      </c>
      <c r="CN27" s="169">
        <v>26120</v>
      </c>
      <c r="CO27" s="167">
        <f t="shared" si="56"/>
        <v>-11.277173913043478</v>
      </c>
      <c r="CP27" s="167"/>
      <c r="CQ27" s="73"/>
      <c r="CR27" s="168"/>
      <c r="CS27" s="168" t="s">
        <v>51</v>
      </c>
      <c r="CT27" s="169">
        <v>32934</v>
      </c>
      <c r="CU27" s="169">
        <v>29440</v>
      </c>
      <c r="CV27" s="167">
        <f t="shared" si="74"/>
        <v>-10.609096981842473</v>
      </c>
      <c r="CW27" s="169">
        <v>47491</v>
      </c>
      <c r="CX27" s="169">
        <v>29440</v>
      </c>
      <c r="CY27" s="167">
        <f t="shared" si="57"/>
        <v>-38.009307026594513</v>
      </c>
      <c r="CZ27" s="73"/>
      <c r="DA27" s="226"/>
      <c r="DB27" s="226" t="s">
        <v>51</v>
      </c>
      <c r="DC27" s="227">
        <v>49664</v>
      </c>
      <c r="DD27" s="227">
        <v>47491</v>
      </c>
      <c r="DE27" s="225">
        <f t="shared" si="62"/>
        <v>-4.3754027061855671</v>
      </c>
      <c r="DF27" s="227">
        <v>64430</v>
      </c>
      <c r="DG27" s="227">
        <v>47491</v>
      </c>
      <c r="DH27" s="225">
        <f t="shared" si="63"/>
        <v>-26.290547881421698</v>
      </c>
      <c r="DI27" s="73"/>
      <c r="DJ27" s="152"/>
      <c r="DK27" s="152" t="s">
        <v>51</v>
      </c>
      <c r="DL27" s="148">
        <v>60373</v>
      </c>
      <c r="DM27" s="148">
        <v>64430</v>
      </c>
      <c r="DN27" s="151">
        <f t="shared" si="64"/>
        <v>6.719891342156262</v>
      </c>
      <c r="DO27" s="148">
        <v>32277</v>
      </c>
      <c r="DP27" s="148">
        <v>64430</v>
      </c>
      <c r="DQ27" s="151">
        <f t="shared" si="65"/>
        <v>99.615825510425381</v>
      </c>
      <c r="DR27" s="73"/>
      <c r="DS27" s="89"/>
      <c r="DT27" s="89" t="s">
        <v>51</v>
      </c>
      <c r="DU27" s="90">
        <v>32946</v>
      </c>
      <c r="DV27" s="90">
        <v>28780</v>
      </c>
      <c r="DW27" s="129">
        <f t="shared" si="66"/>
        <v>-12.64493413464457</v>
      </c>
      <c r="DX27" s="90">
        <v>17533</v>
      </c>
      <c r="DY27" s="90">
        <v>28780</v>
      </c>
      <c r="DZ27" s="129">
        <f t="shared" si="67"/>
        <v>64.147607368961388</v>
      </c>
      <c r="EA27" s="130"/>
      <c r="EB27" s="42"/>
      <c r="EC27" s="42" t="s">
        <v>51</v>
      </c>
      <c r="ED27" s="43">
        <v>18746</v>
      </c>
      <c r="EE27" s="43">
        <v>17533</v>
      </c>
      <c r="EF27" s="44">
        <f t="shared" si="58"/>
        <v>-6.4707137522671498</v>
      </c>
      <c r="EG27" s="43">
        <v>19280</v>
      </c>
      <c r="EH27" s="43">
        <v>17533</v>
      </c>
      <c r="EI27" s="44">
        <f t="shared" si="59"/>
        <v>-9.0612033195020736</v>
      </c>
      <c r="EJ27" s="61"/>
      <c r="EK27" s="89"/>
      <c r="EL27" s="89" t="s">
        <v>51</v>
      </c>
      <c r="EM27" s="90">
        <v>20582</v>
      </c>
      <c r="EN27" s="90">
        <v>19280</v>
      </c>
      <c r="EO27" s="91">
        <f t="shared" si="68"/>
        <v>-6.3259158487999221</v>
      </c>
      <c r="EP27" s="92">
        <v>15125</v>
      </c>
      <c r="EQ27" s="90">
        <v>19280</v>
      </c>
      <c r="ER27" s="91">
        <f t="shared" si="69"/>
        <v>27.471074380165287</v>
      </c>
      <c r="ES27" s="61"/>
      <c r="ET27" s="42"/>
      <c r="EU27" s="42" t="s">
        <v>51</v>
      </c>
      <c r="EV27" s="43">
        <v>15914</v>
      </c>
      <c r="EW27" s="43">
        <v>15125</v>
      </c>
      <c r="EX27" s="44">
        <f t="shared" si="60"/>
        <v>-4.9578987055422896</v>
      </c>
      <c r="EY27" s="45">
        <v>14442</v>
      </c>
      <c r="EZ27" s="43">
        <v>15125</v>
      </c>
      <c r="FA27" s="44">
        <f t="shared" si="61"/>
        <v>4.7292618750865527</v>
      </c>
      <c r="FB27" s="61"/>
    </row>
    <row r="28" spans="1:158" x14ac:dyDescent="0.5">
      <c r="A28" s="168"/>
      <c r="B28" s="168" t="s">
        <v>52</v>
      </c>
      <c r="C28" s="169">
        <v>11275</v>
      </c>
      <c r="D28" s="169">
        <v>11022</v>
      </c>
      <c r="E28" s="167">
        <f t="shared" si="39"/>
        <v>-2.24390243902439</v>
      </c>
      <c r="F28" s="169">
        <v>13167</v>
      </c>
      <c r="G28" s="169">
        <v>11022</v>
      </c>
      <c r="H28" s="167">
        <f t="shared" si="40"/>
        <v>-16.290726817042607</v>
      </c>
      <c r="I28" s="168"/>
      <c r="J28" s="168" t="s">
        <v>52</v>
      </c>
      <c r="K28" s="169">
        <v>14071</v>
      </c>
      <c r="L28" s="169">
        <v>13167</v>
      </c>
      <c r="M28" s="167">
        <f t="shared" si="41"/>
        <v>-6.4245611541468266</v>
      </c>
      <c r="N28" s="169">
        <v>20309</v>
      </c>
      <c r="O28" s="169">
        <v>13167</v>
      </c>
      <c r="P28" s="167">
        <f t="shared" si="42"/>
        <v>-35.166674873208919</v>
      </c>
      <c r="Q28" s="168"/>
      <c r="R28" s="168" t="s">
        <v>52</v>
      </c>
      <c r="S28" s="169">
        <v>22139</v>
      </c>
      <c r="T28" s="169">
        <v>20309</v>
      </c>
      <c r="U28" s="167">
        <f t="shared" si="43"/>
        <v>-8.2659560052396213</v>
      </c>
      <c r="V28" s="169">
        <v>29814</v>
      </c>
      <c r="W28" s="169">
        <v>20309</v>
      </c>
      <c r="X28" s="167">
        <f t="shared" si="44"/>
        <v>-31.880995505467229</v>
      </c>
      <c r="Y28" s="168"/>
      <c r="Z28" s="168" t="s">
        <v>52</v>
      </c>
      <c r="AA28" s="169">
        <v>33433</v>
      </c>
      <c r="AB28" s="169">
        <v>29814</v>
      </c>
      <c r="AC28" s="167">
        <f t="shared" si="45"/>
        <v>-10.824634343313493</v>
      </c>
      <c r="AD28" s="169">
        <v>25121</v>
      </c>
      <c r="AE28" s="169">
        <v>29814</v>
      </c>
      <c r="AF28" s="167">
        <f t="shared" si="46"/>
        <v>18.681581147247321</v>
      </c>
      <c r="AG28" s="168"/>
      <c r="AH28" s="168" t="s">
        <v>52</v>
      </c>
      <c r="AI28" s="169">
        <v>25547</v>
      </c>
      <c r="AJ28" s="169">
        <v>25121</v>
      </c>
      <c r="AK28" s="167">
        <f t="shared" si="47"/>
        <v>-1.667514776686108</v>
      </c>
      <c r="AL28" s="169">
        <v>29720</v>
      </c>
      <c r="AM28" s="169">
        <v>25121</v>
      </c>
      <c r="AN28" s="167">
        <f t="shared" si="48"/>
        <v>-15.474427994616418</v>
      </c>
      <c r="AO28" s="168"/>
      <c r="AP28" s="168" t="s">
        <v>52</v>
      </c>
      <c r="AQ28" s="169">
        <v>26584</v>
      </c>
      <c r="AR28" s="169">
        <v>29720</v>
      </c>
      <c r="AS28" s="167">
        <f t="shared" si="49"/>
        <v>11.796569365031598</v>
      </c>
      <c r="AT28" s="169">
        <v>34363</v>
      </c>
      <c r="AU28" s="169">
        <v>29720</v>
      </c>
      <c r="AV28" s="167">
        <f t="shared" si="50"/>
        <v>-13.511625876669676</v>
      </c>
      <c r="AW28" s="168"/>
      <c r="AX28" s="168" t="s">
        <v>52</v>
      </c>
      <c r="AY28" s="169">
        <v>35429</v>
      </c>
      <c r="AZ28" s="169">
        <v>34363</v>
      </c>
      <c r="BA28" s="167">
        <f t="shared" si="51"/>
        <v>-3.0088345705495496</v>
      </c>
      <c r="BB28" s="169">
        <v>34088</v>
      </c>
      <c r="BC28" s="169">
        <v>34363</v>
      </c>
      <c r="BD28" s="167">
        <f t="shared" si="52"/>
        <v>0.80673550809669081</v>
      </c>
      <c r="BE28" s="167"/>
      <c r="BF28" s="167"/>
      <c r="BG28" s="168"/>
      <c r="BH28" s="168" t="s">
        <v>52</v>
      </c>
      <c r="BI28" s="169">
        <v>35661</v>
      </c>
      <c r="BJ28" s="169">
        <v>34088</v>
      </c>
      <c r="BK28" s="167">
        <f t="shared" si="70"/>
        <v>-4.4109811839264186</v>
      </c>
      <c r="BL28" s="169">
        <v>27265</v>
      </c>
      <c r="BM28" s="169">
        <v>34088</v>
      </c>
      <c r="BN28" s="167">
        <f t="shared" si="53"/>
        <v>25.024757014487438</v>
      </c>
      <c r="BO28" s="167"/>
      <c r="BQ28" s="168" t="s">
        <v>52</v>
      </c>
      <c r="BR28" s="169">
        <v>26207</v>
      </c>
      <c r="BS28" s="169">
        <v>27265</v>
      </c>
      <c r="BT28" s="167">
        <f t="shared" si="71"/>
        <v>4.037089327278971</v>
      </c>
      <c r="BU28" s="169">
        <v>24951</v>
      </c>
      <c r="BV28" s="169">
        <v>27265</v>
      </c>
      <c r="BW28" s="167">
        <f t="shared" si="54"/>
        <v>9.2741773876798526</v>
      </c>
      <c r="BX28" s="167"/>
      <c r="BZ28" s="168"/>
      <c r="CA28" s="168" t="s">
        <v>52</v>
      </c>
      <c r="CB28" s="169">
        <v>27097</v>
      </c>
      <c r="CC28" s="169">
        <v>24951</v>
      </c>
      <c r="CD28" s="167">
        <f t="shared" si="72"/>
        <v>-7.9196959072960107</v>
      </c>
      <c r="CE28" s="169">
        <v>27850</v>
      </c>
      <c r="CF28" s="169">
        <v>24951</v>
      </c>
      <c r="CG28" s="167">
        <f t="shared" si="55"/>
        <v>-10.409335727109516</v>
      </c>
      <c r="CH28" s="167"/>
      <c r="CI28" s="168" t="s">
        <v>52</v>
      </c>
      <c r="CJ28" s="169">
        <v>27939</v>
      </c>
      <c r="CK28" s="169">
        <v>27850</v>
      </c>
      <c r="CL28" s="167">
        <f t="shared" si="73"/>
        <v>-0.31855112924585705</v>
      </c>
      <c r="CM28" s="169">
        <v>29467</v>
      </c>
      <c r="CN28" s="169">
        <v>27850</v>
      </c>
      <c r="CO28" s="167">
        <f t="shared" si="56"/>
        <v>-5.4874944853565006</v>
      </c>
      <c r="CP28" s="167"/>
      <c r="CQ28" s="73"/>
      <c r="CR28" s="168"/>
      <c r="CS28" s="168" t="s">
        <v>52</v>
      </c>
      <c r="CT28" s="169">
        <v>29739</v>
      </c>
      <c r="CU28" s="169">
        <v>29467</v>
      </c>
      <c r="CV28" s="167">
        <f t="shared" si="74"/>
        <v>-0.91462389454924509</v>
      </c>
      <c r="CW28" s="169">
        <v>37133</v>
      </c>
      <c r="CX28" s="169">
        <v>29467</v>
      </c>
      <c r="CY28" s="167">
        <f t="shared" si="57"/>
        <v>-20.644709557536423</v>
      </c>
      <c r="CZ28" s="73"/>
      <c r="DA28" s="226"/>
      <c r="DB28" s="226" t="s">
        <v>52</v>
      </c>
      <c r="DC28" s="227">
        <v>43436</v>
      </c>
      <c r="DD28" s="227">
        <v>37133</v>
      </c>
      <c r="DE28" s="225">
        <f t="shared" si="62"/>
        <v>-14.511004696565061</v>
      </c>
      <c r="DF28" s="227">
        <v>52245</v>
      </c>
      <c r="DG28" s="227">
        <v>37133</v>
      </c>
      <c r="DH28" s="225">
        <f t="shared" si="63"/>
        <v>-28.925256005359362</v>
      </c>
      <c r="DI28" s="73"/>
      <c r="DJ28" s="152"/>
      <c r="DK28" s="152" t="s">
        <v>52</v>
      </c>
      <c r="DL28" s="148">
        <v>49539</v>
      </c>
      <c r="DM28" s="148">
        <v>52245</v>
      </c>
      <c r="DN28" s="151">
        <f t="shared" si="64"/>
        <v>5.4623629867377215</v>
      </c>
      <c r="DO28" s="148">
        <v>31393</v>
      </c>
      <c r="DP28" s="148">
        <v>52245</v>
      </c>
      <c r="DQ28" s="151">
        <f t="shared" si="65"/>
        <v>66.422450864842489</v>
      </c>
      <c r="DR28" s="73"/>
      <c r="DS28" s="89"/>
      <c r="DT28" s="89" t="s">
        <v>52</v>
      </c>
      <c r="DU28" s="90">
        <v>28866</v>
      </c>
      <c r="DV28" s="90">
        <f>31115-3231</f>
        <v>27884</v>
      </c>
      <c r="DW28" s="129">
        <f t="shared" si="66"/>
        <v>-3.4019261414813275</v>
      </c>
      <c r="DX28" s="90">
        <v>20220</v>
      </c>
      <c r="DY28" s="90">
        <f>31115-3231</f>
        <v>27884</v>
      </c>
      <c r="DZ28" s="129">
        <f t="shared" si="67"/>
        <v>37.903066271018794</v>
      </c>
      <c r="EA28" s="130"/>
      <c r="EB28" s="42"/>
      <c r="EC28" s="42" t="s">
        <v>52</v>
      </c>
      <c r="ED28" s="43">
        <v>19227</v>
      </c>
      <c r="EE28" s="43">
        <v>20220</v>
      </c>
      <c r="EF28" s="44">
        <f t="shared" si="58"/>
        <v>5.1646122640037451</v>
      </c>
      <c r="EG28" s="43">
        <v>20459</v>
      </c>
      <c r="EH28" s="43">
        <v>20220</v>
      </c>
      <c r="EI28" s="44">
        <f t="shared" si="59"/>
        <v>-1.1681900386138131</v>
      </c>
      <c r="EJ28" s="61"/>
      <c r="EK28" s="89"/>
      <c r="EL28" s="89" t="s">
        <v>52</v>
      </c>
      <c r="EM28" s="90">
        <v>24040</v>
      </c>
      <c r="EN28" s="90">
        <v>20459</v>
      </c>
      <c r="EO28" s="91">
        <f t="shared" si="68"/>
        <v>-14.896006655574043</v>
      </c>
      <c r="EP28" s="92">
        <v>30112</v>
      </c>
      <c r="EQ28" s="90">
        <v>20459</v>
      </c>
      <c r="ER28" s="91">
        <f t="shared" si="69"/>
        <v>-32.056987247608923</v>
      </c>
      <c r="ES28" s="61"/>
      <c r="ET28" s="42"/>
      <c r="EU28" s="42" t="s">
        <v>52</v>
      </c>
      <c r="EV28" s="43">
        <v>30952</v>
      </c>
      <c r="EW28" s="43">
        <v>30112</v>
      </c>
      <c r="EX28" s="44">
        <f t="shared" si="60"/>
        <v>-2.7138795554406823</v>
      </c>
      <c r="EY28" s="45">
        <v>31216</v>
      </c>
      <c r="EZ28" s="43">
        <v>30112</v>
      </c>
      <c r="FA28" s="44">
        <f t="shared" si="61"/>
        <v>-3.5366478728856996</v>
      </c>
      <c r="FB28" s="61"/>
    </row>
    <row r="29" spans="1:158" x14ac:dyDescent="0.5">
      <c r="A29" s="168"/>
      <c r="B29" s="168" t="s">
        <v>53</v>
      </c>
      <c r="C29" s="169">
        <v>2519</v>
      </c>
      <c r="D29" s="169">
        <v>2218</v>
      </c>
      <c r="E29" s="167">
        <f t="shared" si="39"/>
        <v>-11.949186184994046</v>
      </c>
      <c r="F29" s="169">
        <v>2532</v>
      </c>
      <c r="G29" s="169">
        <v>2218</v>
      </c>
      <c r="H29" s="167">
        <f t="shared" si="40"/>
        <v>-12.40126382306477</v>
      </c>
      <c r="I29" s="168"/>
      <c r="J29" s="168" t="s">
        <v>53</v>
      </c>
      <c r="K29" s="169">
        <v>2895</v>
      </c>
      <c r="L29" s="169">
        <v>2532</v>
      </c>
      <c r="M29" s="167">
        <f t="shared" si="41"/>
        <v>-12.538860103626941</v>
      </c>
      <c r="N29" s="169">
        <v>3603</v>
      </c>
      <c r="O29" s="169">
        <v>2532</v>
      </c>
      <c r="P29" s="167">
        <f t="shared" si="42"/>
        <v>-29.725228975853458</v>
      </c>
      <c r="Q29" s="168"/>
      <c r="R29" s="168" t="s">
        <v>53</v>
      </c>
      <c r="S29" s="169">
        <v>4048</v>
      </c>
      <c r="T29" s="169">
        <v>3603</v>
      </c>
      <c r="U29" s="167">
        <f t="shared" si="43"/>
        <v>-10.99308300395257</v>
      </c>
      <c r="V29" s="169">
        <v>3611</v>
      </c>
      <c r="W29" s="169">
        <v>3603</v>
      </c>
      <c r="X29" s="167">
        <f t="shared" si="44"/>
        <v>-0.22154527831625587</v>
      </c>
      <c r="Y29" s="168"/>
      <c r="Z29" s="168" t="s">
        <v>53</v>
      </c>
      <c r="AA29" s="169">
        <v>3865</v>
      </c>
      <c r="AB29" s="169">
        <v>3611</v>
      </c>
      <c r="AC29" s="167">
        <f t="shared" si="45"/>
        <v>-6.5717981888745154</v>
      </c>
      <c r="AD29" s="169">
        <v>3390</v>
      </c>
      <c r="AE29" s="169">
        <v>3611</v>
      </c>
      <c r="AF29" s="167">
        <f t="shared" si="46"/>
        <v>6.5191740412979353</v>
      </c>
      <c r="AG29" s="168"/>
      <c r="AH29" s="168" t="s">
        <v>53</v>
      </c>
      <c r="AI29" s="169">
        <v>7508</v>
      </c>
      <c r="AJ29" s="169">
        <v>3390</v>
      </c>
      <c r="AK29" s="167">
        <f t="shared" si="47"/>
        <v>-54.848161960575382</v>
      </c>
      <c r="AL29" s="169">
        <v>3079</v>
      </c>
      <c r="AM29" s="169">
        <v>3390</v>
      </c>
      <c r="AN29" s="167">
        <f t="shared" si="48"/>
        <v>10.100682039623255</v>
      </c>
      <c r="AO29" s="168"/>
      <c r="AP29" s="168" t="s">
        <v>53</v>
      </c>
      <c r="AQ29" s="169">
        <v>3456</v>
      </c>
      <c r="AR29" s="169">
        <v>3079</v>
      </c>
      <c r="AS29" s="167">
        <f t="shared" si="49"/>
        <v>-10.908564814814815</v>
      </c>
      <c r="AT29" s="169">
        <v>3877</v>
      </c>
      <c r="AU29" s="169">
        <v>3079</v>
      </c>
      <c r="AV29" s="167">
        <f t="shared" si="50"/>
        <v>-20.582924941965437</v>
      </c>
      <c r="AW29" s="168"/>
      <c r="AX29" s="168" t="s">
        <v>53</v>
      </c>
      <c r="AY29" s="169">
        <v>3908</v>
      </c>
      <c r="AZ29" s="169">
        <v>3877</v>
      </c>
      <c r="BA29" s="167">
        <f t="shared" si="51"/>
        <v>-0.79324462640736948</v>
      </c>
      <c r="BB29" s="169">
        <v>3626</v>
      </c>
      <c r="BC29" s="169">
        <v>3877</v>
      </c>
      <c r="BD29" s="167">
        <f t="shared" si="52"/>
        <v>6.9222283507997791</v>
      </c>
      <c r="BE29" s="167"/>
      <c r="BF29" s="167"/>
      <c r="BG29" s="168"/>
      <c r="BH29" s="168" t="s">
        <v>53</v>
      </c>
      <c r="BI29" s="169">
        <v>3808</v>
      </c>
      <c r="BJ29" s="169">
        <v>3626</v>
      </c>
      <c r="BK29" s="167">
        <f t="shared" si="70"/>
        <v>-4.7794117647058822</v>
      </c>
      <c r="BL29" s="169">
        <v>3272</v>
      </c>
      <c r="BM29" s="169">
        <v>3626</v>
      </c>
      <c r="BN29" s="167">
        <f t="shared" si="53"/>
        <v>10.819070904645477</v>
      </c>
      <c r="BO29" s="167"/>
      <c r="BQ29" s="168" t="s">
        <v>53</v>
      </c>
      <c r="BR29" s="169">
        <v>3811</v>
      </c>
      <c r="BS29" s="169">
        <v>3272</v>
      </c>
      <c r="BT29" s="167">
        <f t="shared" si="71"/>
        <v>-14.143269483075308</v>
      </c>
      <c r="BU29" s="169">
        <v>3315</v>
      </c>
      <c r="BV29" s="169">
        <v>3272</v>
      </c>
      <c r="BW29" s="167">
        <f t="shared" si="54"/>
        <v>-1.297134238310709</v>
      </c>
      <c r="BX29" s="167"/>
      <c r="BZ29" s="168"/>
      <c r="CA29" s="168" t="s">
        <v>53</v>
      </c>
      <c r="CB29" s="169">
        <v>4078</v>
      </c>
      <c r="CC29" s="169">
        <v>3315</v>
      </c>
      <c r="CD29" s="167">
        <f t="shared" si="72"/>
        <v>-18.710152035311427</v>
      </c>
      <c r="CE29" s="169">
        <v>3108</v>
      </c>
      <c r="CF29" s="169">
        <v>3315</v>
      </c>
      <c r="CG29" s="167">
        <f t="shared" si="55"/>
        <v>6.6602316602316609</v>
      </c>
      <c r="CH29" s="167"/>
      <c r="CI29" s="168" t="s">
        <v>53</v>
      </c>
      <c r="CJ29" s="169">
        <v>4296</v>
      </c>
      <c r="CK29" s="169">
        <v>3108</v>
      </c>
      <c r="CL29" s="167">
        <f t="shared" si="73"/>
        <v>-27.653631284916202</v>
      </c>
      <c r="CM29" s="169">
        <v>3845</v>
      </c>
      <c r="CN29" s="169">
        <v>3108</v>
      </c>
      <c r="CO29" s="167">
        <f t="shared" si="56"/>
        <v>-19.167750325097529</v>
      </c>
      <c r="CP29" s="167"/>
      <c r="CQ29" s="73"/>
      <c r="CR29" s="168"/>
      <c r="CS29" s="168" t="s">
        <v>53</v>
      </c>
      <c r="CT29" s="169">
        <v>4034</v>
      </c>
      <c r="CU29" s="169">
        <v>3845</v>
      </c>
      <c r="CV29" s="167">
        <f t="shared" si="74"/>
        <v>-4.6851760039662862</v>
      </c>
      <c r="CW29" s="169">
        <v>7157</v>
      </c>
      <c r="CX29" s="169">
        <v>3845</v>
      </c>
      <c r="CY29" s="167">
        <f t="shared" si="57"/>
        <v>-46.276372781891858</v>
      </c>
      <c r="CZ29" s="73"/>
      <c r="DA29" s="226"/>
      <c r="DB29" s="226" t="s">
        <v>53</v>
      </c>
      <c r="DC29" s="227">
        <v>7201</v>
      </c>
      <c r="DD29" s="227">
        <v>7157</v>
      </c>
      <c r="DE29" s="225">
        <f t="shared" si="62"/>
        <v>-0.61102624635467295</v>
      </c>
      <c r="DF29" s="227">
        <v>6795</v>
      </c>
      <c r="DG29" s="227">
        <v>7157</v>
      </c>
      <c r="DH29" s="225">
        <f t="shared" si="63"/>
        <v>5.3274466519499626</v>
      </c>
      <c r="DI29" s="73"/>
      <c r="DJ29" s="152"/>
      <c r="DK29" s="152" t="s">
        <v>53</v>
      </c>
      <c r="DL29" s="148">
        <v>6345</v>
      </c>
      <c r="DM29" s="148">
        <v>6765</v>
      </c>
      <c r="DN29" s="151">
        <f t="shared" si="64"/>
        <v>6.6193853427895979</v>
      </c>
      <c r="DO29" s="148">
        <v>4624</v>
      </c>
      <c r="DP29" s="148">
        <v>6765</v>
      </c>
      <c r="DQ29" s="151">
        <f t="shared" si="65"/>
        <v>46.30190311418685</v>
      </c>
      <c r="DR29" s="73"/>
      <c r="DS29" s="89"/>
      <c r="DT29" s="89" t="s">
        <v>53</v>
      </c>
      <c r="DU29" s="90">
        <v>4398</v>
      </c>
      <c r="DV29" s="90">
        <f>1934+297+601+1289+4</f>
        <v>4125</v>
      </c>
      <c r="DW29" s="129">
        <f t="shared" si="66"/>
        <v>-6.207366984993179</v>
      </c>
      <c r="DX29" s="90">
        <v>2705</v>
      </c>
      <c r="DY29" s="90">
        <f>1934+297+601+1289+4</f>
        <v>4125</v>
      </c>
      <c r="DZ29" s="129">
        <f t="shared" si="67"/>
        <v>52.495378927911275</v>
      </c>
      <c r="EA29" s="130"/>
      <c r="EB29" s="42"/>
      <c r="EC29" s="42" t="s">
        <v>53</v>
      </c>
      <c r="ED29" s="43">
        <v>2564</v>
      </c>
      <c r="EE29" s="43">
        <v>2705</v>
      </c>
      <c r="EF29" s="44">
        <f t="shared" si="58"/>
        <v>5.4992199687987515</v>
      </c>
      <c r="EG29" s="43">
        <v>3435</v>
      </c>
      <c r="EH29" s="43">
        <v>2705</v>
      </c>
      <c r="EI29" s="44">
        <f t="shared" si="59"/>
        <v>-21.251819505094613</v>
      </c>
      <c r="EJ29" s="61"/>
      <c r="EK29" s="89"/>
      <c r="EL29" s="89" t="s">
        <v>53</v>
      </c>
      <c r="EM29" s="90">
        <v>3322</v>
      </c>
      <c r="EN29" s="90">
        <v>4202</v>
      </c>
      <c r="EO29" s="91">
        <f t="shared" si="68"/>
        <v>26.490066225165563</v>
      </c>
      <c r="EP29" s="92">
        <v>3259</v>
      </c>
      <c r="EQ29" s="90">
        <v>4202</v>
      </c>
      <c r="ER29" s="91">
        <f t="shared" si="69"/>
        <v>28.935256213562443</v>
      </c>
      <c r="ES29" s="61"/>
      <c r="ET29" s="42"/>
      <c r="EU29" s="42" t="s">
        <v>53</v>
      </c>
      <c r="EV29" s="43">
        <v>3322</v>
      </c>
      <c r="EW29" s="43">
        <v>3259</v>
      </c>
      <c r="EX29" s="44">
        <f t="shared" si="60"/>
        <v>-1.8964479229379894</v>
      </c>
      <c r="EY29" s="45">
        <v>2873</v>
      </c>
      <c r="EZ29" s="43">
        <v>3259</v>
      </c>
      <c r="FA29" s="44">
        <f t="shared" si="61"/>
        <v>13.435433344935607</v>
      </c>
      <c r="FB29" s="61"/>
    </row>
    <row r="30" spans="1:158" x14ac:dyDescent="0.5">
      <c r="A30" s="168"/>
      <c r="B30" s="168" t="s">
        <v>54</v>
      </c>
      <c r="C30" s="169">
        <v>16887</v>
      </c>
      <c r="D30" s="169">
        <v>17048</v>
      </c>
      <c r="E30" s="167">
        <f t="shared" si="39"/>
        <v>0.953396103511577</v>
      </c>
      <c r="F30" s="169">
        <v>14123</v>
      </c>
      <c r="G30" s="169">
        <v>17048</v>
      </c>
      <c r="H30" s="167">
        <f t="shared" si="40"/>
        <v>20.710897118176025</v>
      </c>
      <c r="I30" s="168"/>
      <c r="J30" s="168" t="s">
        <v>54</v>
      </c>
      <c r="K30" s="169">
        <v>12959</v>
      </c>
      <c r="L30" s="169">
        <v>14123</v>
      </c>
      <c r="M30" s="167">
        <f t="shared" si="41"/>
        <v>8.9821745505054391</v>
      </c>
      <c r="N30" s="169">
        <v>11996</v>
      </c>
      <c r="O30" s="169">
        <v>14123</v>
      </c>
      <c r="P30" s="167">
        <f t="shared" si="42"/>
        <v>17.730910303434477</v>
      </c>
      <c r="Q30" s="168"/>
      <c r="R30" s="168" t="s">
        <v>54</v>
      </c>
      <c r="S30" s="169">
        <v>13920</v>
      </c>
      <c r="T30" s="169">
        <v>11996</v>
      </c>
      <c r="U30" s="167">
        <f t="shared" si="43"/>
        <v>-13.821839080459769</v>
      </c>
      <c r="V30" s="169">
        <v>11414</v>
      </c>
      <c r="W30" s="169">
        <v>11996</v>
      </c>
      <c r="X30" s="167">
        <f t="shared" si="44"/>
        <v>5.0990012265638684</v>
      </c>
      <c r="Y30" s="168"/>
      <c r="Z30" s="168" t="s">
        <v>54</v>
      </c>
      <c r="AA30" s="169">
        <v>11056</v>
      </c>
      <c r="AB30" s="169">
        <v>11414</v>
      </c>
      <c r="AC30" s="167">
        <f t="shared" si="45"/>
        <v>3.2380607814761215</v>
      </c>
      <c r="AD30" s="169">
        <v>7242</v>
      </c>
      <c r="AE30" s="169">
        <v>11414</v>
      </c>
      <c r="AF30" s="167">
        <f t="shared" si="46"/>
        <v>57.608395470864401</v>
      </c>
      <c r="AG30" s="168"/>
      <c r="AH30" s="168" t="s">
        <v>54</v>
      </c>
      <c r="AI30" s="169">
        <v>9381</v>
      </c>
      <c r="AJ30" s="169">
        <v>7242</v>
      </c>
      <c r="AK30" s="167">
        <f t="shared" si="47"/>
        <v>-22.801407099456348</v>
      </c>
      <c r="AL30" s="169">
        <v>8036</v>
      </c>
      <c r="AM30" s="169">
        <v>7242</v>
      </c>
      <c r="AN30" s="167">
        <f t="shared" si="48"/>
        <v>-9.8805375808860134</v>
      </c>
      <c r="AO30" s="168"/>
      <c r="AP30" s="168" t="s">
        <v>54</v>
      </c>
      <c r="AQ30" s="169">
        <v>7205</v>
      </c>
      <c r="AR30" s="169">
        <v>8036</v>
      </c>
      <c r="AS30" s="167">
        <f t="shared" si="49"/>
        <v>11.533657182512144</v>
      </c>
      <c r="AT30" s="169">
        <v>10010</v>
      </c>
      <c r="AU30" s="169">
        <v>8036</v>
      </c>
      <c r="AV30" s="167">
        <f t="shared" si="50"/>
        <v>-19.72027972027972</v>
      </c>
      <c r="AW30" s="168"/>
      <c r="AX30" s="168" t="s">
        <v>54</v>
      </c>
      <c r="AY30" s="169">
        <v>11302</v>
      </c>
      <c r="AZ30" s="169">
        <v>10010</v>
      </c>
      <c r="BA30" s="167">
        <f t="shared" si="51"/>
        <v>-11.431605025659175</v>
      </c>
      <c r="BB30" s="169">
        <v>11701</v>
      </c>
      <c r="BC30" s="169">
        <v>10010</v>
      </c>
      <c r="BD30" s="167">
        <f t="shared" si="52"/>
        <v>-14.451756260148704</v>
      </c>
      <c r="BE30" s="167"/>
      <c r="BF30" s="167"/>
      <c r="BG30" s="168"/>
      <c r="BH30" s="168" t="s">
        <v>54</v>
      </c>
      <c r="BI30" s="169">
        <v>11254</v>
      </c>
      <c r="BJ30" s="169">
        <v>11701</v>
      </c>
      <c r="BK30" s="167">
        <f t="shared" si="70"/>
        <v>3.9719210947218766</v>
      </c>
      <c r="BL30" s="169">
        <v>7842</v>
      </c>
      <c r="BM30" s="169">
        <v>11701</v>
      </c>
      <c r="BN30" s="167">
        <f t="shared" si="53"/>
        <v>49.209385360877327</v>
      </c>
      <c r="BO30" s="167"/>
      <c r="BQ30" s="168" t="s">
        <v>54</v>
      </c>
      <c r="BR30" s="169">
        <v>10356</v>
      </c>
      <c r="BS30" s="169">
        <v>7842</v>
      </c>
      <c r="BT30" s="167">
        <f t="shared" si="71"/>
        <v>-24.275782155272303</v>
      </c>
      <c r="BU30" s="169">
        <v>8011</v>
      </c>
      <c r="BV30" s="169">
        <v>7842</v>
      </c>
      <c r="BW30" s="167">
        <f t="shared" si="54"/>
        <v>-2.1095993009611784</v>
      </c>
      <c r="BX30" s="167"/>
      <c r="BZ30" s="168"/>
      <c r="CA30" s="168" t="s">
        <v>54</v>
      </c>
      <c r="CB30" s="169">
        <v>9414</v>
      </c>
      <c r="CC30" s="169">
        <v>8011</v>
      </c>
      <c r="CD30" s="167">
        <f t="shared" si="72"/>
        <v>-14.903335457828765</v>
      </c>
      <c r="CE30" s="169">
        <v>3785</v>
      </c>
      <c r="CF30" s="169">
        <v>8011</v>
      </c>
      <c r="CG30" s="167">
        <f t="shared" si="55"/>
        <v>111.65125495376486</v>
      </c>
      <c r="CH30" s="167"/>
      <c r="CI30" s="168" t="s">
        <v>54</v>
      </c>
      <c r="CJ30" s="169">
        <v>6804</v>
      </c>
      <c r="CK30" s="169">
        <v>3785</v>
      </c>
      <c r="CL30" s="167">
        <f t="shared" si="73"/>
        <v>-44.37095825984715</v>
      </c>
      <c r="CM30" s="169">
        <v>6515</v>
      </c>
      <c r="CN30" s="169">
        <v>3785</v>
      </c>
      <c r="CO30" s="167">
        <f t="shared" si="56"/>
        <v>-41.903300076745971</v>
      </c>
      <c r="CP30" s="167"/>
      <c r="CQ30" s="73"/>
      <c r="CR30" s="168"/>
      <c r="CS30" s="168" t="s">
        <v>54</v>
      </c>
      <c r="CT30" s="169">
        <v>7092</v>
      </c>
      <c r="CU30" s="169">
        <v>6515</v>
      </c>
      <c r="CV30" s="167">
        <f t="shared" si="74"/>
        <v>-8.1359278059785662</v>
      </c>
      <c r="CW30" s="169">
        <v>6477</v>
      </c>
      <c r="CX30" s="169">
        <v>6515</v>
      </c>
      <c r="CY30" s="167">
        <f t="shared" si="57"/>
        <v>0.58669136946117029</v>
      </c>
      <c r="CZ30" s="73"/>
      <c r="DA30" s="226"/>
      <c r="DB30" s="226" t="s">
        <v>54</v>
      </c>
      <c r="DC30" s="227">
        <v>5717</v>
      </c>
      <c r="DD30" s="227">
        <v>6477</v>
      </c>
      <c r="DE30" s="225">
        <f t="shared" si="62"/>
        <v>13.293685499387792</v>
      </c>
      <c r="DF30" s="227">
        <v>8176</v>
      </c>
      <c r="DG30" s="227">
        <v>6477</v>
      </c>
      <c r="DH30" s="225">
        <f t="shared" si="63"/>
        <v>-20.780332681017612</v>
      </c>
      <c r="DI30" s="73"/>
      <c r="DJ30" s="152"/>
      <c r="DK30" s="152" t="s">
        <v>54</v>
      </c>
      <c r="DL30" s="148">
        <v>7214</v>
      </c>
      <c r="DM30" s="148">
        <v>8206</v>
      </c>
      <c r="DN30" s="151">
        <f t="shared" si="64"/>
        <v>13.75103964513446</v>
      </c>
      <c r="DO30" s="148">
        <v>4608</v>
      </c>
      <c r="DP30" s="148">
        <v>8206</v>
      </c>
      <c r="DQ30" s="151">
        <f t="shared" si="65"/>
        <v>78.081597222222214</v>
      </c>
      <c r="DR30" s="73"/>
      <c r="DS30" s="89"/>
      <c r="DT30" s="89" t="s">
        <v>54</v>
      </c>
      <c r="DU30" s="90">
        <v>4347</v>
      </c>
      <c r="DV30" s="90">
        <f>3231+1652</f>
        <v>4883</v>
      </c>
      <c r="DW30" s="129">
        <f t="shared" si="66"/>
        <v>12.330342765125375</v>
      </c>
      <c r="DX30" s="90">
        <v>2698</v>
      </c>
      <c r="DY30" s="90">
        <f>3231+1652</f>
        <v>4883</v>
      </c>
      <c r="DZ30" s="129">
        <f t="shared" si="67"/>
        <v>80.985915492957744</v>
      </c>
      <c r="EA30" s="130"/>
      <c r="EB30" s="42"/>
      <c r="EC30" s="42" t="s">
        <v>54</v>
      </c>
      <c r="ED30" s="43">
        <v>2865</v>
      </c>
      <c r="EE30" s="43">
        <v>2698</v>
      </c>
      <c r="EF30" s="44">
        <f t="shared" si="58"/>
        <v>-5.8289703315881329</v>
      </c>
      <c r="EG30" s="43">
        <v>1598</v>
      </c>
      <c r="EH30" s="43">
        <v>2698</v>
      </c>
      <c r="EI30" s="44">
        <f t="shared" si="59"/>
        <v>68.836045056320401</v>
      </c>
      <c r="EJ30" s="61"/>
      <c r="EK30" s="89"/>
      <c r="EL30" s="89" t="s">
        <v>54</v>
      </c>
      <c r="EM30" s="90">
        <v>2164</v>
      </c>
      <c r="EN30" s="90">
        <v>1598</v>
      </c>
      <c r="EO30" s="91">
        <f t="shared" si="68"/>
        <v>-26.155268022181144</v>
      </c>
      <c r="EP30" s="92">
        <v>2662</v>
      </c>
      <c r="EQ30" s="90">
        <v>1598</v>
      </c>
      <c r="ER30" s="91">
        <f t="shared" si="69"/>
        <v>-39.969947407963936</v>
      </c>
      <c r="ES30" s="61"/>
      <c r="ET30" s="42"/>
      <c r="EU30" s="42" t="s">
        <v>54</v>
      </c>
      <c r="EV30" s="43">
        <v>3034</v>
      </c>
      <c r="EW30" s="43">
        <v>2662</v>
      </c>
      <c r="EX30" s="44">
        <f t="shared" si="60"/>
        <v>-12.261041529334213</v>
      </c>
      <c r="EY30" s="45">
        <v>2107</v>
      </c>
      <c r="EZ30" s="43">
        <v>2662</v>
      </c>
      <c r="FA30" s="44">
        <f t="shared" si="61"/>
        <v>26.34076886568581</v>
      </c>
      <c r="FB30" s="61"/>
    </row>
    <row r="31" spans="1:158" x14ac:dyDescent="0.5">
      <c r="A31" s="165" t="s">
        <v>2</v>
      </c>
      <c r="B31" s="165" t="s">
        <v>55</v>
      </c>
      <c r="C31" s="166">
        <v>88085</v>
      </c>
      <c r="D31" s="166">
        <v>72439</v>
      </c>
      <c r="E31" s="167">
        <f t="shared" si="39"/>
        <v>-17.762388601918602</v>
      </c>
      <c r="F31" s="166">
        <v>83527</v>
      </c>
      <c r="G31" s="166">
        <v>72439</v>
      </c>
      <c r="H31" s="167">
        <f t="shared" si="40"/>
        <v>-13.27474948220336</v>
      </c>
      <c r="I31" s="165" t="s">
        <v>2</v>
      </c>
      <c r="J31" s="165" t="s">
        <v>55</v>
      </c>
      <c r="K31" s="166">
        <v>89071</v>
      </c>
      <c r="L31" s="166">
        <v>83527</v>
      </c>
      <c r="M31" s="167">
        <f t="shared" si="41"/>
        <v>-6.2242480717629753</v>
      </c>
      <c r="N31" s="166">
        <v>108052</v>
      </c>
      <c r="O31" s="166">
        <v>83527</v>
      </c>
      <c r="P31" s="167">
        <f t="shared" si="42"/>
        <v>-22.697404953170697</v>
      </c>
      <c r="Q31" s="165" t="s">
        <v>2</v>
      </c>
      <c r="R31" s="165" t="s">
        <v>55</v>
      </c>
      <c r="S31" s="166">
        <v>88826</v>
      </c>
      <c r="T31" s="166">
        <v>108052</v>
      </c>
      <c r="U31" s="167">
        <f t="shared" si="43"/>
        <v>21.644563528696555</v>
      </c>
      <c r="V31" s="166">
        <v>83086</v>
      </c>
      <c r="W31" s="166">
        <v>108052</v>
      </c>
      <c r="X31" s="167">
        <f t="shared" si="44"/>
        <v>30.048383602532315</v>
      </c>
      <c r="Y31" s="165" t="s">
        <v>2</v>
      </c>
      <c r="Z31" s="165" t="s">
        <v>55</v>
      </c>
      <c r="AA31" s="166">
        <v>73887</v>
      </c>
      <c r="AB31" s="166">
        <v>83086</v>
      </c>
      <c r="AC31" s="167">
        <f t="shared" si="45"/>
        <v>12.450092709136925</v>
      </c>
      <c r="AD31" s="166">
        <v>70590</v>
      </c>
      <c r="AE31" s="166">
        <v>83086</v>
      </c>
      <c r="AF31" s="167">
        <f t="shared" si="46"/>
        <v>17.702224111063892</v>
      </c>
      <c r="AG31" s="165" t="s">
        <v>2</v>
      </c>
      <c r="AH31" s="165" t="s">
        <v>55</v>
      </c>
      <c r="AI31" s="166">
        <v>83022</v>
      </c>
      <c r="AJ31" s="166">
        <v>70590</v>
      </c>
      <c r="AK31" s="167">
        <f t="shared" si="47"/>
        <v>-14.974344149743441</v>
      </c>
      <c r="AL31" s="166">
        <v>49564</v>
      </c>
      <c r="AM31" s="166">
        <v>70590</v>
      </c>
      <c r="AN31" s="167">
        <f t="shared" si="48"/>
        <v>42.421919134855948</v>
      </c>
      <c r="AO31" s="165" t="s">
        <v>2</v>
      </c>
      <c r="AP31" s="165" t="s">
        <v>55</v>
      </c>
      <c r="AQ31" s="166">
        <v>50049</v>
      </c>
      <c r="AR31" s="166">
        <v>49564</v>
      </c>
      <c r="AS31" s="167">
        <f t="shared" si="49"/>
        <v>-0.9690503306759376</v>
      </c>
      <c r="AT31" s="166">
        <v>82151</v>
      </c>
      <c r="AU31" s="166">
        <v>49564</v>
      </c>
      <c r="AV31" s="167">
        <f t="shared" si="50"/>
        <v>-39.667198208177624</v>
      </c>
      <c r="AW31" s="165" t="s">
        <v>2</v>
      </c>
      <c r="AX31" s="165" t="s">
        <v>55</v>
      </c>
      <c r="AY31" s="166">
        <v>97575</v>
      </c>
      <c r="AZ31" s="166">
        <v>82151</v>
      </c>
      <c r="BA31" s="167">
        <f t="shared" si="51"/>
        <v>-15.807327696643608</v>
      </c>
      <c r="BB31" s="166">
        <v>90151</v>
      </c>
      <c r="BC31" s="166">
        <v>82151</v>
      </c>
      <c r="BD31" s="167">
        <f t="shared" si="52"/>
        <v>-8.8740002884050089</v>
      </c>
      <c r="BE31" s="167"/>
      <c r="BF31" s="167"/>
      <c r="BG31" s="165" t="s">
        <v>2</v>
      </c>
      <c r="BH31" s="165" t="s">
        <v>55</v>
      </c>
      <c r="BI31" s="166">
        <v>95284</v>
      </c>
      <c r="BJ31" s="166">
        <v>90151</v>
      </c>
      <c r="BK31" s="167">
        <f t="shared" si="70"/>
        <v>-5.3870534402418038</v>
      </c>
      <c r="BL31" s="166">
        <v>90015</v>
      </c>
      <c r="BM31" s="166">
        <v>90151</v>
      </c>
      <c r="BN31" s="167">
        <f t="shared" si="53"/>
        <v>0.15108593012275731</v>
      </c>
      <c r="BO31" s="167"/>
      <c r="BQ31" s="165" t="s">
        <v>55</v>
      </c>
      <c r="BR31" s="166">
        <v>93086</v>
      </c>
      <c r="BS31" s="166">
        <v>90015</v>
      </c>
      <c r="BT31" s="167">
        <f t="shared" si="71"/>
        <v>-3.2990997572137597</v>
      </c>
      <c r="BU31" s="166">
        <v>99155</v>
      </c>
      <c r="BV31" s="166">
        <v>90015</v>
      </c>
      <c r="BW31" s="167">
        <f t="shared" si="54"/>
        <v>-9.2178911804750143</v>
      </c>
      <c r="BX31" s="167"/>
      <c r="BZ31" s="165" t="s">
        <v>2</v>
      </c>
      <c r="CA31" s="165" t="s">
        <v>55</v>
      </c>
      <c r="CB31" s="166">
        <v>107025</v>
      </c>
      <c r="CC31" s="166">
        <v>99155</v>
      </c>
      <c r="CD31" s="167">
        <f t="shared" si="72"/>
        <v>-7.3534220976407383</v>
      </c>
      <c r="CE31" s="166">
        <v>102359</v>
      </c>
      <c r="CF31" s="166">
        <v>99155</v>
      </c>
      <c r="CG31" s="167">
        <f t="shared" si="55"/>
        <v>-3.1301595365331822</v>
      </c>
      <c r="CH31" s="167"/>
      <c r="CI31" s="165" t="s">
        <v>55</v>
      </c>
      <c r="CJ31" s="166">
        <v>76774</v>
      </c>
      <c r="CK31" s="166">
        <v>102359</v>
      </c>
      <c r="CL31" s="167">
        <f t="shared" si="73"/>
        <v>33.325084012816845</v>
      </c>
      <c r="CM31" s="166">
        <v>91785</v>
      </c>
      <c r="CN31" s="166">
        <v>102359</v>
      </c>
      <c r="CO31" s="167">
        <f t="shared" si="56"/>
        <v>11.520400936972273</v>
      </c>
      <c r="CP31" s="167"/>
      <c r="CQ31" s="73"/>
      <c r="CR31" s="165" t="s">
        <v>2</v>
      </c>
      <c r="CS31" s="165" t="s">
        <v>55</v>
      </c>
      <c r="CT31" s="166">
        <v>103946</v>
      </c>
      <c r="CU31" s="166">
        <v>91785</v>
      </c>
      <c r="CV31" s="167">
        <f t="shared" si="74"/>
        <v>-11.699343890096781</v>
      </c>
      <c r="CW31" s="166">
        <v>84269</v>
      </c>
      <c r="CX31" s="166">
        <v>91785</v>
      </c>
      <c r="CY31" s="167">
        <f t="shared" si="57"/>
        <v>8.9190568299137283</v>
      </c>
      <c r="CZ31" s="73"/>
      <c r="DA31" s="224" t="s">
        <v>2</v>
      </c>
      <c r="DB31" s="224" t="s">
        <v>55</v>
      </c>
      <c r="DC31" s="238">
        <v>96182</v>
      </c>
      <c r="DD31" s="238">
        <v>82710</v>
      </c>
      <c r="DE31" s="225">
        <f t="shared" si="62"/>
        <v>-14.006778815162921</v>
      </c>
      <c r="DF31" s="238">
        <v>96167</v>
      </c>
      <c r="DG31" s="238">
        <v>82710</v>
      </c>
      <c r="DH31" s="225">
        <f t="shared" si="63"/>
        <v>-13.993365707571204</v>
      </c>
      <c r="DI31" s="73"/>
      <c r="DJ31" s="150" t="s">
        <v>2</v>
      </c>
      <c r="DK31" s="150" t="s">
        <v>55</v>
      </c>
      <c r="DL31" s="147">
        <v>94727</v>
      </c>
      <c r="DM31" s="147">
        <v>94838</v>
      </c>
      <c r="DN31" s="151">
        <f t="shared" si="64"/>
        <v>0.11717884024618112</v>
      </c>
      <c r="DO31" s="147">
        <v>75803</v>
      </c>
      <c r="DP31" s="147">
        <v>94838</v>
      </c>
      <c r="DQ31" s="151">
        <f t="shared" si="65"/>
        <v>25.111143358442277</v>
      </c>
      <c r="DR31" s="73"/>
      <c r="DS31" s="86" t="s">
        <v>2</v>
      </c>
      <c r="DT31" s="86" t="s">
        <v>55</v>
      </c>
      <c r="DU31" s="87">
        <v>69279</v>
      </c>
      <c r="DV31" s="87">
        <v>87605</v>
      </c>
      <c r="DW31" s="126">
        <f t="shared" si="66"/>
        <v>26.452460341517632</v>
      </c>
      <c r="DX31" s="87">
        <v>36555</v>
      </c>
      <c r="DY31" s="87">
        <v>87605</v>
      </c>
      <c r="DZ31" s="126">
        <f t="shared" si="67"/>
        <v>139.65257830666121</v>
      </c>
      <c r="EA31" s="127"/>
      <c r="EB31" s="63" t="s">
        <v>2</v>
      </c>
      <c r="EC31" s="63" t="s">
        <v>55</v>
      </c>
      <c r="ED31" s="68">
        <v>35403</v>
      </c>
      <c r="EE31" s="68">
        <v>36555</v>
      </c>
      <c r="EF31" s="65">
        <f t="shared" si="58"/>
        <v>3.2539615286840102</v>
      </c>
      <c r="EG31" s="68">
        <v>71232</v>
      </c>
      <c r="EH31" s="68">
        <v>36555</v>
      </c>
      <c r="EI31" s="65">
        <f t="shared" si="59"/>
        <v>-48.68177223719676</v>
      </c>
      <c r="EJ31" s="73"/>
      <c r="EK31" s="86" t="s">
        <v>2</v>
      </c>
      <c r="EL31" s="86" t="s">
        <v>55</v>
      </c>
      <c r="EM31" s="87">
        <v>64990</v>
      </c>
      <c r="EN31" s="87">
        <v>71232</v>
      </c>
      <c r="EO31" s="88">
        <f t="shared" si="68"/>
        <v>9.6045545468533629</v>
      </c>
      <c r="EP31" s="87">
        <v>56042</v>
      </c>
      <c r="EQ31" s="87">
        <v>71232</v>
      </c>
      <c r="ER31" s="88">
        <f t="shared" si="69"/>
        <v>27.104671496377719</v>
      </c>
      <c r="ES31" s="73"/>
      <c r="ET31" s="63" t="s">
        <v>2</v>
      </c>
      <c r="EU31" s="63" t="s">
        <v>55</v>
      </c>
      <c r="EV31" s="68">
        <v>55603</v>
      </c>
      <c r="EW31" s="68">
        <v>56042</v>
      </c>
      <c r="EX31" s="65">
        <f t="shared" si="60"/>
        <v>0.78952574501375827</v>
      </c>
      <c r="EY31" s="68">
        <v>40561</v>
      </c>
      <c r="EZ31" s="68">
        <v>56042</v>
      </c>
      <c r="FA31" s="65">
        <f t="shared" si="61"/>
        <v>38.167204950568276</v>
      </c>
      <c r="FB31" s="73"/>
    </row>
    <row r="32" spans="1:158" x14ac:dyDescent="0.5">
      <c r="A32" s="168"/>
      <c r="B32" s="168" t="s">
        <v>56</v>
      </c>
      <c r="C32" s="170">
        <v>57439.522825685199</v>
      </c>
      <c r="D32" s="170">
        <v>46853.188090199998</v>
      </c>
      <c r="E32" s="167">
        <f t="shared" si="39"/>
        <v>-18.430401602764213</v>
      </c>
      <c r="F32" s="170">
        <v>56397.86850981001</v>
      </c>
      <c r="G32" s="170">
        <v>46853.188090199998</v>
      </c>
      <c r="H32" s="167">
        <f t="shared" si="40"/>
        <v>-16.923831825221875</v>
      </c>
      <c r="I32" s="168"/>
      <c r="J32" s="168" t="s">
        <v>56</v>
      </c>
      <c r="K32" s="170">
        <v>63099.324863828391</v>
      </c>
      <c r="L32" s="170">
        <v>56397.86850981001</v>
      </c>
      <c r="M32" s="167">
        <f t="shared" si="41"/>
        <v>-10.620488204082168</v>
      </c>
      <c r="N32" s="170">
        <v>67587.545462690134</v>
      </c>
      <c r="O32" s="170">
        <v>56397.86850981001</v>
      </c>
      <c r="P32" s="167">
        <f t="shared" si="42"/>
        <v>-16.55582678181009</v>
      </c>
      <c r="Q32" s="168"/>
      <c r="R32" s="168" t="s">
        <v>56</v>
      </c>
      <c r="S32" s="170">
        <v>55925.625372900526</v>
      </c>
      <c r="T32" s="170">
        <v>67587.545462690134</v>
      </c>
      <c r="U32" s="167">
        <f t="shared" si="43"/>
        <v>20.852551959911636</v>
      </c>
      <c r="V32" s="170">
        <v>51987.15203279</v>
      </c>
      <c r="W32" s="170">
        <v>67587.545462690134</v>
      </c>
      <c r="X32" s="167">
        <f t="shared" si="44"/>
        <v>30.008170903573355</v>
      </c>
      <c r="Y32" s="168"/>
      <c r="Z32" s="168" t="s">
        <v>56</v>
      </c>
      <c r="AA32" s="170">
        <v>42781.173848925908</v>
      </c>
      <c r="AB32" s="170">
        <v>51987.15203279</v>
      </c>
      <c r="AC32" s="167">
        <f t="shared" si="45"/>
        <v>21.518760135879777</v>
      </c>
      <c r="AD32" s="170">
        <v>43430.612065337205</v>
      </c>
      <c r="AE32" s="170">
        <v>51987.15203279</v>
      </c>
      <c r="AF32" s="167">
        <f t="shared" si="46"/>
        <v>19.70163338840424</v>
      </c>
      <c r="AG32" s="168"/>
      <c r="AH32" s="168" t="s">
        <v>56</v>
      </c>
      <c r="AI32" s="170">
        <v>49278.488803167937</v>
      </c>
      <c r="AJ32" s="170">
        <v>43430.612065337205</v>
      </c>
      <c r="AK32" s="167">
        <f t="shared" si="47"/>
        <v>-11.866996898360229</v>
      </c>
      <c r="AL32" s="170">
        <v>28848.505380688599</v>
      </c>
      <c r="AM32" s="170">
        <v>43430.612065337205</v>
      </c>
      <c r="AN32" s="167">
        <f t="shared" si="48"/>
        <v>50.547182574005987</v>
      </c>
      <c r="AO32" s="168"/>
      <c r="AP32" s="168" t="s">
        <v>56</v>
      </c>
      <c r="AQ32" s="170">
        <v>29238.828517460901</v>
      </c>
      <c r="AR32" s="170">
        <v>28848.505380688599</v>
      </c>
      <c r="AS32" s="167">
        <f t="shared" si="49"/>
        <v>-1.3349479324700304</v>
      </c>
      <c r="AT32" s="170">
        <v>40330.530248528899</v>
      </c>
      <c r="AU32" s="170">
        <v>28848.505380688599</v>
      </c>
      <c r="AV32" s="167">
        <f t="shared" si="50"/>
        <v>-28.469808844774906</v>
      </c>
      <c r="AW32" s="168"/>
      <c r="AX32" s="168" t="s">
        <v>56</v>
      </c>
      <c r="AY32" s="170">
        <v>51353.578797824499</v>
      </c>
      <c r="AZ32" s="170">
        <v>40330.530248528899</v>
      </c>
      <c r="BA32" s="167">
        <f t="shared" si="51"/>
        <v>-21.465005569899194</v>
      </c>
      <c r="BB32" s="170">
        <v>49874.3</v>
      </c>
      <c r="BC32" s="170">
        <v>40330.530248528899</v>
      </c>
      <c r="BD32" s="167">
        <f t="shared" si="52"/>
        <v>-19.135646518289185</v>
      </c>
      <c r="BE32" s="167"/>
      <c r="BF32" s="167"/>
      <c r="BG32" s="168"/>
      <c r="BH32" s="168" t="s">
        <v>56</v>
      </c>
      <c r="BI32" s="170">
        <v>49147.73</v>
      </c>
      <c r="BJ32" s="170">
        <v>49874.3</v>
      </c>
      <c r="BK32" s="167">
        <f t="shared" si="70"/>
        <v>1.4783388775025819</v>
      </c>
      <c r="BL32" s="170">
        <v>47957.440000000002</v>
      </c>
      <c r="BM32" s="170">
        <v>49874.3</v>
      </c>
      <c r="BN32" s="167">
        <f t="shared" si="53"/>
        <v>3.9970023420766423</v>
      </c>
      <c r="BO32" s="167"/>
      <c r="BQ32" s="168" t="s">
        <v>56</v>
      </c>
      <c r="BR32" s="170">
        <v>49659.88</v>
      </c>
      <c r="BS32" s="170">
        <v>47957.440000000002</v>
      </c>
      <c r="BT32" s="167">
        <f t="shared" si="71"/>
        <v>-3.4281999875956108</v>
      </c>
      <c r="BU32" s="170">
        <v>51530.09</v>
      </c>
      <c r="BV32" s="170">
        <v>47957.440000000002</v>
      </c>
      <c r="BW32" s="167">
        <f t="shared" si="54"/>
        <v>-6.933133631243404</v>
      </c>
      <c r="BX32" s="167"/>
      <c r="BZ32" s="168"/>
      <c r="CA32" s="168" t="s">
        <v>56</v>
      </c>
      <c r="CB32" s="170">
        <v>57461.96</v>
      </c>
      <c r="CC32" s="170">
        <v>51530.09</v>
      </c>
      <c r="CD32" s="167">
        <f t="shared" si="72"/>
        <v>-10.323125072656767</v>
      </c>
      <c r="CE32" s="170">
        <v>49458.81</v>
      </c>
      <c r="CF32" s="170">
        <v>51530.09</v>
      </c>
      <c r="CG32" s="167">
        <f t="shared" si="55"/>
        <v>4.1878888715680764</v>
      </c>
      <c r="CH32" s="167"/>
      <c r="CI32" s="168" t="s">
        <v>56</v>
      </c>
      <c r="CJ32" s="170">
        <v>35150.22</v>
      </c>
      <c r="CK32" s="170">
        <v>49458.81</v>
      </c>
      <c r="CL32" s="167">
        <f t="shared" si="73"/>
        <v>40.706971393066659</v>
      </c>
      <c r="CM32" s="170">
        <v>43767.33</v>
      </c>
      <c r="CN32" s="170">
        <v>49458.81</v>
      </c>
      <c r="CO32" s="167">
        <f t="shared" si="56"/>
        <v>13.003946094038627</v>
      </c>
      <c r="CP32" s="167"/>
      <c r="CQ32" s="73"/>
      <c r="CR32" s="168"/>
      <c r="CS32" s="168" t="s">
        <v>56</v>
      </c>
      <c r="CT32" s="170">
        <v>49654.59</v>
      </c>
      <c r="CU32" s="170">
        <v>43767.33</v>
      </c>
      <c r="CV32" s="167">
        <f t="shared" si="74"/>
        <v>-11.856426566003254</v>
      </c>
      <c r="CW32" s="170">
        <v>40017.78</v>
      </c>
      <c r="CX32" s="170">
        <v>43767.33</v>
      </c>
      <c r="CY32" s="167">
        <f t="shared" si="57"/>
        <v>9.3697101638321847</v>
      </c>
      <c r="CZ32" s="73"/>
      <c r="DA32" s="226"/>
      <c r="DB32" s="226" t="s">
        <v>56</v>
      </c>
      <c r="DC32" s="228">
        <v>44675.22</v>
      </c>
      <c r="DD32" s="228">
        <v>39454.15</v>
      </c>
      <c r="DE32" s="225">
        <f t="shared" si="62"/>
        <v>-11.68672476598884</v>
      </c>
      <c r="DF32" s="228">
        <v>47085.27</v>
      </c>
      <c r="DG32" s="228">
        <v>39454.15</v>
      </c>
      <c r="DH32" s="225">
        <f t="shared" si="63"/>
        <v>-16.207021856304522</v>
      </c>
      <c r="DI32" s="73"/>
      <c r="DJ32" s="152"/>
      <c r="DK32" s="152" t="s">
        <v>56</v>
      </c>
      <c r="DL32" s="149">
        <v>46356.92</v>
      </c>
      <c r="DM32" s="149">
        <v>46337.78</v>
      </c>
      <c r="DN32" s="151">
        <f t="shared" si="64"/>
        <v>-4.1288334082590944E-2</v>
      </c>
      <c r="DO32" s="149">
        <v>33817.54</v>
      </c>
      <c r="DP32" s="149">
        <v>46337.78</v>
      </c>
      <c r="DQ32" s="151">
        <f t="shared" si="65"/>
        <v>37.02291769300782</v>
      </c>
      <c r="DR32" s="73"/>
      <c r="DS32" s="89"/>
      <c r="DT32" s="89" t="s">
        <v>56</v>
      </c>
      <c r="DU32" s="93">
        <v>31247.18</v>
      </c>
      <c r="DV32" s="93">
        <v>39835.599999999999</v>
      </c>
      <c r="DW32" s="129">
        <f t="shared" si="66"/>
        <v>27.485424284687443</v>
      </c>
      <c r="DX32" s="93">
        <v>17364.05</v>
      </c>
      <c r="DY32" s="93">
        <v>39835.599999999999</v>
      </c>
      <c r="DZ32" s="129">
        <f t="shared" si="67"/>
        <v>129.41422076070964</v>
      </c>
      <c r="EA32" s="130"/>
      <c r="EB32" s="42"/>
      <c r="EC32" s="42" t="s">
        <v>56</v>
      </c>
      <c r="ED32" s="66">
        <v>16497.060000000001</v>
      </c>
      <c r="EE32" s="66">
        <v>17364.05</v>
      </c>
      <c r="EF32" s="44">
        <f t="shared" si="58"/>
        <v>5.2554212690018582</v>
      </c>
      <c r="EG32" s="66">
        <v>32605.21</v>
      </c>
      <c r="EH32" s="66">
        <v>17364.05</v>
      </c>
      <c r="EI32" s="44">
        <f t="shared" si="59"/>
        <v>-46.744554014527125</v>
      </c>
      <c r="EJ32" s="61"/>
      <c r="EK32" s="89"/>
      <c r="EL32" s="89" t="s">
        <v>56</v>
      </c>
      <c r="EM32" s="93">
        <v>31024.51</v>
      </c>
      <c r="EN32" s="93">
        <v>32632.959999999999</v>
      </c>
      <c r="EO32" s="91">
        <f t="shared" si="68"/>
        <v>5.1844493273221746</v>
      </c>
      <c r="EP32" s="94">
        <v>23900.799999999999</v>
      </c>
      <c r="EQ32" s="93">
        <v>32632.959999999999</v>
      </c>
      <c r="ER32" s="91">
        <f>((EQ32-EP32)/EP32)*100</f>
        <v>36.535011380372204</v>
      </c>
      <c r="ES32" s="61"/>
      <c r="ET32" s="42"/>
      <c r="EU32" s="42" t="s">
        <v>56</v>
      </c>
      <c r="EV32" s="66">
        <v>24420.97</v>
      </c>
      <c r="EW32" s="66">
        <v>23900.799999999999</v>
      </c>
      <c r="EX32" s="44">
        <f t="shared" si="60"/>
        <v>-2.1300136726755814</v>
      </c>
      <c r="EY32" s="67">
        <v>17880.52</v>
      </c>
      <c r="EZ32" s="66">
        <v>23900.799999999999</v>
      </c>
      <c r="FA32" s="44">
        <f t="shared" si="61"/>
        <v>33.669490596470339</v>
      </c>
      <c r="FB32" s="61"/>
    </row>
    <row r="33" spans="129:138" x14ac:dyDescent="0.5">
      <c r="DY33" s="97"/>
      <c r="EH33" s="97"/>
    </row>
  </sheetData>
  <phoneticPr fontId="10" type="noConversion"/>
  <pageMargins left="0.55118110236220474" right="0.15748031496062992" top="0.98425196850393704" bottom="0.59055118110236227" header="0.51181102362204722" footer="0.51181102362204722"/>
  <pageSetup paperSize="9" scale="111" orientation="portrait" r:id="rId1"/>
  <headerFooter alignWithMargins="0"/>
  <colBreaks count="3" manualBreakCount="3">
    <brk id="78" max="28" man="1"/>
    <brk id="87" max="28" man="1"/>
    <brk id="95" max="2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GC32"/>
  <sheetViews>
    <sheetView view="pageBreakPreview" topLeftCell="A16" zoomScaleSheetLayoutView="100" workbookViewId="0">
      <selection activeCell="D21" sqref="D21:D32"/>
    </sheetView>
  </sheetViews>
  <sheetFormatPr defaultRowHeight="21.75" x14ac:dyDescent="0.5"/>
  <cols>
    <col min="2" max="2" width="22.85546875" customWidth="1"/>
    <col min="10" max="10" width="22.85546875" customWidth="1"/>
    <col min="18" max="18" width="24.7109375" customWidth="1"/>
    <col min="26" max="26" width="22.7109375" bestFit="1" customWidth="1"/>
    <col min="34" max="34" width="23.85546875" customWidth="1"/>
    <col min="36" max="36" width="11" customWidth="1"/>
    <col min="39" max="39" width="9.42578125" bestFit="1" customWidth="1"/>
    <col min="42" max="42" width="23.85546875" customWidth="1"/>
    <col min="44" max="44" width="11" customWidth="1"/>
    <col min="47" max="47" width="9.42578125" bestFit="1" customWidth="1"/>
    <col min="50" max="50" width="23.85546875" customWidth="1"/>
    <col min="58" max="58" width="24.140625" customWidth="1"/>
    <col min="66" max="66" width="22.42578125" customWidth="1"/>
    <col min="75" max="75" width="12.42578125" customWidth="1"/>
    <col min="77" max="77" width="10.28515625" bestFit="1" customWidth="1"/>
    <col min="79" max="79" width="11" bestFit="1" customWidth="1"/>
    <col min="80" max="80" width="11.28515625" customWidth="1"/>
    <col min="84" max="84" width="12.42578125" customWidth="1"/>
    <col min="86" max="86" width="10.28515625" bestFit="1" customWidth="1"/>
    <col min="88" max="88" width="11" bestFit="1" customWidth="1"/>
    <col min="89" max="89" width="11.28515625" customWidth="1"/>
    <col min="91" max="91" width="9.140625" customWidth="1"/>
    <col min="93" max="93" width="12.42578125" customWidth="1"/>
    <col min="100" max="100" width="9.140625" customWidth="1"/>
    <col min="102" max="102" width="12.42578125" customWidth="1"/>
    <col min="109" max="109" width="9.140625" customWidth="1"/>
    <col min="111" max="111" width="12.42578125" customWidth="1"/>
    <col min="118" max="118" width="9.140625" style="153" customWidth="1"/>
    <col min="120" max="120" width="12.42578125" customWidth="1"/>
    <col min="127" max="127" width="9.140625" customWidth="1"/>
    <col min="129" max="129" width="12.42578125" customWidth="1"/>
    <col min="136" max="136" width="9.140625" customWidth="1"/>
    <col min="138" max="138" width="12.42578125" customWidth="1"/>
    <col min="145" max="145" width="9.140625" customWidth="1"/>
    <col min="147" max="147" width="12.42578125" customWidth="1"/>
    <col min="154" max="154" width="9.140625" customWidth="1"/>
    <col min="155" max="169" width="0" hidden="1" customWidth="1"/>
  </cols>
  <sheetData>
    <row r="1" spans="1:185" x14ac:dyDescent="0.5">
      <c r="C1" s="62" t="s">
        <v>872</v>
      </c>
      <c r="K1" s="62" t="s">
        <v>832</v>
      </c>
      <c r="S1" s="62" t="s">
        <v>779</v>
      </c>
      <c r="AA1" s="62" t="s">
        <v>736</v>
      </c>
      <c r="AI1" s="62" t="s">
        <v>690</v>
      </c>
      <c r="AQ1" s="62" t="s">
        <v>644</v>
      </c>
      <c r="AY1" s="62" t="s">
        <v>595</v>
      </c>
      <c r="BG1" s="62" t="s">
        <v>552</v>
      </c>
      <c r="BO1" s="62" t="s">
        <v>552</v>
      </c>
      <c r="BW1" s="62" t="s">
        <v>506</v>
      </c>
      <c r="CE1" t="s">
        <v>445</v>
      </c>
      <c r="CN1" t="s">
        <v>396</v>
      </c>
      <c r="CW1" t="s">
        <v>353</v>
      </c>
      <c r="DF1" t="s">
        <v>300</v>
      </c>
      <c r="DN1"/>
      <c r="DO1" s="171" t="s">
        <v>263</v>
      </c>
      <c r="DX1" t="s">
        <v>222</v>
      </c>
      <c r="ED1" s="153"/>
      <c r="EG1" t="s">
        <v>184</v>
      </c>
      <c r="EP1" t="s">
        <v>148</v>
      </c>
      <c r="EY1" t="s">
        <v>104</v>
      </c>
      <c r="FH1" t="s">
        <v>66</v>
      </c>
      <c r="FP1" s="33" t="s">
        <v>18</v>
      </c>
      <c r="FW1" s="33" t="s">
        <v>20</v>
      </c>
    </row>
    <row r="2" spans="1:185" x14ac:dyDescent="0.5">
      <c r="A2" s="257"/>
      <c r="B2" s="257"/>
      <c r="C2" s="323" t="s">
        <v>870</v>
      </c>
      <c r="D2" s="323" t="s">
        <v>873</v>
      </c>
      <c r="E2" s="262" t="s">
        <v>3</v>
      </c>
      <c r="F2" s="323" t="s">
        <v>833</v>
      </c>
      <c r="G2" s="323" t="s">
        <v>873</v>
      </c>
      <c r="H2" s="262" t="s">
        <v>3</v>
      </c>
      <c r="I2" s="257"/>
      <c r="J2" s="257"/>
      <c r="K2" s="323" t="s">
        <v>831</v>
      </c>
      <c r="L2" s="323" t="s">
        <v>833</v>
      </c>
      <c r="M2" s="262" t="s">
        <v>3</v>
      </c>
      <c r="N2" s="323" t="s">
        <v>781</v>
      </c>
      <c r="O2" s="323" t="s">
        <v>833</v>
      </c>
      <c r="P2" s="262" t="s">
        <v>3</v>
      </c>
      <c r="Q2" s="257"/>
      <c r="R2" s="257"/>
      <c r="S2" s="323" t="s">
        <v>778</v>
      </c>
      <c r="T2" s="323" t="s">
        <v>781</v>
      </c>
      <c r="U2" s="262" t="s">
        <v>3</v>
      </c>
      <c r="V2" s="323" t="s">
        <v>737</v>
      </c>
      <c r="W2" s="323" t="s">
        <v>781</v>
      </c>
      <c r="X2" s="262" t="s">
        <v>3</v>
      </c>
      <c r="Y2" s="257"/>
      <c r="Z2" s="257"/>
      <c r="AA2" s="323" t="s">
        <v>735</v>
      </c>
      <c r="AB2" s="323" t="s">
        <v>737</v>
      </c>
      <c r="AC2" s="262" t="s">
        <v>3</v>
      </c>
      <c r="AD2" s="323" t="s">
        <v>691</v>
      </c>
      <c r="AE2" s="323" t="s">
        <v>737</v>
      </c>
      <c r="AF2" s="262" t="s">
        <v>3</v>
      </c>
      <c r="AG2" s="257"/>
      <c r="AH2" s="257"/>
      <c r="AI2" s="323" t="s">
        <v>687</v>
      </c>
      <c r="AJ2" s="323" t="s">
        <v>691</v>
      </c>
      <c r="AK2" s="262" t="s">
        <v>3</v>
      </c>
      <c r="AL2" s="323" t="s">
        <v>646</v>
      </c>
      <c r="AM2" s="323" t="s">
        <v>691</v>
      </c>
      <c r="AN2" s="262" t="s">
        <v>3</v>
      </c>
      <c r="AO2" s="257"/>
      <c r="AP2" s="257"/>
      <c r="AQ2" s="323" t="s">
        <v>639</v>
      </c>
      <c r="AR2" s="323" t="s">
        <v>646</v>
      </c>
      <c r="AS2" s="262" t="s">
        <v>3</v>
      </c>
      <c r="AT2" s="323" t="s">
        <v>596</v>
      </c>
      <c r="AU2" s="323" t="s">
        <v>646</v>
      </c>
      <c r="AV2" s="262" t="s">
        <v>3</v>
      </c>
      <c r="AW2" s="257"/>
      <c r="AX2" s="257"/>
      <c r="AY2" s="323" t="s">
        <v>593</v>
      </c>
      <c r="AZ2" s="323" t="s">
        <v>596</v>
      </c>
      <c r="BA2" s="262" t="s">
        <v>3</v>
      </c>
      <c r="BB2" s="323" t="s">
        <v>554</v>
      </c>
      <c r="BC2" s="323" t="s">
        <v>596</v>
      </c>
      <c r="BD2" s="262" t="s">
        <v>3</v>
      </c>
      <c r="BE2" s="257"/>
      <c r="BF2" s="257"/>
      <c r="BG2" s="323" t="s">
        <v>551</v>
      </c>
      <c r="BH2" s="323" t="s">
        <v>554</v>
      </c>
      <c r="BI2" s="262" t="s">
        <v>3</v>
      </c>
      <c r="BJ2" s="323" t="s">
        <v>504</v>
      </c>
      <c r="BK2" s="323" t="s">
        <v>554</v>
      </c>
      <c r="BL2" s="262" t="s">
        <v>3</v>
      </c>
      <c r="BM2" s="257"/>
      <c r="BN2" s="257"/>
      <c r="BO2" s="323" t="s">
        <v>551</v>
      </c>
      <c r="BP2" s="323" t="s">
        <v>554</v>
      </c>
      <c r="BQ2" s="262" t="s">
        <v>3</v>
      </c>
      <c r="BR2" s="323" t="s">
        <v>504</v>
      </c>
      <c r="BS2" s="323" t="s">
        <v>554</v>
      </c>
      <c r="BT2" s="262" t="s">
        <v>3</v>
      </c>
      <c r="BU2" s="257"/>
      <c r="BV2" s="257"/>
      <c r="BW2" s="322" t="s">
        <v>502</v>
      </c>
      <c r="BX2" s="322" t="s">
        <v>504</v>
      </c>
      <c r="BY2" s="262" t="s">
        <v>3</v>
      </c>
      <c r="BZ2" s="322" t="s">
        <v>447</v>
      </c>
      <c r="CA2" s="322" t="s">
        <v>504</v>
      </c>
      <c r="CB2" s="262" t="s">
        <v>3</v>
      </c>
      <c r="CC2" s="257"/>
      <c r="CD2" s="257"/>
      <c r="CE2" s="322" t="s">
        <v>442</v>
      </c>
      <c r="CF2" s="322" t="s">
        <v>447</v>
      </c>
      <c r="CG2" s="262" t="s">
        <v>3</v>
      </c>
      <c r="CH2" s="322" t="s">
        <v>448</v>
      </c>
      <c r="CI2" s="322" t="s">
        <v>447</v>
      </c>
      <c r="CJ2" s="262" t="s">
        <v>3</v>
      </c>
      <c r="CK2" s="262"/>
      <c r="CL2" s="257"/>
      <c r="CM2" s="257"/>
      <c r="CN2" s="259" t="s">
        <v>391</v>
      </c>
      <c r="CO2" s="259" t="s">
        <v>397</v>
      </c>
      <c r="CP2" s="257" t="s">
        <v>3</v>
      </c>
      <c r="CQ2" s="259" t="s">
        <v>355</v>
      </c>
      <c r="CR2" s="259" t="s">
        <v>397</v>
      </c>
      <c r="CS2" s="257" t="s">
        <v>3</v>
      </c>
      <c r="CU2" s="257"/>
      <c r="CV2" s="257"/>
      <c r="CW2" s="259" t="s">
        <v>352</v>
      </c>
      <c r="CX2" s="259" t="s">
        <v>355</v>
      </c>
      <c r="CY2" s="257" t="s">
        <v>3</v>
      </c>
      <c r="CZ2" s="259" t="s">
        <v>301</v>
      </c>
      <c r="DA2" s="259" t="s">
        <v>355</v>
      </c>
      <c r="DB2" s="257" t="s">
        <v>3</v>
      </c>
      <c r="DC2" s="62"/>
      <c r="DD2" s="236"/>
      <c r="DE2" s="236"/>
      <c r="DF2" s="237" t="s">
        <v>298</v>
      </c>
      <c r="DG2" s="237" t="s">
        <v>301</v>
      </c>
      <c r="DH2" s="236" t="s">
        <v>3</v>
      </c>
      <c r="DI2" s="237" t="s">
        <v>265</v>
      </c>
      <c r="DJ2" s="237" t="s">
        <v>302</v>
      </c>
      <c r="DK2" s="236" t="s">
        <v>3</v>
      </c>
      <c r="DL2" s="62"/>
      <c r="DM2" s="179"/>
      <c r="DN2" s="179"/>
      <c r="DO2" s="180" t="s">
        <v>261</v>
      </c>
      <c r="DP2" s="180" t="s">
        <v>265</v>
      </c>
      <c r="DQ2" s="179" t="s">
        <v>3</v>
      </c>
      <c r="DR2" s="180" t="s">
        <v>221</v>
      </c>
      <c r="DS2" s="180" t="s">
        <v>265</v>
      </c>
      <c r="DT2" s="179" t="s">
        <v>3</v>
      </c>
      <c r="DU2" s="62"/>
      <c r="DV2" s="98"/>
      <c r="DW2" s="98"/>
      <c r="DX2" s="143" t="s">
        <v>219</v>
      </c>
      <c r="DY2" s="143" t="s">
        <v>221</v>
      </c>
      <c r="DZ2" s="98" t="s">
        <v>3</v>
      </c>
      <c r="EA2" s="145" t="s">
        <v>186</v>
      </c>
      <c r="EB2" s="143" t="s">
        <v>221</v>
      </c>
      <c r="EC2" s="98" t="s">
        <v>3</v>
      </c>
      <c r="ED2" s="154"/>
      <c r="EE2" s="118"/>
      <c r="EF2" s="118"/>
      <c r="EG2" s="119" t="s">
        <v>183</v>
      </c>
      <c r="EH2" s="119" t="s">
        <v>186</v>
      </c>
      <c r="EI2" s="118" t="s">
        <v>3</v>
      </c>
      <c r="EJ2" s="119" t="s">
        <v>150</v>
      </c>
      <c r="EK2" s="119" t="s">
        <v>186</v>
      </c>
      <c r="EL2" s="118" t="s">
        <v>3</v>
      </c>
      <c r="EM2" s="62"/>
      <c r="EN2" s="98"/>
      <c r="EO2" s="98"/>
      <c r="EP2" s="99" t="s">
        <v>146</v>
      </c>
      <c r="EQ2" s="99" t="s">
        <v>150</v>
      </c>
      <c r="ER2" s="98" t="s">
        <v>3</v>
      </c>
      <c r="ES2" s="99" t="s">
        <v>106</v>
      </c>
      <c r="ET2" s="99" t="s">
        <v>150</v>
      </c>
      <c r="EU2" s="98" t="s">
        <v>3</v>
      </c>
      <c r="EV2" s="62"/>
      <c r="EW2" s="84"/>
      <c r="EX2" s="84"/>
      <c r="EY2" s="85" t="s">
        <v>100</v>
      </c>
      <c r="EZ2" s="85" t="s">
        <v>106</v>
      </c>
      <c r="FA2" s="84" t="s">
        <v>3</v>
      </c>
      <c r="FB2" s="85" t="s">
        <v>107</v>
      </c>
      <c r="FC2" s="85" t="s">
        <v>106</v>
      </c>
      <c r="FD2" s="84" t="s">
        <v>3</v>
      </c>
      <c r="FE2" s="62"/>
      <c r="FF2" s="54"/>
      <c r="FG2" s="54"/>
      <c r="FH2" s="55">
        <v>18384</v>
      </c>
      <c r="FI2" s="55">
        <v>18415</v>
      </c>
      <c r="FJ2" s="54" t="s">
        <v>3</v>
      </c>
      <c r="FK2" s="55">
        <v>18050</v>
      </c>
      <c r="FL2" s="55">
        <v>18415</v>
      </c>
      <c r="FM2" s="54" t="s">
        <v>3</v>
      </c>
      <c r="FN2" s="62"/>
      <c r="FO2" s="29"/>
      <c r="FP2" s="30">
        <v>18019</v>
      </c>
      <c r="FQ2" s="30">
        <v>18050</v>
      </c>
      <c r="FR2" s="29" t="s">
        <v>3</v>
      </c>
      <c r="FS2" s="30">
        <v>17685</v>
      </c>
      <c r="FT2" s="30">
        <v>18050</v>
      </c>
      <c r="FU2" s="29" t="s">
        <v>3</v>
      </c>
      <c r="FW2" s="38"/>
      <c r="FX2" s="39">
        <v>17654</v>
      </c>
      <c r="FY2" s="39">
        <v>17685</v>
      </c>
      <c r="FZ2" s="38" t="s">
        <v>3</v>
      </c>
      <c r="GA2" s="39">
        <v>17319</v>
      </c>
      <c r="GB2" s="39">
        <v>17685</v>
      </c>
      <c r="GC2" s="38" t="s">
        <v>3</v>
      </c>
    </row>
    <row r="3" spans="1:185" x14ac:dyDescent="0.5">
      <c r="A3" s="247" t="s">
        <v>0</v>
      </c>
      <c r="B3" s="247"/>
      <c r="C3" s="248">
        <v>177309</v>
      </c>
      <c r="D3" s="248">
        <v>176134</v>
      </c>
      <c r="E3" s="249">
        <f>((D3-C3)/C3)*100</f>
        <v>-0.66268491729128243</v>
      </c>
      <c r="F3" s="248">
        <v>156598</v>
      </c>
      <c r="G3" s="248">
        <v>176134</v>
      </c>
      <c r="H3" s="249">
        <f>((G3-F3)/F3)*100</f>
        <v>12.475255111814967</v>
      </c>
      <c r="I3" s="247" t="s">
        <v>0</v>
      </c>
      <c r="J3" s="247"/>
      <c r="K3" s="248">
        <v>168190</v>
      </c>
      <c r="L3" s="248">
        <v>156598</v>
      </c>
      <c r="M3" s="249">
        <f>((L3-K3)/K3)*100</f>
        <v>-6.8922052440692081</v>
      </c>
      <c r="N3" s="248">
        <v>207166</v>
      </c>
      <c r="O3" s="248">
        <v>156598</v>
      </c>
      <c r="P3" s="249">
        <f>((O3-N3)/N3)*100</f>
        <v>-24.409410810654258</v>
      </c>
      <c r="Q3" s="247" t="s">
        <v>0</v>
      </c>
      <c r="R3" s="247"/>
      <c r="S3" s="248">
        <v>199316</v>
      </c>
      <c r="T3" s="248">
        <v>207166</v>
      </c>
      <c r="U3" s="249">
        <f>((T3-S3)/S3)*100</f>
        <v>3.9384695659154305</v>
      </c>
      <c r="V3" s="248">
        <v>156540</v>
      </c>
      <c r="W3" s="248">
        <v>207166</v>
      </c>
      <c r="X3" s="249">
        <f>((W3-V3)/V3)*100</f>
        <v>32.340615817043563</v>
      </c>
      <c r="Y3" s="247" t="s">
        <v>0</v>
      </c>
      <c r="Z3" s="247"/>
      <c r="AA3" s="248">
        <v>157940</v>
      </c>
      <c r="AB3" s="248">
        <v>156540</v>
      </c>
      <c r="AC3" s="249">
        <f>((AB3-AA3)/AA3)*100</f>
        <v>-0.88641256173230332</v>
      </c>
      <c r="AD3" s="248">
        <v>173721</v>
      </c>
      <c r="AE3" s="248">
        <v>156540</v>
      </c>
      <c r="AF3" s="249">
        <f>((AE3-AD3)/AD3)*100</f>
        <v>-9.8899960281140444</v>
      </c>
      <c r="AG3" s="247" t="s">
        <v>0</v>
      </c>
      <c r="AH3" s="247"/>
      <c r="AI3" s="248">
        <v>183760</v>
      </c>
      <c r="AJ3" s="248">
        <v>173721</v>
      </c>
      <c r="AK3" s="249">
        <f>((AJ3-AI3)/AI3)*100</f>
        <v>-5.4631040487592513</v>
      </c>
      <c r="AL3" s="248">
        <v>75819</v>
      </c>
      <c r="AM3" s="248">
        <v>173721</v>
      </c>
      <c r="AN3" s="249">
        <f>((AM3-AL3)/AL3)*100</f>
        <v>129.12594468405015</v>
      </c>
      <c r="AO3" s="247" t="s">
        <v>0</v>
      </c>
      <c r="AP3" s="247"/>
      <c r="AQ3" s="248">
        <v>66669</v>
      </c>
      <c r="AR3" s="248">
        <v>75819</v>
      </c>
      <c r="AS3" s="249">
        <f>((AR3-AQ3)/AQ3)*100</f>
        <v>13.724519641812535</v>
      </c>
      <c r="AT3" s="248">
        <v>158382</v>
      </c>
      <c r="AU3" s="248">
        <v>75819</v>
      </c>
      <c r="AV3" s="249">
        <f>((AU3-AT3)/AT3)*100</f>
        <v>-52.129029813994009</v>
      </c>
      <c r="AW3" s="247" t="s">
        <v>0</v>
      </c>
      <c r="AX3" s="247"/>
      <c r="AY3" s="248">
        <v>169821</v>
      </c>
      <c r="AZ3" s="248">
        <v>158382</v>
      </c>
      <c r="BA3" s="249">
        <f>((AZ3-AY3)/AY3)*100</f>
        <v>-6.7359160527849919</v>
      </c>
      <c r="BB3" s="248">
        <v>189832</v>
      </c>
      <c r="BC3" s="248">
        <v>158382</v>
      </c>
      <c r="BD3" s="249">
        <f>((BC3-BB3)/BB3)*100</f>
        <v>-16.567280542795736</v>
      </c>
      <c r="BE3" s="247" t="s">
        <v>0</v>
      </c>
      <c r="BF3" s="247"/>
      <c r="BG3" s="248">
        <v>186157</v>
      </c>
      <c r="BH3" s="248">
        <v>189832</v>
      </c>
      <c r="BI3" s="249">
        <f>((BH3-BG3)/BG3)*100</f>
        <v>1.9741401075436327</v>
      </c>
      <c r="BJ3" s="248">
        <v>188389</v>
      </c>
      <c r="BK3" s="248">
        <v>189832</v>
      </c>
      <c r="BL3" s="249">
        <f>((BK3-BJ3)/BJ3)*100</f>
        <v>0.76596828901899794</v>
      </c>
      <c r="BM3" s="247" t="s">
        <v>0</v>
      </c>
      <c r="BN3" s="247"/>
      <c r="BO3" s="248">
        <v>186157</v>
      </c>
      <c r="BP3" s="248">
        <v>189832</v>
      </c>
      <c r="BQ3" s="249">
        <f>((BP3-BO3)/BO3)*100</f>
        <v>1.9741401075436327</v>
      </c>
      <c r="BR3" s="248">
        <v>188389</v>
      </c>
      <c r="BS3" s="248">
        <v>189832</v>
      </c>
      <c r="BT3" s="249">
        <f>((BS3-BR3)/BR3)*100</f>
        <v>0.76596828901899794</v>
      </c>
      <c r="BU3" s="247" t="s">
        <v>0</v>
      </c>
      <c r="BV3" s="247"/>
      <c r="BW3" s="248">
        <v>191176</v>
      </c>
      <c r="BX3" s="248">
        <v>188389</v>
      </c>
      <c r="BY3" s="249">
        <f>((BX3-BW3)/BW3)*100</f>
        <v>-1.4578189730928568</v>
      </c>
      <c r="BZ3" s="248">
        <v>168245</v>
      </c>
      <c r="CA3" s="248">
        <v>188389</v>
      </c>
      <c r="CB3" s="249">
        <f>((CA3-BZ3)/BZ3)*100</f>
        <v>11.973015542809593</v>
      </c>
      <c r="CC3" s="247" t="s">
        <v>0</v>
      </c>
      <c r="CD3" s="247"/>
      <c r="CE3" s="248">
        <v>146767</v>
      </c>
      <c r="CF3" s="248">
        <v>168245</v>
      </c>
      <c r="CG3" s="249">
        <f>((CF3-CE3)/CE3)*100</f>
        <v>14.634079868090238</v>
      </c>
      <c r="CH3" s="248">
        <v>150389</v>
      </c>
      <c r="CI3" s="248">
        <v>168245</v>
      </c>
      <c r="CJ3" s="249">
        <f>((CI3-CH3)/CH3)*100</f>
        <v>11.873208811814694</v>
      </c>
      <c r="CK3" s="249"/>
      <c r="CL3" s="247" t="s">
        <v>0</v>
      </c>
      <c r="CM3" s="247"/>
      <c r="CN3" s="248">
        <v>150041</v>
      </c>
      <c r="CO3" s="248">
        <v>149422</v>
      </c>
      <c r="CP3" s="249">
        <f>((CO3-CN3)/CN3)*100</f>
        <v>-0.41255390193347152</v>
      </c>
      <c r="CQ3" s="248">
        <v>159090</v>
      </c>
      <c r="CR3" s="248">
        <v>149422</v>
      </c>
      <c r="CS3" s="249">
        <f>((CR3-CQ3)/CQ3)*100</f>
        <v>-6.0770632975045569</v>
      </c>
      <c r="CU3" s="247" t="s">
        <v>0</v>
      </c>
      <c r="CV3" s="247"/>
      <c r="CW3" s="248">
        <f>SUM(CW4:CW5)</f>
        <v>160898</v>
      </c>
      <c r="CX3" s="248">
        <f>SUM(CX4:CX5)</f>
        <v>159090</v>
      </c>
      <c r="CY3" s="249">
        <f>((CX3-CW3)/CW3)*100</f>
        <v>-1.1236932715136296</v>
      </c>
      <c r="CZ3" s="248">
        <f>SUM(CZ4:CZ5)</f>
        <v>209345</v>
      </c>
      <c r="DA3" s="248">
        <f>SUM(DA4:DA5)</f>
        <v>159090</v>
      </c>
      <c r="DB3" s="249">
        <f>((DA3-CZ3)/CZ3)*100</f>
        <v>-24.005827700685472</v>
      </c>
      <c r="DC3" s="73"/>
      <c r="DD3" s="229" t="s">
        <v>0</v>
      </c>
      <c r="DE3" s="229"/>
      <c r="DF3" s="230">
        <f>SUM(DF4:DF5)</f>
        <v>217076</v>
      </c>
      <c r="DG3" s="230">
        <f>SUM(DG4:DG5)</f>
        <v>208074</v>
      </c>
      <c r="DH3" s="231">
        <f>((DG3-DF3)/DF3)*100</f>
        <v>-4.146934714109344</v>
      </c>
      <c r="DI3" s="230">
        <v>231728</v>
      </c>
      <c r="DJ3" s="230">
        <f>SUM(DJ4:DJ5)</f>
        <v>208074</v>
      </c>
      <c r="DK3" s="231">
        <f>((DJ3-DI3)/DI3)*100</f>
        <v>-10.207657253331492</v>
      </c>
      <c r="DL3" s="73"/>
      <c r="DM3" s="181" t="s">
        <v>0</v>
      </c>
      <c r="DN3" s="181"/>
      <c r="DO3" s="182">
        <f>SUM(DO4:DO5)</f>
        <v>238574</v>
      </c>
      <c r="DP3" s="182">
        <f>SUM(DP4:DP5)</f>
        <v>231728</v>
      </c>
      <c r="DQ3" s="183">
        <f>((DP3-DO3)/DO3)*100</f>
        <v>-2.8695499090428966</v>
      </c>
      <c r="DR3" s="182">
        <v>222149</v>
      </c>
      <c r="DS3" s="182">
        <f>SUM(DS4:DS5)</f>
        <v>231728</v>
      </c>
      <c r="DT3" s="183">
        <f>((DS3-DR3)/DR3)*100</f>
        <v>4.3119707943767471</v>
      </c>
      <c r="DU3" s="73"/>
      <c r="DV3" s="100" t="s">
        <v>0</v>
      </c>
      <c r="DW3" s="100"/>
      <c r="DX3" s="101">
        <f>SUM(DX4:DX5)</f>
        <v>207775</v>
      </c>
      <c r="DY3" s="101">
        <f>SUM(DY4:DY5)</f>
        <v>222149</v>
      </c>
      <c r="DZ3" s="102">
        <f>((DY3-DX3)/DX3)*100</f>
        <v>6.91806040187703</v>
      </c>
      <c r="EA3" s="101">
        <v>201117</v>
      </c>
      <c r="EB3" s="101">
        <v>222149</v>
      </c>
      <c r="EC3" s="102">
        <f>((EB3-EA3)/EA3)*100</f>
        <v>10.457594335635475</v>
      </c>
      <c r="ED3" s="155"/>
      <c r="EE3" s="120" t="s">
        <v>0</v>
      </c>
      <c r="EF3" s="120"/>
      <c r="EG3" s="121">
        <f>SUM(EG4:EG5)</f>
        <v>154290</v>
      </c>
      <c r="EH3" s="121">
        <f>SUM(EH4:EH5)</f>
        <v>201117</v>
      </c>
      <c r="EI3" s="125">
        <f>((EH3-EG3)/EG3)*100</f>
        <v>30.349990278047834</v>
      </c>
      <c r="EJ3" s="121">
        <f>SUM(EJ4:EJ5)</f>
        <v>126553</v>
      </c>
      <c r="EK3" s="121">
        <v>201117</v>
      </c>
      <c r="EL3" s="125">
        <f>((EK3-EJ3)/EJ3)*100</f>
        <v>58.919188008186296</v>
      </c>
      <c r="EM3" s="127"/>
      <c r="EN3" s="100" t="s">
        <v>0</v>
      </c>
      <c r="EO3" s="100"/>
      <c r="EP3" s="101">
        <f>SUM(EP4:EP5)</f>
        <v>121704</v>
      </c>
      <c r="EQ3" s="101">
        <f>SUM(EQ4:EQ5)</f>
        <v>126553</v>
      </c>
      <c r="ER3" s="102">
        <f>((EQ3-EP3)/EP3)*100</f>
        <v>3.9842568855584042</v>
      </c>
      <c r="ES3" s="101">
        <f>SUM(ES4:ES5)</f>
        <v>170696</v>
      </c>
      <c r="ET3" s="101">
        <f>SUM(ET4:ET5)</f>
        <v>126553</v>
      </c>
      <c r="EU3" s="102">
        <f>((ET3-ES3)/ES3)*100</f>
        <v>-25.860594272859348</v>
      </c>
      <c r="EV3" s="73"/>
      <c r="EW3" s="74" t="s">
        <v>0</v>
      </c>
      <c r="EX3" s="74"/>
      <c r="EY3" s="75">
        <f>SUM(EY4:EY5)</f>
        <v>182137</v>
      </c>
      <c r="EZ3" s="75">
        <f>SUM(EZ4:EZ5)</f>
        <v>169829</v>
      </c>
      <c r="FA3" s="76">
        <f t="shared" ref="FA3:FA17" si="0">(EZ3-EY3)/EY3*100</f>
        <v>-6.7575506349615955</v>
      </c>
      <c r="FB3" s="75">
        <v>148110</v>
      </c>
      <c r="FC3" s="75">
        <f>SUM(FC4:FC5)</f>
        <v>169829</v>
      </c>
      <c r="FD3" s="76">
        <f t="shared" ref="FD3:FD17" si="1">(FC3-FB3)/FB3*100</f>
        <v>14.664101006009048</v>
      </c>
      <c r="FE3" s="73"/>
      <c r="FF3" s="63" t="s">
        <v>0</v>
      </c>
      <c r="FG3" s="63"/>
      <c r="FH3" s="64">
        <v>158293</v>
      </c>
      <c r="FI3" s="64">
        <v>148110</v>
      </c>
      <c r="FJ3" s="65">
        <f t="shared" ref="FJ3:FJ17" si="2">(FI3-FH3)/FH3*100</f>
        <v>-6.4330071449779842</v>
      </c>
      <c r="FK3" s="64">
        <v>186868</v>
      </c>
      <c r="FL3" s="64">
        <v>148110</v>
      </c>
      <c r="FM3" s="65">
        <f t="shared" ref="FM3:FM17" si="3">(FL3-FK3)/FK3*100</f>
        <v>-20.740843804182632</v>
      </c>
      <c r="FN3" s="73"/>
      <c r="FO3" s="24" t="s">
        <v>0</v>
      </c>
      <c r="FP3" s="25">
        <v>190104</v>
      </c>
      <c r="FQ3" s="25">
        <v>186868</v>
      </c>
      <c r="FR3" s="32">
        <f>(FQ3-FP3)/FP3*100</f>
        <v>-1.7022261498968985</v>
      </c>
      <c r="FS3" s="27">
        <v>215542</v>
      </c>
      <c r="FT3" s="25">
        <v>186868</v>
      </c>
      <c r="FU3" s="32">
        <f>(FT3-FS3)/FS3*100</f>
        <v>-13.303207727496266</v>
      </c>
      <c r="FW3" s="4" t="s">
        <v>0</v>
      </c>
      <c r="FX3" s="5">
        <v>206374</v>
      </c>
      <c r="FY3" s="5">
        <v>215542</v>
      </c>
      <c r="FZ3" s="36">
        <f>(FY3-FX3)/FX3*100</f>
        <v>4.4424200722959286</v>
      </c>
      <c r="GA3" s="46">
        <v>251589</v>
      </c>
      <c r="GB3" s="5">
        <v>215542</v>
      </c>
      <c r="GC3" s="47" t="s">
        <v>17</v>
      </c>
    </row>
    <row r="4" spans="1:185" x14ac:dyDescent="0.5">
      <c r="A4" s="250"/>
      <c r="B4" s="250" t="s">
        <v>444</v>
      </c>
      <c r="C4" s="251">
        <v>149729</v>
      </c>
      <c r="D4" s="251">
        <v>150156</v>
      </c>
      <c r="E4" s="249">
        <f t="shared" ref="E4:E7" si="4">((D4-C4)/C4)*100</f>
        <v>0.28518189529082544</v>
      </c>
      <c r="F4" s="251">
        <v>132055</v>
      </c>
      <c r="G4" s="251">
        <v>150156</v>
      </c>
      <c r="H4" s="249">
        <f>((G4-F4)/F4)*100</f>
        <v>13.707167468100412</v>
      </c>
      <c r="I4" s="250"/>
      <c r="J4" s="250" t="s">
        <v>444</v>
      </c>
      <c r="K4" s="251">
        <v>140295</v>
      </c>
      <c r="L4" s="251">
        <v>132055</v>
      </c>
      <c r="M4" s="249">
        <f t="shared" ref="M4:M7" si="5">((L4-K4)/K4)*100</f>
        <v>-5.8733383228197722</v>
      </c>
      <c r="N4" s="251">
        <v>165532</v>
      </c>
      <c r="O4" s="251">
        <v>132055</v>
      </c>
      <c r="P4" s="249">
        <f>((O4-N4)/N4)*100</f>
        <v>-20.223884203658507</v>
      </c>
      <c r="Q4" s="250"/>
      <c r="R4" s="250" t="s">
        <v>444</v>
      </c>
      <c r="S4" s="251">
        <v>162529</v>
      </c>
      <c r="T4" s="251">
        <v>165532</v>
      </c>
      <c r="U4" s="249">
        <f t="shared" ref="U4:U5" si="6">((T4-S4)/S4)*100</f>
        <v>1.8476702619224876</v>
      </c>
      <c r="V4" s="251">
        <v>137756</v>
      </c>
      <c r="W4" s="251">
        <v>165532</v>
      </c>
      <c r="X4" s="249">
        <f>((W4-V4)/V4)*100</f>
        <v>20.163187084410119</v>
      </c>
      <c r="Y4" s="250"/>
      <c r="Z4" s="250" t="s">
        <v>444</v>
      </c>
      <c r="AA4" s="251">
        <v>140638</v>
      </c>
      <c r="AB4" s="251">
        <v>137756</v>
      </c>
      <c r="AC4" s="249">
        <f t="shared" ref="AC4:AC5" si="7">((AB4-AA4)/AA4)*100</f>
        <v>-2.0492327820361496</v>
      </c>
      <c r="AD4" s="251">
        <v>132573</v>
      </c>
      <c r="AE4" s="251">
        <v>137756</v>
      </c>
      <c r="AF4" s="249">
        <f>((AE4-AD4)/AD4)*100</f>
        <v>3.9095441756617113</v>
      </c>
      <c r="AG4" s="250"/>
      <c r="AH4" s="250" t="s">
        <v>444</v>
      </c>
      <c r="AI4" s="251">
        <v>142970</v>
      </c>
      <c r="AJ4" s="251">
        <v>132573</v>
      </c>
      <c r="AK4" s="249">
        <f t="shared" ref="AK4:AK5" si="8">((AJ4-AI4)/AI4)*100</f>
        <v>-7.272154997551934</v>
      </c>
      <c r="AL4" s="251">
        <v>56714</v>
      </c>
      <c r="AM4" s="251">
        <v>132573</v>
      </c>
      <c r="AN4" s="249">
        <f>((AM4-AL4)/AL4)*100</f>
        <v>133.75709701308318</v>
      </c>
      <c r="AO4" s="250"/>
      <c r="AP4" s="250" t="s">
        <v>444</v>
      </c>
      <c r="AQ4" s="251">
        <v>44941</v>
      </c>
      <c r="AR4" s="251">
        <v>56714</v>
      </c>
      <c r="AS4" s="249">
        <f t="shared" ref="AS4:AS18" si="9">((AR4-AQ4)/AQ4)*100</f>
        <v>26.196568834694379</v>
      </c>
      <c r="AT4" s="251">
        <v>86634</v>
      </c>
      <c r="AU4" s="251">
        <v>56714</v>
      </c>
      <c r="AV4" s="249">
        <f>((AU4-AT4)/AT4)*100</f>
        <v>-34.53609437403329</v>
      </c>
      <c r="AW4" s="250"/>
      <c r="AX4" s="250" t="s">
        <v>444</v>
      </c>
      <c r="AY4" s="251">
        <v>102289</v>
      </c>
      <c r="AZ4" s="251">
        <v>86634</v>
      </c>
      <c r="BA4" s="249">
        <f t="shared" ref="BA4:BA18" si="10">((AZ4-AY4)/AY4)*100</f>
        <v>-15.304675967112788</v>
      </c>
      <c r="BB4" s="251">
        <v>151346</v>
      </c>
      <c r="BC4" s="251">
        <v>86634</v>
      </c>
      <c r="BD4" s="249">
        <f>((BC4-BB4)/BB4)*100</f>
        <v>-42.757654645646397</v>
      </c>
      <c r="BE4" s="250"/>
      <c r="BF4" s="250" t="s">
        <v>444</v>
      </c>
      <c r="BG4" s="349">
        <v>151773</v>
      </c>
      <c r="BH4" s="349">
        <v>151346</v>
      </c>
      <c r="BI4" s="249">
        <f t="shared" ref="BI4:BI18" si="11">((BH4-BG4)/BG4)*100</f>
        <v>-0.28134121352282687</v>
      </c>
      <c r="BJ4" s="349">
        <v>149929</v>
      </c>
      <c r="BK4" s="349">
        <v>151346</v>
      </c>
      <c r="BL4" s="249">
        <f t="shared" ref="BL4:BL18" si="12">((BK4-BJ4)/BJ4)*100</f>
        <v>0.94511402063643457</v>
      </c>
      <c r="BM4" s="250"/>
      <c r="BN4" s="250" t="s">
        <v>444</v>
      </c>
      <c r="BO4" s="251">
        <v>151773</v>
      </c>
      <c r="BP4" s="251">
        <v>151346</v>
      </c>
      <c r="BQ4" s="249">
        <f t="shared" ref="BQ4:BQ18" si="13">((BP4-BO4)/BO4)*100</f>
        <v>-0.28134121352282687</v>
      </c>
      <c r="BR4" s="251">
        <v>149929</v>
      </c>
      <c r="BS4" s="251">
        <v>151346</v>
      </c>
      <c r="BT4" s="249">
        <f t="shared" ref="BT4:BT18" si="14">((BS4-BR4)/BR4)*100</f>
        <v>0.94511402063643457</v>
      </c>
      <c r="BU4" s="250"/>
      <c r="BV4" s="250" t="s">
        <v>444</v>
      </c>
      <c r="BW4" s="251">
        <v>161097</v>
      </c>
      <c r="BX4" s="251">
        <v>149929</v>
      </c>
      <c r="BY4" s="249">
        <f t="shared" ref="BY4:BY18" si="15">((BX4-BW4)/BW4)*100</f>
        <v>-6.9324692576522224</v>
      </c>
      <c r="BZ4" s="251">
        <v>135913</v>
      </c>
      <c r="CA4" s="251">
        <v>149929</v>
      </c>
      <c r="CB4" s="249">
        <f t="shared" ref="CB4:CB12" si="16">((CA4-BZ4)/BZ4)*100</f>
        <v>10.312479306615261</v>
      </c>
      <c r="CC4" s="250"/>
      <c r="CD4" s="250" t="s">
        <v>444</v>
      </c>
      <c r="CE4" s="251">
        <v>108920</v>
      </c>
      <c r="CF4" s="251">
        <v>135913</v>
      </c>
      <c r="CG4" s="249">
        <f t="shared" ref="CG4:CG18" si="17">((CF4-CE4)/CE4)*100</f>
        <v>24.782409107601911</v>
      </c>
      <c r="CH4" s="251">
        <v>123300</v>
      </c>
      <c r="CI4" s="251">
        <v>135913</v>
      </c>
      <c r="CJ4" s="249">
        <f t="shared" ref="CJ4:CJ18" si="18">((CI4-CH4)/CH4)*100</f>
        <v>10.229521492295216</v>
      </c>
      <c r="CK4" s="249"/>
      <c r="CL4" s="250"/>
      <c r="CM4" s="250" t="s">
        <v>57</v>
      </c>
      <c r="CN4" s="251">
        <v>118646</v>
      </c>
      <c r="CO4" s="251">
        <v>123300</v>
      </c>
      <c r="CP4" s="249">
        <f>((CO4-CN4)/CN4)*100</f>
        <v>3.922593260624041</v>
      </c>
      <c r="CQ4" s="251">
        <v>128148</v>
      </c>
      <c r="CR4" s="251">
        <v>123300</v>
      </c>
      <c r="CS4" s="249">
        <f>((CR4-CQ4)/CQ4)*100</f>
        <v>-3.7831257608390296</v>
      </c>
      <c r="CU4" s="250"/>
      <c r="CV4" s="250" t="s">
        <v>57</v>
      </c>
      <c r="CW4" s="251">
        <v>131623</v>
      </c>
      <c r="CX4" s="251">
        <v>128148</v>
      </c>
      <c r="CY4" s="249">
        <f>((CX4-CW4)/CW4)*100</f>
        <v>-2.6401160891333584</v>
      </c>
      <c r="CZ4" s="251">
        <v>178902</v>
      </c>
      <c r="DA4" s="251">
        <v>128148</v>
      </c>
      <c r="DB4" s="249">
        <f>((DA4-CZ4)/CZ4)*100</f>
        <v>-28.369721970687863</v>
      </c>
      <c r="DC4" s="73"/>
      <c r="DD4" s="232"/>
      <c r="DE4" s="232" t="s">
        <v>57</v>
      </c>
      <c r="DF4" s="233">
        <v>189706</v>
      </c>
      <c r="DG4" s="233">
        <v>177631</v>
      </c>
      <c r="DH4" s="231">
        <f t="shared" ref="DH4:DH17" si="19">((DG4-DF4)/DF4)*100</f>
        <v>-6.3651123317132825</v>
      </c>
      <c r="DI4" s="233">
        <v>210313</v>
      </c>
      <c r="DJ4" s="233">
        <v>177631</v>
      </c>
      <c r="DK4" s="231">
        <f t="shared" ref="DK4:DK17" si="20">((DJ4-DI4)/DI4)*100</f>
        <v>-15.539695596563218</v>
      </c>
      <c r="DL4" s="73"/>
      <c r="DM4" s="184"/>
      <c r="DN4" s="184" t="s">
        <v>57</v>
      </c>
      <c r="DO4" s="185">
        <v>214338</v>
      </c>
      <c r="DP4" s="185">
        <v>210313</v>
      </c>
      <c r="DQ4" s="183">
        <f t="shared" ref="DQ4:DQ17" si="21">((DP4-DO4)/DO4)*100</f>
        <v>-1.8778751318011739</v>
      </c>
      <c r="DR4" s="185">
        <v>207139</v>
      </c>
      <c r="DS4" s="185">
        <v>210313</v>
      </c>
      <c r="DT4" s="183">
        <f t="shared" ref="DT4:DT17" si="22">((DS4-DR4)/DR4)*100</f>
        <v>1.5323043946335553</v>
      </c>
      <c r="DU4" s="73"/>
      <c r="DV4" s="103"/>
      <c r="DW4" s="103" t="s">
        <v>57</v>
      </c>
      <c r="DX4" s="104">
        <v>192227</v>
      </c>
      <c r="DY4" s="104">
        <v>207139</v>
      </c>
      <c r="DZ4" s="102">
        <f t="shared" ref="DZ4:DZ17" si="23">((DY4-DX4)/DX4)*100</f>
        <v>7.7574950449208497</v>
      </c>
      <c r="EA4" s="104">
        <v>195829</v>
      </c>
      <c r="EB4" s="104">
        <v>207139</v>
      </c>
      <c r="EC4" s="102">
        <f t="shared" ref="EC4:EC17" si="24">((EB4-EA4)/EA4)*100</f>
        <v>5.7754469460600832</v>
      </c>
      <c r="ED4" s="155"/>
      <c r="EE4" s="24"/>
      <c r="EF4" s="24" t="s">
        <v>57</v>
      </c>
      <c r="EG4" s="123">
        <v>148774</v>
      </c>
      <c r="EH4" s="123">
        <v>195829</v>
      </c>
      <c r="EI4" s="128">
        <f t="shared" ref="EI4:EI17" si="25">((EH4-EG4)/EG4)*100</f>
        <v>31.628510357992663</v>
      </c>
      <c r="EJ4" s="123">
        <v>121936</v>
      </c>
      <c r="EK4" s="123">
        <v>195829</v>
      </c>
      <c r="EL4" s="128">
        <f t="shared" ref="EL4:EL17" si="26">((EK4-EJ4)/EJ4)*100</f>
        <v>60.599822857892661</v>
      </c>
      <c r="EM4" s="130"/>
      <c r="EN4" s="103"/>
      <c r="EO4" s="103" t="s">
        <v>57</v>
      </c>
      <c r="EP4" s="104">
        <v>112346</v>
      </c>
      <c r="EQ4" s="104">
        <v>121936</v>
      </c>
      <c r="ER4" s="102">
        <f t="shared" ref="ER4:ER17" si="27">((EQ4-EP4)/EP4)*100</f>
        <v>8.5361294572125388</v>
      </c>
      <c r="ES4" s="105">
        <v>160066</v>
      </c>
      <c r="ET4" s="104">
        <v>121936</v>
      </c>
      <c r="EU4" s="102">
        <f t="shared" ref="EU4:EU17" si="28">((ET4-ES4)/ES4)*100</f>
        <v>-23.821423662739118</v>
      </c>
      <c r="EV4" s="73"/>
      <c r="EW4" s="77"/>
      <c r="EX4" s="77" t="s">
        <v>57</v>
      </c>
      <c r="EY4" s="78">
        <f>169463+329</f>
        <v>169792</v>
      </c>
      <c r="EZ4" s="78">
        <v>160066</v>
      </c>
      <c r="FA4" s="79">
        <f t="shared" si="0"/>
        <v>-5.7281850735016961</v>
      </c>
      <c r="FB4" s="80">
        <v>141667</v>
      </c>
      <c r="FC4" s="78">
        <v>160066</v>
      </c>
      <c r="FD4" s="79">
        <f t="shared" si="1"/>
        <v>12.987498852943876</v>
      </c>
      <c r="FE4" s="61"/>
      <c r="FF4" s="42"/>
      <c r="FG4" s="42" t="s">
        <v>57</v>
      </c>
      <c r="FH4" s="43">
        <v>150437</v>
      </c>
      <c r="FI4" s="43">
        <v>141667</v>
      </c>
      <c r="FJ4" s="44">
        <f t="shared" si="2"/>
        <v>-5.8296828572758033</v>
      </c>
      <c r="FK4" s="45">
        <v>181913</v>
      </c>
      <c r="FL4" s="43">
        <v>141667</v>
      </c>
      <c r="FM4" s="44">
        <f t="shared" si="3"/>
        <v>-22.123762457878215</v>
      </c>
      <c r="FN4" s="61"/>
      <c r="FO4" s="24" t="s">
        <v>1</v>
      </c>
      <c r="FP4" s="25">
        <v>209958</v>
      </c>
      <c r="FQ4" s="25">
        <v>187448</v>
      </c>
      <c r="FR4" s="32">
        <f>(FQ4-FP4)/FP4*100</f>
        <v>-10.721191857419104</v>
      </c>
      <c r="FS4" s="27">
        <v>183058</v>
      </c>
      <c r="FT4" s="25">
        <v>187448</v>
      </c>
      <c r="FU4" s="32">
        <f>(FT4-FS4)/FS4*100</f>
        <v>2.3981470353658403</v>
      </c>
      <c r="FW4" s="4" t="s">
        <v>1</v>
      </c>
      <c r="FX4" s="5">
        <v>196559</v>
      </c>
      <c r="FY4" s="5">
        <v>183058</v>
      </c>
      <c r="FZ4" s="36">
        <f>(FY4-FX4)/FX4*100</f>
        <v>-6.8686755630624905</v>
      </c>
      <c r="GA4" s="37">
        <v>177209</v>
      </c>
      <c r="GB4" s="5">
        <v>183058</v>
      </c>
      <c r="GC4" s="36">
        <f>(GB4-GA4)/GA4*100</f>
        <v>3.300622428883409</v>
      </c>
    </row>
    <row r="5" spans="1:185" x14ac:dyDescent="0.5">
      <c r="A5" s="250"/>
      <c r="B5" s="250" t="s">
        <v>58</v>
      </c>
      <c r="C5" s="251">
        <v>22979</v>
      </c>
      <c r="D5" s="251">
        <v>23358</v>
      </c>
      <c r="E5" s="249">
        <f t="shared" si="4"/>
        <v>1.6493319987814961</v>
      </c>
      <c r="F5" s="251">
        <v>20801</v>
      </c>
      <c r="G5" s="251">
        <v>23358</v>
      </c>
      <c r="H5" s="249">
        <f t="shared" ref="H5:H8" si="29">((G5-F5)/F5)*100</f>
        <v>12.292678236623239</v>
      </c>
      <c r="I5" s="250"/>
      <c r="J5" s="250" t="s">
        <v>58</v>
      </c>
      <c r="K5" s="251">
        <v>22527</v>
      </c>
      <c r="L5" s="251">
        <v>20801</v>
      </c>
      <c r="M5" s="249">
        <f t="shared" si="5"/>
        <v>-7.6619168109379849</v>
      </c>
      <c r="N5" s="251">
        <v>41634</v>
      </c>
      <c r="O5" s="251">
        <v>20801</v>
      </c>
      <c r="P5" s="249">
        <f t="shared" ref="P5:P8" si="30">((O5-N5)/N5)*100</f>
        <v>-50.038430129221311</v>
      </c>
      <c r="Q5" s="250"/>
      <c r="R5" s="250" t="s">
        <v>58</v>
      </c>
      <c r="S5" s="251">
        <v>36787</v>
      </c>
      <c r="T5" s="251">
        <v>41634</v>
      </c>
      <c r="U5" s="249">
        <f t="shared" si="6"/>
        <v>13.17585016446027</v>
      </c>
      <c r="V5" s="251">
        <v>18784</v>
      </c>
      <c r="W5" s="251">
        <v>41634</v>
      </c>
      <c r="X5" s="249">
        <f t="shared" ref="X5:X8" si="31">((W5-V5)/V5)*100</f>
        <v>121.6460817717206</v>
      </c>
      <c r="Y5" s="250"/>
      <c r="Z5" s="250" t="s">
        <v>58</v>
      </c>
      <c r="AA5" s="251">
        <v>17302</v>
      </c>
      <c r="AB5" s="251">
        <v>18784</v>
      </c>
      <c r="AC5" s="249">
        <f t="shared" si="7"/>
        <v>8.5654837591029942</v>
      </c>
      <c r="AD5" s="251">
        <v>41148</v>
      </c>
      <c r="AE5" s="251">
        <v>18784</v>
      </c>
      <c r="AF5" s="249">
        <f t="shared" ref="AF5:AF8" si="32">((AE5-AD5)/AD5)*100</f>
        <v>-54.350150675609996</v>
      </c>
      <c r="AG5" s="250"/>
      <c r="AH5" s="250" t="s">
        <v>58</v>
      </c>
      <c r="AI5" s="251">
        <v>40790</v>
      </c>
      <c r="AJ5" s="251">
        <v>41148</v>
      </c>
      <c r="AK5" s="249">
        <f t="shared" si="8"/>
        <v>0.87766609463103706</v>
      </c>
      <c r="AL5" s="251">
        <v>19105</v>
      </c>
      <c r="AM5" s="251">
        <v>41148</v>
      </c>
      <c r="AN5" s="249">
        <f t="shared" ref="AN5:AN8" si="33">((AM5-AL5)/AL5)*100</f>
        <v>115.37817325307512</v>
      </c>
      <c r="AO5" s="250"/>
      <c r="AP5" s="250" t="s">
        <v>58</v>
      </c>
      <c r="AQ5" s="251">
        <v>21728</v>
      </c>
      <c r="AR5" s="251">
        <v>19105</v>
      </c>
      <c r="AS5" s="249">
        <f t="shared" si="9"/>
        <v>-12.071980854197349</v>
      </c>
      <c r="AT5" s="251">
        <v>44786</v>
      </c>
      <c r="AU5" s="251">
        <v>19105</v>
      </c>
      <c r="AV5" s="249">
        <f t="shared" ref="AV5:AV14" si="34">((AU5-AT5)/AT5)*100</f>
        <v>-57.341579958022592</v>
      </c>
      <c r="AW5" s="250"/>
      <c r="AX5" s="250" t="s">
        <v>58</v>
      </c>
      <c r="AY5" s="251">
        <v>40711</v>
      </c>
      <c r="AZ5" s="251">
        <v>44786</v>
      </c>
      <c r="BA5" s="249">
        <f t="shared" si="10"/>
        <v>10.00957972046867</v>
      </c>
      <c r="BB5" s="251">
        <v>38486</v>
      </c>
      <c r="BC5" s="251">
        <v>44786</v>
      </c>
      <c r="BD5" s="249">
        <f t="shared" ref="BD5:BD14" si="35">((BC5-BB5)/BB5)*100</f>
        <v>16.36958894143325</v>
      </c>
      <c r="BE5" s="250"/>
      <c r="BF5" s="250" t="s">
        <v>58</v>
      </c>
      <c r="BG5" s="349">
        <v>34384</v>
      </c>
      <c r="BH5" s="349">
        <v>38486</v>
      </c>
      <c r="BI5" s="249">
        <f t="shared" si="11"/>
        <v>11.929967426710098</v>
      </c>
      <c r="BJ5" s="349">
        <v>38460</v>
      </c>
      <c r="BK5" s="349">
        <v>38486</v>
      </c>
      <c r="BL5" s="249">
        <f t="shared" si="12"/>
        <v>6.7602704108164324E-2</v>
      </c>
      <c r="BM5" s="250"/>
      <c r="BN5" s="250" t="s">
        <v>58</v>
      </c>
      <c r="BO5" s="251">
        <v>34384</v>
      </c>
      <c r="BP5" s="251">
        <v>38486</v>
      </c>
      <c r="BQ5" s="249">
        <f t="shared" si="13"/>
        <v>11.929967426710098</v>
      </c>
      <c r="BR5" s="251">
        <v>38460</v>
      </c>
      <c r="BS5" s="251">
        <v>38486</v>
      </c>
      <c r="BT5" s="249">
        <f t="shared" si="14"/>
        <v>6.7602704108164324E-2</v>
      </c>
      <c r="BU5" s="250"/>
      <c r="BV5" s="250" t="s">
        <v>58</v>
      </c>
      <c r="BW5" s="251">
        <v>30079</v>
      </c>
      <c r="BX5" s="251">
        <v>38460</v>
      </c>
      <c r="BY5" s="249">
        <f t="shared" si="15"/>
        <v>27.86329332757073</v>
      </c>
      <c r="BZ5" s="251">
        <v>32332</v>
      </c>
      <c r="CA5" s="251">
        <v>38460</v>
      </c>
      <c r="CB5" s="249">
        <f t="shared" si="16"/>
        <v>18.953358901397994</v>
      </c>
      <c r="CC5" s="250"/>
      <c r="CD5" s="250" t="s">
        <v>58</v>
      </c>
      <c r="CE5" s="251">
        <v>37847</v>
      </c>
      <c r="CF5" s="251">
        <v>32332</v>
      </c>
      <c r="CG5" s="249">
        <f t="shared" si="17"/>
        <v>-14.571828678627105</v>
      </c>
      <c r="CH5" s="251">
        <v>27089</v>
      </c>
      <c r="CI5" s="251">
        <v>32332</v>
      </c>
      <c r="CJ5" s="249">
        <f t="shared" si="18"/>
        <v>19.354719627893243</v>
      </c>
      <c r="CK5" s="249"/>
      <c r="CL5" s="250"/>
      <c r="CM5" s="250" t="s">
        <v>58</v>
      </c>
      <c r="CN5" s="251">
        <v>31395</v>
      </c>
      <c r="CO5" s="251">
        <v>26122</v>
      </c>
      <c r="CP5" s="249">
        <f>((CO5-CN5)/CN5)*100</f>
        <v>-16.795668100015927</v>
      </c>
      <c r="CQ5" s="251">
        <v>30942</v>
      </c>
      <c r="CR5" s="251">
        <v>26122</v>
      </c>
      <c r="CS5" s="249">
        <f>((CR5-CQ5)/CQ5)*100</f>
        <v>-15.577532156938789</v>
      </c>
      <c r="CU5" s="250"/>
      <c r="CV5" s="250" t="s">
        <v>58</v>
      </c>
      <c r="CW5" s="251">
        <v>29275</v>
      </c>
      <c r="CX5" s="251">
        <v>30942</v>
      </c>
      <c r="CY5" s="249">
        <f>((CX5-CW5)/CW5)*100</f>
        <v>5.6942783945345861</v>
      </c>
      <c r="CZ5" s="251">
        <v>30443</v>
      </c>
      <c r="DA5" s="251">
        <v>30942</v>
      </c>
      <c r="DB5" s="249">
        <f>((DA5-CZ5)/CZ5)*100</f>
        <v>1.6391288637782084</v>
      </c>
      <c r="DC5" s="73"/>
      <c r="DD5" s="232"/>
      <c r="DE5" s="232" t="s">
        <v>58</v>
      </c>
      <c r="DF5" s="233">
        <v>27370</v>
      </c>
      <c r="DG5" s="233">
        <v>30443</v>
      </c>
      <c r="DH5" s="231">
        <f t="shared" si="19"/>
        <v>11.227621483375959</v>
      </c>
      <c r="DI5" s="233">
        <v>21415</v>
      </c>
      <c r="DJ5" s="233">
        <v>30443</v>
      </c>
      <c r="DK5" s="231">
        <f t="shared" si="20"/>
        <v>42.15736633201027</v>
      </c>
      <c r="DL5" s="73"/>
      <c r="DM5" s="184"/>
      <c r="DN5" s="184" t="s">
        <v>58</v>
      </c>
      <c r="DO5" s="185">
        <v>24236</v>
      </c>
      <c r="DP5" s="185">
        <v>21415</v>
      </c>
      <c r="DQ5" s="183">
        <f t="shared" si="21"/>
        <v>-11.639709523023601</v>
      </c>
      <c r="DR5" s="185">
        <v>15010</v>
      </c>
      <c r="DS5" s="185">
        <v>21415</v>
      </c>
      <c r="DT5" s="183">
        <f t="shared" si="22"/>
        <v>42.671552298467688</v>
      </c>
      <c r="DU5" s="73"/>
      <c r="DV5" s="103"/>
      <c r="DW5" s="103" t="s">
        <v>58</v>
      </c>
      <c r="DX5" s="104">
        <v>15548</v>
      </c>
      <c r="DY5" s="104">
        <v>15010</v>
      </c>
      <c r="DZ5" s="102">
        <f t="shared" si="23"/>
        <v>-3.4602521224594804</v>
      </c>
      <c r="EA5" s="104">
        <v>5288</v>
      </c>
      <c r="EB5" s="104">
        <v>15010</v>
      </c>
      <c r="EC5" s="102">
        <f t="shared" si="24"/>
        <v>183.85022692889561</v>
      </c>
      <c r="ED5" s="155"/>
      <c r="EE5" s="24"/>
      <c r="EF5" s="24" t="s">
        <v>58</v>
      </c>
      <c r="EG5" s="123">
        <v>5516</v>
      </c>
      <c r="EH5" s="123">
        <v>5288</v>
      </c>
      <c r="EI5" s="128">
        <f t="shared" si="25"/>
        <v>-4.1334300217548945</v>
      </c>
      <c r="EJ5" s="123">
        <v>4617</v>
      </c>
      <c r="EK5" s="123">
        <v>5288</v>
      </c>
      <c r="EL5" s="128">
        <f t="shared" si="26"/>
        <v>14.533246696989387</v>
      </c>
      <c r="EM5" s="130"/>
      <c r="EN5" s="103"/>
      <c r="EO5" s="103" t="s">
        <v>58</v>
      </c>
      <c r="EP5" s="104">
        <v>9358</v>
      </c>
      <c r="EQ5" s="104">
        <v>4617</v>
      </c>
      <c r="ER5" s="102">
        <f t="shared" si="27"/>
        <v>-50.662534729643085</v>
      </c>
      <c r="ES5" s="109">
        <v>10630</v>
      </c>
      <c r="ET5" s="104">
        <v>4617</v>
      </c>
      <c r="EU5" s="102">
        <f t="shared" si="28"/>
        <v>-56.566321730950143</v>
      </c>
      <c r="EV5" s="73"/>
      <c r="EW5" s="77"/>
      <c r="EX5" s="77" t="s">
        <v>58</v>
      </c>
      <c r="EY5" s="78">
        <f>11245+1100</f>
        <v>12345</v>
      </c>
      <c r="EZ5" s="78">
        <v>9763</v>
      </c>
      <c r="FA5" s="79">
        <f t="shared" si="0"/>
        <v>-20.915350344268933</v>
      </c>
      <c r="FB5" s="80">
        <v>6443</v>
      </c>
      <c r="FC5" s="78">
        <v>9763</v>
      </c>
      <c r="FD5" s="79">
        <f t="shared" si="1"/>
        <v>51.52879093589943</v>
      </c>
      <c r="FE5" s="61"/>
      <c r="FF5" s="42"/>
      <c r="FG5" s="42" t="s">
        <v>58</v>
      </c>
      <c r="FH5" s="43">
        <v>7856</v>
      </c>
      <c r="FI5" s="43">
        <v>6443</v>
      </c>
      <c r="FJ5" s="44">
        <f t="shared" si="2"/>
        <v>-17.986252545824847</v>
      </c>
      <c r="FK5" s="45">
        <v>4955</v>
      </c>
      <c r="FL5" s="43">
        <v>6443</v>
      </c>
      <c r="FM5" s="44">
        <f t="shared" si="3"/>
        <v>30.030272452068619</v>
      </c>
      <c r="FN5" s="61"/>
      <c r="FO5" s="24" t="s">
        <v>2</v>
      </c>
      <c r="FP5" s="25">
        <v>11178</v>
      </c>
      <c r="FQ5" s="25">
        <v>8482</v>
      </c>
      <c r="FR5" s="32">
        <f>(FQ5-FP5)/FP5*100</f>
        <v>-24.118804795133297</v>
      </c>
      <c r="FS5" s="27">
        <v>12150</v>
      </c>
      <c r="FT5" s="25">
        <v>8482</v>
      </c>
      <c r="FU5" s="32">
        <f>(FT5-FS5)/FS5*100</f>
        <v>-30.189300411522634</v>
      </c>
      <c r="FW5" s="4" t="s">
        <v>2</v>
      </c>
      <c r="FX5" s="5">
        <v>14469</v>
      </c>
      <c r="FY5" s="5">
        <v>12150</v>
      </c>
      <c r="FZ5" s="36">
        <f>(FY5-FX5)/FX5*100</f>
        <v>-16.027368857557537</v>
      </c>
      <c r="GA5" s="46">
        <v>64199</v>
      </c>
      <c r="GB5" s="5">
        <v>12150</v>
      </c>
      <c r="GC5" s="47" t="s">
        <v>17</v>
      </c>
    </row>
    <row r="6" spans="1:185" x14ac:dyDescent="0.5">
      <c r="A6" s="250"/>
      <c r="B6" s="307" t="s">
        <v>763</v>
      </c>
      <c r="C6" s="251">
        <v>786</v>
      </c>
      <c r="D6" s="251">
        <v>402</v>
      </c>
      <c r="E6" s="249">
        <f t="shared" si="4"/>
        <v>-48.854961832061065</v>
      </c>
      <c r="F6" s="251">
        <v>0</v>
      </c>
      <c r="G6" s="251">
        <v>402</v>
      </c>
      <c r="H6" s="249" t="e">
        <f t="shared" si="29"/>
        <v>#DIV/0!</v>
      </c>
      <c r="I6" s="250"/>
      <c r="J6" s="307" t="s">
        <v>763</v>
      </c>
      <c r="K6" s="251">
        <v>0</v>
      </c>
      <c r="L6" s="251">
        <v>0</v>
      </c>
      <c r="M6" s="249" t="e">
        <f t="shared" si="5"/>
        <v>#DIV/0!</v>
      </c>
      <c r="N6" s="251"/>
      <c r="O6" s="251">
        <v>0</v>
      </c>
      <c r="P6" s="249" t="e">
        <f t="shared" si="30"/>
        <v>#DIV/0!</v>
      </c>
      <c r="Q6" s="250"/>
      <c r="R6" s="250"/>
      <c r="S6" s="251"/>
      <c r="T6" s="251"/>
      <c r="U6" s="249"/>
      <c r="V6" s="251"/>
      <c r="W6" s="251"/>
      <c r="X6" s="249"/>
      <c r="Y6" s="250"/>
      <c r="Z6" s="250"/>
      <c r="AA6" s="251"/>
      <c r="AB6" s="251"/>
      <c r="AC6" s="249"/>
      <c r="AD6" s="251"/>
      <c r="AE6" s="251"/>
      <c r="AF6" s="249"/>
      <c r="AG6" s="250"/>
      <c r="AH6" s="250"/>
      <c r="AI6" s="251"/>
      <c r="AJ6" s="251"/>
      <c r="AK6" s="249"/>
      <c r="AL6" s="251"/>
      <c r="AM6" s="251"/>
      <c r="AN6" s="249"/>
      <c r="AO6" s="250"/>
      <c r="AP6" s="250"/>
      <c r="AQ6" s="251"/>
      <c r="AR6" s="251"/>
      <c r="AS6" s="249"/>
      <c r="AT6" s="251"/>
      <c r="AU6" s="251"/>
      <c r="AV6" s="249"/>
      <c r="AW6" s="250"/>
      <c r="AX6" s="250"/>
      <c r="AY6" s="251"/>
      <c r="AZ6" s="251"/>
      <c r="BA6" s="249"/>
      <c r="BB6" s="251"/>
      <c r="BC6" s="251"/>
      <c r="BD6" s="249"/>
      <c r="BE6" s="250"/>
      <c r="BF6" s="250"/>
      <c r="BG6" s="349"/>
      <c r="BH6" s="349"/>
      <c r="BI6" s="249"/>
      <c r="BJ6" s="349"/>
      <c r="BK6" s="349"/>
      <c r="BL6" s="249"/>
      <c r="BM6" s="250"/>
      <c r="BN6" s="250"/>
      <c r="BO6" s="251"/>
      <c r="BP6" s="251"/>
      <c r="BQ6" s="249"/>
      <c r="BR6" s="251"/>
      <c r="BS6" s="251"/>
      <c r="BT6" s="249"/>
      <c r="BU6" s="250"/>
      <c r="BV6" s="250"/>
      <c r="BW6" s="251"/>
      <c r="BX6" s="251"/>
      <c r="BY6" s="249"/>
      <c r="BZ6" s="251"/>
      <c r="CA6" s="251"/>
      <c r="CB6" s="249"/>
      <c r="CC6" s="250"/>
      <c r="CD6" s="250"/>
      <c r="CE6" s="251"/>
      <c r="CF6" s="251"/>
      <c r="CG6" s="249"/>
      <c r="CH6" s="251"/>
      <c r="CI6" s="251"/>
      <c r="CJ6" s="249"/>
      <c r="CK6" s="249"/>
      <c r="CL6" s="250"/>
      <c r="CM6" s="250"/>
      <c r="CN6" s="251"/>
      <c r="CO6" s="251"/>
      <c r="CP6" s="249"/>
      <c r="CQ6" s="251"/>
      <c r="CR6" s="251"/>
      <c r="CS6" s="249"/>
      <c r="CU6" s="250"/>
      <c r="CV6" s="250"/>
      <c r="CW6" s="251"/>
      <c r="CX6" s="251"/>
      <c r="CY6" s="249"/>
      <c r="CZ6" s="251"/>
      <c r="DA6" s="251"/>
      <c r="DB6" s="249"/>
      <c r="DC6" s="73"/>
      <c r="DD6" s="232"/>
      <c r="DE6" s="232"/>
      <c r="DF6" s="233"/>
      <c r="DG6" s="233"/>
      <c r="DH6" s="231"/>
      <c r="DI6" s="233"/>
      <c r="DJ6" s="233"/>
      <c r="DK6" s="231"/>
      <c r="DL6" s="73"/>
      <c r="DM6" s="184"/>
      <c r="DN6" s="184"/>
      <c r="DO6" s="185"/>
      <c r="DP6" s="185"/>
      <c r="DQ6" s="183"/>
      <c r="DR6" s="185"/>
      <c r="DS6" s="185"/>
      <c r="DT6" s="183"/>
      <c r="DU6" s="73"/>
      <c r="DV6" s="103"/>
      <c r="DW6" s="103"/>
      <c r="DX6" s="104"/>
      <c r="DY6" s="104"/>
      <c r="DZ6" s="102"/>
      <c r="EA6" s="104"/>
      <c r="EB6" s="104"/>
      <c r="EC6" s="102"/>
      <c r="ED6" s="155"/>
      <c r="EE6" s="24"/>
      <c r="EF6" s="24"/>
      <c r="EG6" s="123"/>
      <c r="EH6" s="123"/>
      <c r="EI6" s="128"/>
      <c r="EJ6" s="123"/>
      <c r="EK6" s="123"/>
      <c r="EL6" s="128"/>
      <c r="EM6" s="130"/>
      <c r="EN6" s="103"/>
      <c r="EO6" s="103"/>
      <c r="EP6" s="104"/>
      <c r="EQ6" s="104"/>
      <c r="ER6" s="102"/>
      <c r="ES6" s="109"/>
      <c r="ET6" s="104"/>
      <c r="EU6" s="102"/>
      <c r="EV6" s="73"/>
      <c r="EW6" s="77"/>
      <c r="EX6" s="77"/>
      <c r="EY6" s="78"/>
      <c r="EZ6" s="78"/>
      <c r="FA6" s="79"/>
      <c r="FB6" s="80"/>
      <c r="FC6" s="78"/>
      <c r="FD6" s="79"/>
      <c r="FE6" s="61"/>
      <c r="FF6" s="42"/>
      <c r="FG6" s="42"/>
      <c r="FH6" s="43"/>
      <c r="FI6" s="43"/>
      <c r="FJ6" s="44"/>
      <c r="FK6" s="45"/>
      <c r="FL6" s="43"/>
      <c r="FM6" s="44"/>
      <c r="FN6" s="61"/>
      <c r="FO6" s="24"/>
      <c r="FP6" s="25"/>
      <c r="FQ6" s="25"/>
      <c r="FR6" s="32"/>
      <c r="FS6" s="27"/>
      <c r="FT6" s="25"/>
      <c r="FU6" s="32"/>
      <c r="FW6" s="4"/>
      <c r="FX6" s="5"/>
      <c r="FY6" s="5"/>
      <c r="FZ6" s="36"/>
      <c r="GA6" s="46"/>
      <c r="GB6" s="5"/>
      <c r="GC6" s="47"/>
    </row>
    <row r="7" spans="1:185" x14ac:dyDescent="0.5">
      <c r="A7" s="250"/>
      <c r="B7" s="307" t="s">
        <v>808</v>
      </c>
      <c r="C7" s="251">
        <v>3815</v>
      </c>
      <c r="D7" s="251">
        <v>2218</v>
      </c>
      <c r="E7" s="249">
        <f t="shared" si="4"/>
        <v>-41.861074705111399</v>
      </c>
      <c r="F7" s="251">
        <v>3742</v>
      </c>
      <c r="G7" s="251">
        <v>2218</v>
      </c>
      <c r="H7" s="249">
        <f t="shared" si="29"/>
        <v>-40.726884019241048</v>
      </c>
      <c r="I7" s="250"/>
      <c r="J7" s="307" t="s">
        <v>808</v>
      </c>
      <c r="K7" s="251">
        <v>5368</v>
      </c>
      <c r="L7" s="251">
        <v>3742</v>
      </c>
      <c r="M7" s="249">
        <f t="shared" si="5"/>
        <v>-30.290611028315944</v>
      </c>
      <c r="N7" s="251"/>
      <c r="O7" s="251">
        <v>3742</v>
      </c>
      <c r="P7" s="249" t="e">
        <f t="shared" si="30"/>
        <v>#DIV/0!</v>
      </c>
      <c r="Q7" s="250"/>
      <c r="R7" s="250"/>
      <c r="S7" s="251"/>
      <c r="T7" s="251"/>
      <c r="U7" s="249"/>
      <c r="V7" s="251"/>
      <c r="W7" s="251"/>
      <c r="X7" s="249"/>
      <c r="Y7" s="250"/>
      <c r="Z7" s="250"/>
      <c r="AA7" s="251"/>
      <c r="AB7" s="251"/>
      <c r="AC7" s="249"/>
      <c r="AD7" s="251"/>
      <c r="AE7" s="251"/>
      <c r="AF7" s="249"/>
      <c r="AG7" s="250"/>
      <c r="AH7" s="250"/>
      <c r="AI7" s="251"/>
      <c r="AJ7" s="251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50"/>
      <c r="BF7" s="250"/>
      <c r="BG7" s="349"/>
      <c r="BH7" s="349"/>
      <c r="BI7" s="249"/>
      <c r="BJ7" s="349"/>
      <c r="BK7" s="349"/>
      <c r="BL7" s="249"/>
      <c r="BM7" s="250"/>
      <c r="BN7" s="250"/>
      <c r="BO7" s="251"/>
      <c r="BP7" s="251"/>
      <c r="BQ7" s="249"/>
      <c r="BR7" s="251"/>
      <c r="BS7" s="251"/>
      <c r="BT7" s="249"/>
      <c r="BU7" s="250"/>
      <c r="BV7" s="250"/>
      <c r="BW7" s="251"/>
      <c r="BX7" s="251"/>
      <c r="BY7" s="249"/>
      <c r="BZ7" s="251"/>
      <c r="CA7" s="251"/>
      <c r="CB7" s="249"/>
      <c r="CC7" s="250"/>
      <c r="CD7" s="250"/>
      <c r="CE7" s="251"/>
      <c r="CF7" s="251"/>
      <c r="CG7" s="249"/>
      <c r="CH7" s="251"/>
      <c r="CI7" s="251"/>
      <c r="CJ7" s="249"/>
      <c r="CK7" s="249"/>
      <c r="CL7" s="250"/>
      <c r="CM7" s="250"/>
      <c r="CN7" s="251"/>
      <c r="CO7" s="251"/>
      <c r="CP7" s="249"/>
      <c r="CQ7" s="251"/>
      <c r="CR7" s="251"/>
      <c r="CS7" s="249"/>
      <c r="CU7" s="250"/>
      <c r="CV7" s="250"/>
      <c r="CW7" s="251"/>
      <c r="CX7" s="251"/>
      <c r="CY7" s="249"/>
      <c r="CZ7" s="251"/>
      <c r="DA7" s="251"/>
      <c r="DB7" s="249"/>
      <c r="DC7" s="73"/>
      <c r="DD7" s="232"/>
      <c r="DE7" s="232"/>
      <c r="DF7" s="233"/>
      <c r="DG7" s="233"/>
      <c r="DH7" s="231"/>
      <c r="DI7" s="233"/>
      <c r="DJ7" s="233"/>
      <c r="DK7" s="231"/>
      <c r="DL7" s="73"/>
      <c r="DM7" s="184"/>
      <c r="DN7" s="184"/>
      <c r="DO7" s="185"/>
      <c r="DP7" s="185"/>
      <c r="DQ7" s="183"/>
      <c r="DR7" s="185"/>
      <c r="DS7" s="185"/>
      <c r="DT7" s="183"/>
      <c r="DU7" s="73"/>
      <c r="DV7" s="103"/>
      <c r="DW7" s="103"/>
      <c r="DX7" s="104"/>
      <c r="DY7" s="104"/>
      <c r="DZ7" s="102"/>
      <c r="EA7" s="104"/>
      <c r="EB7" s="104"/>
      <c r="EC7" s="102"/>
      <c r="ED7" s="155"/>
      <c r="EE7" s="24"/>
      <c r="EF7" s="24"/>
      <c r="EG7" s="123"/>
      <c r="EH7" s="123"/>
      <c r="EI7" s="128"/>
      <c r="EJ7" s="123"/>
      <c r="EK7" s="123"/>
      <c r="EL7" s="128"/>
      <c r="EM7" s="130"/>
      <c r="EN7" s="103"/>
      <c r="EO7" s="103"/>
      <c r="EP7" s="104"/>
      <c r="EQ7" s="104"/>
      <c r="ER7" s="102"/>
      <c r="ES7" s="109"/>
      <c r="ET7" s="104"/>
      <c r="EU7" s="102"/>
      <c r="EV7" s="73"/>
      <c r="EW7" s="77"/>
      <c r="EX7" s="77"/>
      <c r="EY7" s="78"/>
      <c r="EZ7" s="78"/>
      <c r="FA7" s="79"/>
      <c r="FB7" s="80"/>
      <c r="FC7" s="78"/>
      <c r="FD7" s="79"/>
      <c r="FE7" s="61"/>
      <c r="FF7" s="42"/>
      <c r="FG7" s="42"/>
      <c r="FH7" s="43"/>
      <c r="FI7" s="43"/>
      <c r="FJ7" s="44"/>
      <c r="FK7" s="45"/>
      <c r="FL7" s="43"/>
      <c r="FM7" s="44"/>
      <c r="FN7" s="61"/>
      <c r="FO7" s="24"/>
      <c r="FP7" s="25"/>
      <c r="FQ7" s="25"/>
      <c r="FR7" s="32"/>
      <c r="FS7" s="27"/>
      <c r="FT7" s="25"/>
      <c r="FU7" s="32"/>
      <c r="FW7" s="4"/>
      <c r="FX7" s="5"/>
      <c r="FY7" s="5"/>
      <c r="FZ7" s="36"/>
      <c r="GA7" s="46"/>
      <c r="GB7" s="5"/>
      <c r="GC7" s="47"/>
    </row>
    <row r="8" spans="1:185" x14ac:dyDescent="0.5">
      <c r="A8" s="247" t="s">
        <v>1</v>
      </c>
      <c r="B8" s="247"/>
      <c r="C8" s="248">
        <v>164654</v>
      </c>
      <c r="D8" s="248">
        <f>D10+D11+D12+D13+D14</f>
        <v>154317</v>
      </c>
      <c r="E8" s="249">
        <f>((D8-C8)/C8)*100</f>
        <v>-6.2780132884715831</v>
      </c>
      <c r="F8" s="248">
        <v>150546</v>
      </c>
      <c r="G8" s="248">
        <v>154317</v>
      </c>
      <c r="H8" s="249">
        <f t="shared" si="29"/>
        <v>2.5048822286875772</v>
      </c>
      <c r="I8" s="247" t="s">
        <v>1</v>
      </c>
      <c r="J8" s="247"/>
      <c r="K8" s="248">
        <v>165339</v>
      </c>
      <c r="L8" s="248">
        <v>150546</v>
      </c>
      <c r="M8" s="249">
        <f>((L8-K8)/K8)*100</f>
        <v>-8.94707237856767</v>
      </c>
      <c r="N8" s="248">
        <v>179365</v>
      </c>
      <c r="O8" s="248">
        <v>150546</v>
      </c>
      <c r="P8" s="249">
        <f t="shared" si="30"/>
        <v>-16.067237197892563</v>
      </c>
      <c r="Q8" s="247" t="s">
        <v>1</v>
      </c>
      <c r="R8" s="247"/>
      <c r="S8" s="248">
        <v>184091</v>
      </c>
      <c r="T8" s="248">
        <v>179365</v>
      </c>
      <c r="U8" s="249">
        <f>((T8-S8)/S8)*100</f>
        <v>-2.5672086087858719</v>
      </c>
      <c r="V8" s="248">
        <v>174281</v>
      </c>
      <c r="W8" s="248">
        <v>179365</v>
      </c>
      <c r="X8" s="249">
        <f t="shared" si="31"/>
        <v>2.9171280862515134</v>
      </c>
      <c r="Y8" s="247" t="s">
        <v>1</v>
      </c>
      <c r="Z8" s="247"/>
      <c r="AA8" s="248">
        <v>162352</v>
      </c>
      <c r="AB8" s="248">
        <v>174281</v>
      </c>
      <c r="AC8" s="249">
        <f>((AB8-AA8)/AA8)*100</f>
        <v>7.3476150586380209</v>
      </c>
      <c r="AD8" s="248">
        <v>161105</v>
      </c>
      <c r="AE8" s="248">
        <v>174281</v>
      </c>
      <c r="AF8" s="249">
        <f t="shared" si="32"/>
        <v>8.1785171161664749</v>
      </c>
      <c r="AG8" s="247" t="s">
        <v>1</v>
      </c>
      <c r="AH8" s="247"/>
      <c r="AI8" s="248">
        <v>141881</v>
      </c>
      <c r="AJ8" s="248">
        <v>161105</v>
      </c>
      <c r="AK8" s="249">
        <f>((AJ8-AI8)/AI8)*100</f>
        <v>13.549382933585189</v>
      </c>
      <c r="AL8" s="248">
        <v>125028</v>
      </c>
      <c r="AM8" s="248">
        <v>161105</v>
      </c>
      <c r="AN8" s="249">
        <f t="shared" si="33"/>
        <v>28.855136449435324</v>
      </c>
      <c r="AO8" s="247" t="s">
        <v>1</v>
      </c>
      <c r="AP8" s="247"/>
      <c r="AQ8" s="248">
        <v>97348</v>
      </c>
      <c r="AR8" s="248">
        <v>125028</v>
      </c>
      <c r="AS8" s="249">
        <f t="shared" si="9"/>
        <v>28.434071578255331</v>
      </c>
      <c r="AT8" s="248">
        <v>150401</v>
      </c>
      <c r="AU8" s="248">
        <v>125028</v>
      </c>
      <c r="AV8" s="249">
        <f t="shared" si="34"/>
        <v>-16.87023357557463</v>
      </c>
      <c r="AW8" s="247" t="s">
        <v>1</v>
      </c>
      <c r="AX8" s="247"/>
      <c r="AY8" s="248">
        <v>160991</v>
      </c>
      <c r="AZ8" s="248">
        <v>150401</v>
      </c>
      <c r="BA8" s="249">
        <f t="shared" si="10"/>
        <v>-6.5780074662558778</v>
      </c>
      <c r="BB8" s="248">
        <f>SUM(BB9:BB14)</f>
        <v>179522</v>
      </c>
      <c r="BC8" s="248">
        <f>SUM(BC10:BC14)</f>
        <v>150401</v>
      </c>
      <c r="BD8" s="249">
        <f t="shared" si="35"/>
        <v>-16.221410189280423</v>
      </c>
      <c r="BE8" s="247" t="s">
        <v>1</v>
      </c>
      <c r="BF8" s="247"/>
      <c r="BG8" s="248">
        <v>168482</v>
      </c>
      <c r="BH8" s="248">
        <v>179522</v>
      </c>
      <c r="BI8" s="249">
        <f t="shared" si="11"/>
        <v>6.5526287674647747</v>
      </c>
      <c r="BJ8" s="248">
        <v>175802</v>
      </c>
      <c r="BK8" s="248">
        <v>179522</v>
      </c>
      <c r="BL8" s="249">
        <f t="shared" si="12"/>
        <v>2.1160168826293217</v>
      </c>
      <c r="BM8" s="247" t="s">
        <v>1</v>
      </c>
      <c r="BN8" s="247"/>
      <c r="BO8" s="248">
        <v>168482</v>
      </c>
      <c r="BP8" s="248">
        <v>179522</v>
      </c>
      <c r="BQ8" s="249">
        <f t="shared" si="13"/>
        <v>6.5526287674647747</v>
      </c>
      <c r="BR8" s="248">
        <v>175802</v>
      </c>
      <c r="BS8" s="248">
        <v>179522</v>
      </c>
      <c r="BT8" s="249">
        <f t="shared" si="14"/>
        <v>2.1160168826293217</v>
      </c>
      <c r="BU8" s="247" t="s">
        <v>1</v>
      </c>
      <c r="BV8" s="247"/>
      <c r="BW8" s="248">
        <v>188881</v>
      </c>
      <c r="BX8" s="248">
        <v>175802</v>
      </c>
      <c r="BY8" s="249">
        <f t="shared" si="15"/>
        <v>-6.9244656688602868</v>
      </c>
      <c r="BZ8" s="248">
        <v>184457</v>
      </c>
      <c r="CA8" s="248">
        <v>175802</v>
      </c>
      <c r="CB8" s="249">
        <f t="shared" si="16"/>
        <v>-4.692150474094233</v>
      </c>
      <c r="CC8" s="247" t="s">
        <v>1</v>
      </c>
      <c r="CD8" s="247"/>
      <c r="CE8" s="248">
        <v>165644</v>
      </c>
      <c r="CF8" s="248">
        <v>184457</v>
      </c>
      <c r="CG8" s="249">
        <f t="shared" si="17"/>
        <v>11.357489555915096</v>
      </c>
      <c r="CH8" s="248">
        <v>172522</v>
      </c>
      <c r="CI8" s="248">
        <v>184457</v>
      </c>
      <c r="CJ8" s="249">
        <f t="shared" si="18"/>
        <v>6.9179582893775864</v>
      </c>
      <c r="CK8" s="249"/>
      <c r="CL8" s="247" t="s">
        <v>1</v>
      </c>
      <c r="CM8" s="247"/>
      <c r="CN8" s="248">
        <v>144941</v>
      </c>
      <c r="CO8" s="248">
        <v>172522</v>
      </c>
      <c r="CP8" s="249">
        <f>((CO8-CN8)/CN8)*100</f>
        <v>19.029122194548126</v>
      </c>
      <c r="CQ8" s="248">
        <v>158991</v>
      </c>
      <c r="CR8" s="248">
        <v>172522</v>
      </c>
      <c r="CS8" s="249">
        <f>((CR8-CQ8)/CQ8)*100</f>
        <v>8.5105446220226302</v>
      </c>
      <c r="CU8" s="247" t="s">
        <v>1</v>
      </c>
      <c r="CV8" s="247"/>
      <c r="CW8" s="248">
        <f>SUM(CW9:CW11)</f>
        <v>155813</v>
      </c>
      <c r="CX8" s="248">
        <f>SUM(CX9:CX11)</f>
        <v>158991</v>
      </c>
      <c r="CY8" s="249">
        <f>((CX8-CW8)/CW8)*100</f>
        <v>2.039624421582281</v>
      </c>
      <c r="CZ8" s="248">
        <f>SUM(CZ9:CZ11)</f>
        <v>190336</v>
      </c>
      <c r="DA8" s="248">
        <f>SUM(DA9:DA11)</f>
        <v>158991</v>
      </c>
      <c r="DB8" s="249">
        <f>((DA8-CZ8)/CZ8)*100</f>
        <v>-16.468245628782785</v>
      </c>
      <c r="DC8" s="73"/>
      <c r="DD8" s="229" t="s">
        <v>1</v>
      </c>
      <c r="DE8" s="229"/>
      <c r="DF8" s="230">
        <f>SUM(DF9:DF11)</f>
        <v>189535</v>
      </c>
      <c r="DG8" s="230">
        <f>SUM(DG9:DG11)</f>
        <v>190337</v>
      </c>
      <c r="DH8" s="231">
        <f t="shared" si="19"/>
        <v>0.42314084469886831</v>
      </c>
      <c r="DI8" s="230">
        <f>SUM(DI9:DI11)</f>
        <v>214109</v>
      </c>
      <c r="DJ8" s="230">
        <f>SUM(DJ9:DJ11)</f>
        <v>190337</v>
      </c>
      <c r="DK8" s="231">
        <f t="shared" si="20"/>
        <v>-11.102756072841403</v>
      </c>
      <c r="DL8" s="73"/>
      <c r="DM8" s="181" t="s">
        <v>1</v>
      </c>
      <c r="DN8" s="181"/>
      <c r="DO8" s="182">
        <f>SUM(DO9:DO11)</f>
        <v>214809</v>
      </c>
      <c r="DP8" s="182">
        <f>SUM(DP9:DP11)</f>
        <v>214102</v>
      </c>
      <c r="DQ8" s="183">
        <f t="shared" si="21"/>
        <v>-0.32912959885293447</v>
      </c>
      <c r="DR8" s="182">
        <v>221818</v>
      </c>
      <c r="DS8" s="182">
        <f>SUM(DS9:DS11)</f>
        <v>214102</v>
      </c>
      <c r="DT8" s="183">
        <f t="shared" si="22"/>
        <v>-3.478527441415936</v>
      </c>
      <c r="DU8" s="73"/>
      <c r="DV8" s="100" t="s">
        <v>1</v>
      </c>
      <c r="DW8" s="100"/>
      <c r="DX8" s="101">
        <f>SUM(DX9:DX11)</f>
        <v>187602</v>
      </c>
      <c r="DY8" s="101">
        <f>SUM(DY9:DY11)</f>
        <v>221818</v>
      </c>
      <c r="DZ8" s="102">
        <f t="shared" si="23"/>
        <v>18.238611528661743</v>
      </c>
      <c r="EA8" s="101">
        <v>182607</v>
      </c>
      <c r="EB8" s="101">
        <v>221818</v>
      </c>
      <c r="EC8" s="102">
        <f t="shared" si="24"/>
        <v>21.472889867310673</v>
      </c>
      <c r="ED8" s="155"/>
      <c r="EE8" s="120" t="s">
        <v>1</v>
      </c>
      <c r="EF8" s="120"/>
      <c r="EG8" s="121">
        <f>SUM(EG9:EG11)</f>
        <v>149677</v>
      </c>
      <c r="EH8" s="121">
        <f>SUM(EH9:EH11)</f>
        <v>182607</v>
      </c>
      <c r="EI8" s="125">
        <f t="shared" si="25"/>
        <v>22.00070819163933</v>
      </c>
      <c r="EJ8" s="121">
        <f>SUM(EJ9:EJ11)</f>
        <v>151473</v>
      </c>
      <c r="EK8" s="121">
        <v>182607</v>
      </c>
      <c r="EL8" s="125">
        <f t="shared" si="26"/>
        <v>20.554158166802004</v>
      </c>
      <c r="EM8" s="127"/>
      <c r="EN8" s="100" t="s">
        <v>1</v>
      </c>
      <c r="EO8" s="100"/>
      <c r="EP8" s="101">
        <f>SUM(EP9:EP11)</f>
        <v>135369</v>
      </c>
      <c r="EQ8" s="101">
        <f>SUM(EQ9:EQ11)</f>
        <v>151473</v>
      </c>
      <c r="ER8" s="102">
        <f t="shared" si="27"/>
        <v>11.896372138377325</v>
      </c>
      <c r="ES8" s="101">
        <f>SUM(ES9:ES11)</f>
        <v>163503</v>
      </c>
      <c r="ET8" s="101">
        <f>SUM(ET9:ET11)</f>
        <v>151473</v>
      </c>
      <c r="EU8" s="102">
        <f t="shared" si="28"/>
        <v>-7.3576631621438144</v>
      </c>
      <c r="EV8" s="73"/>
      <c r="EW8" s="74" t="s">
        <v>1</v>
      </c>
      <c r="EX8" s="74"/>
      <c r="EY8" s="75">
        <v>150126</v>
      </c>
      <c r="EZ8" s="75">
        <f>SUM(EZ9:EZ11)</f>
        <v>163501</v>
      </c>
      <c r="FA8" s="76">
        <f t="shared" si="0"/>
        <v>8.9091829529861588</v>
      </c>
      <c r="FB8" s="75">
        <f>SUM(FB9:FB11)</f>
        <v>152591</v>
      </c>
      <c r="FC8" s="75">
        <f>SUM(FC9:FC11)</f>
        <v>163501</v>
      </c>
      <c r="FD8" s="76">
        <f t="shared" si="1"/>
        <v>7.1498319035854019</v>
      </c>
      <c r="FE8" s="73"/>
      <c r="FF8" s="63" t="s">
        <v>1</v>
      </c>
      <c r="FG8" s="63"/>
      <c r="FH8" s="64">
        <v>147979</v>
      </c>
      <c r="FI8" s="64">
        <v>152654</v>
      </c>
      <c r="FJ8" s="65">
        <f t="shared" si="2"/>
        <v>3.1592320531967375</v>
      </c>
      <c r="FK8" s="64">
        <v>188369</v>
      </c>
      <c r="FL8" s="64">
        <v>152654</v>
      </c>
      <c r="FM8" s="65">
        <f t="shared" si="3"/>
        <v>-18.960126135404444</v>
      </c>
      <c r="FN8" s="73"/>
    </row>
    <row r="9" spans="1:185" x14ac:dyDescent="0.5">
      <c r="A9" s="250"/>
      <c r="B9" s="250" t="s">
        <v>521</v>
      </c>
      <c r="C9" s="289">
        <v>0</v>
      </c>
      <c r="D9" s="335">
        <v>0</v>
      </c>
      <c r="E9" s="336" t="s">
        <v>530</v>
      </c>
      <c r="F9" s="335">
        <v>0</v>
      </c>
      <c r="G9" s="335">
        <v>0</v>
      </c>
      <c r="H9" s="336" t="s">
        <v>530</v>
      </c>
      <c r="I9" s="250"/>
      <c r="J9" s="250" t="s">
        <v>521</v>
      </c>
      <c r="K9" s="289">
        <v>0</v>
      </c>
      <c r="L9" s="335">
        <v>0</v>
      </c>
      <c r="M9" s="336" t="s">
        <v>530</v>
      </c>
      <c r="N9" s="335">
        <v>0</v>
      </c>
      <c r="O9" s="335">
        <v>0</v>
      </c>
      <c r="P9" s="336" t="s">
        <v>530</v>
      </c>
      <c r="Q9" s="250"/>
      <c r="R9" s="250" t="s">
        <v>521</v>
      </c>
      <c r="S9" s="289">
        <v>0</v>
      </c>
      <c r="T9" s="335">
        <v>0</v>
      </c>
      <c r="U9" s="336" t="s">
        <v>530</v>
      </c>
      <c r="V9" s="335">
        <v>0</v>
      </c>
      <c r="W9" s="335">
        <v>0</v>
      </c>
      <c r="X9" s="336" t="s">
        <v>530</v>
      </c>
      <c r="Y9" s="250"/>
      <c r="Z9" s="250" t="s">
        <v>521</v>
      </c>
      <c r="AA9" s="289" t="s">
        <v>530</v>
      </c>
      <c r="AB9" s="335">
        <v>0</v>
      </c>
      <c r="AC9" s="336" t="s">
        <v>530</v>
      </c>
      <c r="AD9" s="335">
        <v>0</v>
      </c>
      <c r="AE9" s="335">
        <v>0</v>
      </c>
      <c r="AF9" s="336" t="s">
        <v>530</v>
      </c>
      <c r="AG9" s="250"/>
      <c r="AH9" s="250" t="s">
        <v>521</v>
      </c>
      <c r="AI9" s="289" t="s">
        <v>530</v>
      </c>
      <c r="AJ9" s="335">
        <v>0</v>
      </c>
      <c r="AK9" s="336" t="s">
        <v>530</v>
      </c>
      <c r="AL9" s="335" t="s">
        <v>530</v>
      </c>
      <c r="AM9" s="335">
        <v>0</v>
      </c>
      <c r="AN9" s="336" t="s">
        <v>530</v>
      </c>
      <c r="AO9" s="250"/>
      <c r="AP9" s="250" t="s">
        <v>521</v>
      </c>
      <c r="AQ9" s="289" t="s">
        <v>530</v>
      </c>
      <c r="AR9" s="335" t="s">
        <v>530</v>
      </c>
      <c r="AS9" s="336" t="s">
        <v>530</v>
      </c>
      <c r="AT9" s="335">
        <v>0</v>
      </c>
      <c r="AU9" s="335" t="s">
        <v>530</v>
      </c>
      <c r="AV9" s="336" t="s">
        <v>530</v>
      </c>
      <c r="AW9" s="250"/>
      <c r="AX9" s="250" t="s">
        <v>521</v>
      </c>
      <c r="AY9" s="252">
        <v>0</v>
      </c>
      <c r="AZ9" s="335">
        <v>0</v>
      </c>
      <c r="BA9" s="249" t="e">
        <f t="shared" si="10"/>
        <v>#DIV/0!</v>
      </c>
      <c r="BB9" s="252" t="s">
        <v>530</v>
      </c>
      <c r="BC9" s="335">
        <v>0</v>
      </c>
      <c r="BD9" s="249" t="e">
        <f t="shared" si="35"/>
        <v>#DIV/0!</v>
      </c>
      <c r="BE9" s="250"/>
      <c r="BF9" s="250" t="s">
        <v>521</v>
      </c>
      <c r="BG9" s="252">
        <v>38</v>
      </c>
      <c r="BH9" s="335" t="s">
        <v>530</v>
      </c>
      <c r="BI9" s="249">
        <f t="shared" si="11"/>
        <v>-100</v>
      </c>
      <c r="BJ9" s="252"/>
      <c r="BK9" s="335" t="s">
        <v>530</v>
      </c>
      <c r="BL9" s="249"/>
      <c r="BM9" s="250"/>
      <c r="BN9" s="250" t="s">
        <v>521</v>
      </c>
      <c r="BO9" s="252">
        <v>38</v>
      </c>
      <c r="BP9" s="335" t="s">
        <v>530</v>
      </c>
      <c r="BQ9" s="249">
        <f t="shared" si="13"/>
        <v>-100</v>
      </c>
      <c r="BR9" s="252"/>
      <c r="BS9" s="335" t="s">
        <v>530</v>
      </c>
      <c r="BT9" s="249"/>
      <c r="BU9" s="250"/>
      <c r="BV9" s="250" t="s">
        <v>435</v>
      </c>
      <c r="BW9" s="252">
        <v>7</v>
      </c>
      <c r="BX9" s="252">
        <v>9</v>
      </c>
      <c r="BY9" s="249">
        <f t="shared" si="15"/>
        <v>28.571428571428569</v>
      </c>
      <c r="BZ9" s="252">
        <v>30</v>
      </c>
      <c r="CA9" s="252">
        <v>9</v>
      </c>
      <c r="CB9" s="249">
        <f t="shared" si="16"/>
        <v>-70</v>
      </c>
      <c r="CC9" s="250"/>
      <c r="CD9" s="250" t="s">
        <v>435</v>
      </c>
      <c r="CE9" s="252">
        <v>14</v>
      </c>
      <c r="CF9" s="252">
        <v>30</v>
      </c>
      <c r="CG9" s="249">
        <f t="shared" si="17"/>
        <v>114.28571428571428</v>
      </c>
      <c r="CH9" s="252"/>
      <c r="CI9" s="252">
        <v>30</v>
      </c>
      <c r="CJ9" s="249"/>
      <c r="CK9" s="249"/>
      <c r="CL9" s="250"/>
      <c r="CM9" s="250" t="s">
        <v>57</v>
      </c>
      <c r="CN9" s="252">
        <v>72288</v>
      </c>
      <c r="CO9" s="252">
        <v>90035</v>
      </c>
      <c r="CP9" s="249">
        <f t="shared" ref="CP9:CP17" si="36">((CO9-CN9)/CN9)*100</f>
        <v>24.550409473218238</v>
      </c>
      <c r="CQ9" s="252">
        <v>79930</v>
      </c>
      <c r="CR9" s="252">
        <v>90035</v>
      </c>
      <c r="CS9" s="249">
        <f t="shared" ref="CS9:CS17" si="37">((CR9-CQ9)/CQ9)*100</f>
        <v>12.642312023020141</v>
      </c>
      <c r="CU9" s="250"/>
      <c r="CV9" s="250" t="s">
        <v>57</v>
      </c>
      <c r="CW9" s="252">
        <v>77751</v>
      </c>
      <c r="CX9" s="252">
        <v>79930</v>
      </c>
      <c r="CY9" s="249">
        <f t="shared" ref="CY9:CY17" si="38">((CX9-CW9)/CW9)*100</f>
        <v>2.8025363017839</v>
      </c>
      <c r="CZ9" s="252">
        <v>86691</v>
      </c>
      <c r="DA9" s="252">
        <v>79930</v>
      </c>
      <c r="DB9" s="249">
        <f t="shared" ref="DB9:DB17" si="39">((DA9-CZ9)/CZ9)*100</f>
        <v>-7.7989641369923062</v>
      </c>
      <c r="DC9" s="73"/>
      <c r="DD9" s="232"/>
      <c r="DE9" s="232" t="s">
        <v>57</v>
      </c>
      <c r="DF9" s="234">
        <v>90077</v>
      </c>
      <c r="DG9" s="234">
        <v>86692</v>
      </c>
      <c r="DH9" s="231">
        <f t="shared" si="19"/>
        <v>-3.757896022292039</v>
      </c>
      <c r="DI9" s="234">
        <v>99332</v>
      </c>
      <c r="DJ9" s="234">
        <v>86692</v>
      </c>
      <c r="DK9" s="231">
        <f t="shared" si="20"/>
        <v>-12.725003020174769</v>
      </c>
      <c r="DL9" s="73"/>
      <c r="DM9" s="184"/>
      <c r="DN9" s="184" t="s">
        <v>57</v>
      </c>
      <c r="DO9" s="186">
        <v>102314</v>
      </c>
      <c r="DP9" s="186">
        <v>98729</v>
      </c>
      <c r="DQ9" s="183">
        <f t="shared" si="21"/>
        <v>-3.5039193072306825</v>
      </c>
      <c r="DR9" s="186">
        <v>99623</v>
      </c>
      <c r="DS9" s="186">
        <v>98729</v>
      </c>
      <c r="DT9" s="183">
        <f t="shared" si="22"/>
        <v>-0.89738313441675122</v>
      </c>
      <c r="DU9" s="73"/>
      <c r="DV9" s="103"/>
      <c r="DW9" s="103" t="s">
        <v>57</v>
      </c>
      <c r="DX9" s="105">
        <v>88806</v>
      </c>
      <c r="DY9" s="105">
        <v>99609</v>
      </c>
      <c r="DZ9" s="102">
        <f t="shared" si="23"/>
        <v>12.164718600094588</v>
      </c>
      <c r="EA9" s="105">
        <v>79109</v>
      </c>
      <c r="EB9" s="105">
        <v>99609</v>
      </c>
      <c r="EC9" s="102">
        <f t="shared" si="24"/>
        <v>25.913612863264611</v>
      </c>
      <c r="ED9" s="155"/>
      <c r="EE9" s="24"/>
      <c r="EF9" s="24" t="s">
        <v>57</v>
      </c>
      <c r="EG9" s="25">
        <v>67334</v>
      </c>
      <c r="EH9" s="25">
        <v>79109</v>
      </c>
      <c r="EI9" s="128">
        <f t="shared" si="25"/>
        <v>17.487450619300798</v>
      </c>
      <c r="EJ9" s="25">
        <v>73320</v>
      </c>
      <c r="EK9" s="25">
        <v>79109</v>
      </c>
      <c r="EL9" s="128">
        <f t="shared" si="26"/>
        <v>7.8955264593562458</v>
      </c>
      <c r="EM9" s="130"/>
      <c r="EN9" s="103"/>
      <c r="EO9" s="103" t="s">
        <v>57</v>
      </c>
      <c r="EP9" s="105">
        <v>66045</v>
      </c>
      <c r="EQ9" s="105">
        <v>73320</v>
      </c>
      <c r="ER9" s="102">
        <f t="shared" si="27"/>
        <v>11.015216897569839</v>
      </c>
      <c r="ES9" s="109">
        <v>85185</v>
      </c>
      <c r="ET9" s="105">
        <v>73320</v>
      </c>
      <c r="EU9" s="102">
        <f t="shared" si="28"/>
        <v>-13.928508540235956</v>
      </c>
      <c r="EV9" s="73"/>
      <c r="EW9" s="77"/>
      <c r="EX9" s="77" t="s">
        <v>57</v>
      </c>
      <c r="EY9" s="80">
        <f>76778+4424</f>
        <v>81202</v>
      </c>
      <c r="EZ9" s="80">
        <v>90145</v>
      </c>
      <c r="FA9" s="79">
        <f t="shared" si="0"/>
        <v>11.013275535085343</v>
      </c>
      <c r="FB9" s="81">
        <v>82819</v>
      </c>
      <c r="FC9" s="80">
        <v>90145</v>
      </c>
      <c r="FD9" s="79">
        <f t="shared" si="1"/>
        <v>8.8457962544826678</v>
      </c>
      <c r="FE9" s="61"/>
      <c r="FF9" s="42"/>
      <c r="FG9" s="42" t="s">
        <v>57</v>
      </c>
      <c r="FH9" s="43">
        <v>78833</v>
      </c>
      <c r="FI9" s="43">
        <v>82804</v>
      </c>
      <c r="FJ9" s="44">
        <f t="shared" si="2"/>
        <v>5.0372306013978925</v>
      </c>
      <c r="FK9" s="45">
        <v>112464</v>
      </c>
      <c r="FL9" s="43">
        <v>82804</v>
      </c>
      <c r="FM9" s="44">
        <f t="shared" si="3"/>
        <v>-26.372883767249967</v>
      </c>
      <c r="FN9" s="61"/>
      <c r="FP9" s="34" t="s">
        <v>19</v>
      </c>
      <c r="FW9" s="34" t="s">
        <v>21</v>
      </c>
    </row>
    <row r="10" spans="1:185" x14ac:dyDescent="0.5">
      <c r="A10" s="250"/>
      <c r="B10" s="250" t="s">
        <v>522</v>
      </c>
      <c r="C10" s="252">
        <v>56264</v>
      </c>
      <c r="D10" s="252">
        <v>49874</v>
      </c>
      <c r="E10" s="249">
        <f t="shared" ref="E10:E18" si="40">((D10-C10)/C10)*100</f>
        <v>-11.357173325750034</v>
      </c>
      <c r="F10" s="252">
        <v>54219</v>
      </c>
      <c r="G10" s="252">
        <v>49874</v>
      </c>
      <c r="H10" s="249">
        <f t="shared" ref="H10:H14" si="41">((G10-F10)/F10)*100</f>
        <v>-8.0137959018056399</v>
      </c>
      <c r="I10" s="250"/>
      <c r="J10" s="250" t="s">
        <v>522</v>
      </c>
      <c r="K10" s="252">
        <v>62763</v>
      </c>
      <c r="L10" s="252">
        <v>54219</v>
      </c>
      <c r="M10" s="249">
        <f t="shared" ref="M10:M18" si="42">((L10-K10)/K10)*100</f>
        <v>-13.613116007839013</v>
      </c>
      <c r="N10" s="252">
        <v>74223</v>
      </c>
      <c r="O10" s="252">
        <v>54219</v>
      </c>
      <c r="P10" s="249">
        <f t="shared" ref="P10:P14" si="43">((O10-N10)/N10)*100</f>
        <v>-26.95121458308072</v>
      </c>
      <c r="Q10" s="250"/>
      <c r="R10" s="250" t="s">
        <v>522</v>
      </c>
      <c r="S10" s="252">
        <v>77720</v>
      </c>
      <c r="T10" s="252">
        <v>74223</v>
      </c>
      <c r="U10" s="249">
        <f t="shared" ref="U10:U18" si="44">((T10-S10)/S10)*100</f>
        <v>-4.4994853319608854</v>
      </c>
      <c r="V10" s="252">
        <v>70161</v>
      </c>
      <c r="W10" s="252">
        <v>74223</v>
      </c>
      <c r="X10" s="249">
        <f t="shared" ref="X10:X14" si="45">((W10-V10)/V10)*100</f>
        <v>5.7895411981015092</v>
      </c>
      <c r="Y10" s="250"/>
      <c r="Z10" s="250" t="s">
        <v>522</v>
      </c>
      <c r="AA10" s="252">
        <v>61514</v>
      </c>
      <c r="AB10" s="252">
        <v>70161</v>
      </c>
      <c r="AC10" s="249">
        <f t="shared" ref="AC10:AC18" si="46">((AB10-AA10)/AA10)*100</f>
        <v>14.056962642650452</v>
      </c>
      <c r="AD10" s="252">
        <v>78963</v>
      </c>
      <c r="AE10" s="252">
        <v>70161</v>
      </c>
      <c r="AF10" s="249">
        <f t="shared" ref="AF10:AF14" si="47">((AE10-AD10)/AD10)*100</f>
        <v>-11.14699289540671</v>
      </c>
      <c r="AG10" s="250"/>
      <c r="AH10" s="250" t="s">
        <v>522</v>
      </c>
      <c r="AI10" s="252">
        <v>67337</v>
      </c>
      <c r="AJ10" s="252">
        <v>78963</v>
      </c>
      <c r="AK10" s="249">
        <f t="shared" ref="AK10:AK18" si="48">((AJ10-AI10)/AI10)*100</f>
        <v>17.265396438807787</v>
      </c>
      <c r="AL10" s="252">
        <v>63676</v>
      </c>
      <c r="AM10" s="252">
        <v>78963</v>
      </c>
      <c r="AN10" s="249">
        <f t="shared" ref="AN10:AN14" si="49">((AM10-AL10)/AL10)*100</f>
        <v>24.00747534392864</v>
      </c>
      <c r="AO10" s="250"/>
      <c r="AP10" s="250" t="s">
        <v>522</v>
      </c>
      <c r="AQ10" s="252">
        <v>47859</v>
      </c>
      <c r="AR10" s="252">
        <v>63676</v>
      </c>
      <c r="AS10" s="249">
        <f t="shared" si="9"/>
        <v>33.049165256273639</v>
      </c>
      <c r="AT10" s="252">
        <v>80983</v>
      </c>
      <c r="AU10" s="252">
        <v>63676</v>
      </c>
      <c r="AV10" s="249">
        <f t="shared" si="34"/>
        <v>-21.371151970166576</v>
      </c>
      <c r="AW10" s="250"/>
      <c r="AX10" s="250" t="s">
        <v>522</v>
      </c>
      <c r="AY10" s="252">
        <v>84679</v>
      </c>
      <c r="AZ10" s="252">
        <v>80983</v>
      </c>
      <c r="BA10" s="249">
        <f t="shared" si="10"/>
        <v>-4.3647185252541947</v>
      </c>
      <c r="BB10" s="252">
        <v>95275</v>
      </c>
      <c r="BC10" s="252">
        <v>80983</v>
      </c>
      <c r="BD10" s="249">
        <f t="shared" si="35"/>
        <v>-15.000787194961951</v>
      </c>
      <c r="BE10" s="250"/>
      <c r="BF10" s="250" t="s">
        <v>522</v>
      </c>
      <c r="BG10" s="252">
        <v>92032</v>
      </c>
      <c r="BH10" s="252">
        <v>95275</v>
      </c>
      <c r="BI10" s="249">
        <f t="shared" si="11"/>
        <v>3.5237743393602221</v>
      </c>
      <c r="BJ10" s="252"/>
      <c r="BK10" s="252">
        <v>95275</v>
      </c>
      <c r="BL10" s="249"/>
      <c r="BM10" s="250"/>
      <c r="BN10" s="250" t="s">
        <v>522</v>
      </c>
      <c r="BO10" s="252">
        <v>92032</v>
      </c>
      <c r="BP10" s="252">
        <v>95275</v>
      </c>
      <c r="BQ10" s="249">
        <f t="shared" si="13"/>
        <v>3.5237743393602221</v>
      </c>
      <c r="BR10" s="252"/>
      <c r="BS10" s="252">
        <v>95275</v>
      </c>
      <c r="BT10" s="249"/>
      <c r="BU10" s="250"/>
      <c r="BV10" s="250" t="s">
        <v>436</v>
      </c>
      <c r="BW10" s="252">
        <v>159974</v>
      </c>
      <c r="BX10" s="252">
        <v>149174</v>
      </c>
      <c r="BY10" s="249">
        <f t="shared" si="15"/>
        <v>-6.7510970532711561</v>
      </c>
      <c r="BZ10" s="252">
        <v>162977</v>
      </c>
      <c r="CA10" s="252">
        <v>149174</v>
      </c>
      <c r="CB10" s="249">
        <f t="shared" si="16"/>
        <v>-8.4692932131527758</v>
      </c>
      <c r="CC10" s="250"/>
      <c r="CD10" s="250" t="s">
        <v>436</v>
      </c>
      <c r="CE10" s="252">
        <v>145585</v>
      </c>
      <c r="CF10" s="252">
        <v>162977</v>
      </c>
      <c r="CG10" s="249">
        <f t="shared" si="17"/>
        <v>11.946285675035202</v>
      </c>
      <c r="CH10" s="252"/>
      <c r="CI10" s="252">
        <v>162977</v>
      </c>
      <c r="CJ10" s="249"/>
      <c r="CK10" s="249"/>
      <c r="CL10" s="250"/>
      <c r="CM10" s="250" t="s">
        <v>59</v>
      </c>
      <c r="CN10" s="252">
        <v>51612</v>
      </c>
      <c r="CO10" s="252">
        <v>61446</v>
      </c>
      <c r="CP10" s="249">
        <f t="shared" si="36"/>
        <v>19.053708439897697</v>
      </c>
      <c r="CQ10" s="252">
        <v>62334</v>
      </c>
      <c r="CR10" s="252">
        <v>61446</v>
      </c>
      <c r="CS10" s="249">
        <f t="shared" si="37"/>
        <v>-1.4245836942920396</v>
      </c>
      <c r="CU10" s="250"/>
      <c r="CV10" s="250" t="s">
        <v>59</v>
      </c>
      <c r="CW10" s="252">
        <v>61317</v>
      </c>
      <c r="CX10" s="252">
        <v>62334</v>
      </c>
      <c r="CY10" s="249">
        <f t="shared" si="38"/>
        <v>1.658593864670483</v>
      </c>
      <c r="CZ10" s="252">
        <v>89187</v>
      </c>
      <c r="DA10" s="252">
        <v>62334</v>
      </c>
      <c r="DB10" s="249">
        <f t="shared" si="39"/>
        <v>-30.108648121362979</v>
      </c>
      <c r="DC10" s="73"/>
      <c r="DD10" s="232"/>
      <c r="DE10" s="232" t="s">
        <v>59</v>
      </c>
      <c r="DF10" s="234">
        <v>85721</v>
      </c>
      <c r="DG10" s="234">
        <v>89187</v>
      </c>
      <c r="DH10" s="231">
        <f t="shared" si="19"/>
        <v>4.0433499375882223</v>
      </c>
      <c r="DI10" s="234">
        <v>107203</v>
      </c>
      <c r="DJ10" s="234">
        <v>89187</v>
      </c>
      <c r="DK10" s="231">
        <f t="shared" si="20"/>
        <v>-16.805499846086398</v>
      </c>
      <c r="DL10" s="73"/>
      <c r="DM10" s="184"/>
      <c r="DN10" s="184" t="s">
        <v>59</v>
      </c>
      <c r="DO10" s="186">
        <v>104529</v>
      </c>
      <c r="DP10" s="186">
        <v>107198</v>
      </c>
      <c r="DQ10" s="183">
        <f t="shared" si="21"/>
        <v>2.5533583981478825</v>
      </c>
      <c r="DR10" s="186">
        <v>114994</v>
      </c>
      <c r="DS10" s="186">
        <v>107198</v>
      </c>
      <c r="DT10" s="183">
        <f t="shared" si="22"/>
        <v>-6.7794841469989739</v>
      </c>
      <c r="DU10" s="73"/>
      <c r="DV10" s="103"/>
      <c r="DW10" s="103" t="s">
        <v>59</v>
      </c>
      <c r="DX10" s="105">
        <v>93287</v>
      </c>
      <c r="DY10" s="105">
        <v>114989</v>
      </c>
      <c r="DZ10" s="102">
        <f t="shared" si="23"/>
        <v>23.263691618339106</v>
      </c>
      <c r="EA10" s="105">
        <v>99386</v>
      </c>
      <c r="EB10" s="105">
        <v>114989</v>
      </c>
      <c r="EC10" s="102">
        <f t="shared" si="24"/>
        <v>15.699394280884633</v>
      </c>
      <c r="ED10" s="155"/>
      <c r="EE10" s="24"/>
      <c r="EF10" s="24" t="s">
        <v>59</v>
      </c>
      <c r="EG10" s="25">
        <v>78160</v>
      </c>
      <c r="EH10" s="25">
        <v>99386</v>
      </c>
      <c r="EI10" s="128">
        <f t="shared" si="25"/>
        <v>27.15711361310133</v>
      </c>
      <c r="EJ10" s="25">
        <v>71624</v>
      </c>
      <c r="EK10" s="25">
        <v>99386</v>
      </c>
      <c r="EL10" s="128">
        <f t="shared" si="26"/>
        <v>38.760750586395623</v>
      </c>
      <c r="EM10" s="130"/>
      <c r="EN10" s="103"/>
      <c r="EO10" s="103" t="s">
        <v>59</v>
      </c>
      <c r="EP10" s="105">
        <v>63464</v>
      </c>
      <c r="EQ10" s="105">
        <v>71624</v>
      </c>
      <c r="ER10" s="102">
        <f>((EQ10-EP10)/EP10)*100</f>
        <v>12.857683095928401</v>
      </c>
      <c r="ES10" s="109">
        <v>71025</v>
      </c>
      <c r="ET10" s="105">
        <v>71624</v>
      </c>
      <c r="EU10" s="102">
        <f>((ET10-ES10)/ES10)*100</f>
        <v>0.84336501231960581</v>
      </c>
      <c r="EV10" s="73"/>
      <c r="EW10" s="77"/>
      <c r="EX10" s="77" t="s">
        <v>58</v>
      </c>
      <c r="EY10" s="80">
        <f>1038+593</f>
        <v>1631</v>
      </c>
      <c r="EZ10" s="80">
        <v>1735</v>
      </c>
      <c r="FA10" s="79">
        <f t="shared" si="0"/>
        <v>6.3764561618638878</v>
      </c>
      <c r="FB10" s="81">
        <v>1274</v>
      </c>
      <c r="FC10" s="80">
        <v>1735</v>
      </c>
      <c r="FD10" s="79">
        <f t="shared" si="1"/>
        <v>36.185243328100469</v>
      </c>
      <c r="FE10" s="61"/>
      <c r="FF10" s="42"/>
      <c r="FG10" s="42" t="s">
        <v>58</v>
      </c>
      <c r="FH10" s="43">
        <v>1466</v>
      </c>
      <c r="FI10" s="43">
        <v>1274</v>
      </c>
      <c r="FJ10" s="44">
        <f t="shared" si="2"/>
        <v>-13.096862210095498</v>
      </c>
      <c r="FK10" s="45">
        <v>1716</v>
      </c>
      <c r="FL10" s="43">
        <v>1274</v>
      </c>
      <c r="FM10" s="44">
        <f t="shared" si="3"/>
        <v>-25.757575757575758</v>
      </c>
      <c r="FN10" s="61"/>
      <c r="FO10" s="29"/>
      <c r="FP10" s="30">
        <v>18019</v>
      </c>
      <c r="FQ10" s="30">
        <v>18050</v>
      </c>
      <c r="FR10" s="29" t="s">
        <v>3</v>
      </c>
      <c r="FS10" s="30">
        <v>17685</v>
      </c>
      <c r="FT10" s="30">
        <v>18050</v>
      </c>
      <c r="FU10" s="29" t="s">
        <v>3</v>
      </c>
      <c r="FW10" s="40"/>
      <c r="FX10" s="41">
        <v>17654</v>
      </c>
      <c r="FY10" s="41">
        <v>17685</v>
      </c>
      <c r="FZ10" s="40" t="s">
        <v>3</v>
      </c>
      <c r="GA10" s="41">
        <v>17319</v>
      </c>
      <c r="GB10" s="41">
        <v>17685</v>
      </c>
      <c r="GC10" s="40" t="s">
        <v>3</v>
      </c>
    </row>
    <row r="11" spans="1:185" x14ac:dyDescent="0.5">
      <c r="A11" s="250"/>
      <c r="B11" s="250" t="s">
        <v>523</v>
      </c>
      <c r="C11" s="252">
        <v>72101</v>
      </c>
      <c r="D11" s="252">
        <v>71878</v>
      </c>
      <c r="E11" s="249">
        <f t="shared" si="40"/>
        <v>-0.30928835938475197</v>
      </c>
      <c r="F11" s="252">
        <v>63414</v>
      </c>
      <c r="G11" s="252">
        <v>71878</v>
      </c>
      <c r="H11" s="249">
        <f t="shared" si="41"/>
        <v>13.347210395180875</v>
      </c>
      <c r="I11" s="250"/>
      <c r="J11" s="250" t="s">
        <v>523</v>
      </c>
      <c r="K11" s="252">
        <v>65547</v>
      </c>
      <c r="L11" s="252">
        <v>63414</v>
      </c>
      <c r="M11" s="249">
        <f t="shared" si="42"/>
        <v>-3.2541535081697104</v>
      </c>
      <c r="N11" s="252">
        <v>60234</v>
      </c>
      <c r="O11" s="252">
        <v>63414</v>
      </c>
      <c r="P11" s="249">
        <f t="shared" si="43"/>
        <v>5.2794102998306602</v>
      </c>
      <c r="Q11" s="250"/>
      <c r="R11" s="250" t="s">
        <v>523</v>
      </c>
      <c r="S11" s="252">
        <v>61486</v>
      </c>
      <c r="T11" s="252">
        <v>60234</v>
      </c>
      <c r="U11" s="249">
        <f t="shared" si="44"/>
        <v>-2.0362358910971605</v>
      </c>
      <c r="V11" s="252">
        <v>63467</v>
      </c>
      <c r="W11" s="252">
        <v>60234</v>
      </c>
      <c r="X11" s="249">
        <f t="shared" si="45"/>
        <v>-5.0939858509146489</v>
      </c>
      <c r="Y11" s="250"/>
      <c r="Z11" s="250" t="s">
        <v>523</v>
      </c>
      <c r="AA11" s="252">
        <v>61804</v>
      </c>
      <c r="AB11" s="252">
        <v>63467</v>
      </c>
      <c r="AC11" s="249">
        <f t="shared" si="46"/>
        <v>2.6907643518218887</v>
      </c>
      <c r="AD11" s="252">
        <v>42377</v>
      </c>
      <c r="AE11" s="252">
        <v>63467</v>
      </c>
      <c r="AF11" s="249">
        <f t="shared" si="47"/>
        <v>49.767562592915972</v>
      </c>
      <c r="AG11" s="250"/>
      <c r="AH11" s="250" t="s">
        <v>523</v>
      </c>
      <c r="AI11" s="252">
        <v>38717</v>
      </c>
      <c r="AJ11" s="252">
        <v>42377</v>
      </c>
      <c r="AK11" s="249">
        <f t="shared" si="48"/>
        <v>9.4532117674406582</v>
      </c>
      <c r="AL11" s="252">
        <v>33354</v>
      </c>
      <c r="AM11" s="252">
        <v>42377</v>
      </c>
      <c r="AN11" s="249">
        <f t="shared" si="49"/>
        <v>27.052227618876294</v>
      </c>
      <c r="AO11" s="250"/>
      <c r="AP11" s="250" t="s">
        <v>523</v>
      </c>
      <c r="AQ11" s="252">
        <v>24799</v>
      </c>
      <c r="AR11" s="252">
        <v>33354</v>
      </c>
      <c r="AS11" s="249">
        <f t="shared" si="9"/>
        <v>34.497358764466306</v>
      </c>
      <c r="AT11" s="252">
        <v>40062</v>
      </c>
      <c r="AU11" s="252">
        <v>33354</v>
      </c>
      <c r="AV11" s="249">
        <f t="shared" si="34"/>
        <v>-16.744046727572261</v>
      </c>
      <c r="AW11" s="250"/>
      <c r="AX11" s="250" t="s">
        <v>523</v>
      </c>
      <c r="AY11" s="252">
        <v>42755</v>
      </c>
      <c r="AZ11" s="252">
        <v>40062</v>
      </c>
      <c r="BA11" s="249">
        <f t="shared" si="10"/>
        <v>-6.2986785171324984</v>
      </c>
      <c r="BB11" s="252">
        <v>50571</v>
      </c>
      <c r="BC11" s="252">
        <v>40062</v>
      </c>
      <c r="BD11" s="249">
        <f t="shared" si="35"/>
        <v>-20.780684582072727</v>
      </c>
      <c r="BE11" s="250"/>
      <c r="BF11" s="250" t="s">
        <v>523</v>
      </c>
      <c r="BG11" s="252">
        <v>44153</v>
      </c>
      <c r="BH11" s="252">
        <v>50571</v>
      </c>
      <c r="BI11" s="249">
        <f t="shared" si="11"/>
        <v>14.535818630670622</v>
      </c>
      <c r="BJ11" s="252"/>
      <c r="BK11" s="252">
        <v>50571</v>
      </c>
      <c r="BL11" s="249"/>
      <c r="BM11" s="250"/>
      <c r="BN11" s="250" t="s">
        <v>523</v>
      </c>
      <c r="BO11" s="252">
        <v>44153</v>
      </c>
      <c r="BP11" s="252">
        <v>50571</v>
      </c>
      <c r="BQ11" s="249">
        <f t="shared" si="13"/>
        <v>14.535818630670622</v>
      </c>
      <c r="BR11" s="252"/>
      <c r="BS11" s="252">
        <v>50571</v>
      </c>
      <c r="BT11" s="249"/>
      <c r="BU11" s="250"/>
      <c r="BV11" s="250" t="s">
        <v>437</v>
      </c>
      <c r="BW11" s="252">
        <v>16443</v>
      </c>
      <c r="BX11" s="252">
        <v>14526</v>
      </c>
      <c r="BY11" s="249">
        <f t="shared" si="15"/>
        <v>-11.658456486042693</v>
      </c>
      <c r="BZ11" s="252">
        <v>14174</v>
      </c>
      <c r="CA11" s="252">
        <v>14526</v>
      </c>
      <c r="CB11" s="249">
        <f t="shared" si="16"/>
        <v>2.4834203471144347</v>
      </c>
      <c r="CC11" s="250"/>
      <c r="CD11" s="250" t="s">
        <v>437</v>
      </c>
      <c r="CE11" s="252">
        <v>12915</v>
      </c>
      <c r="CF11" s="252">
        <v>14174</v>
      </c>
      <c r="CG11" s="249">
        <f t="shared" si="17"/>
        <v>9.7483546264034064</v>
      </c>
      <c r="CH11" s="252"/>
      <c r="CI11" s="252">
        <v>14174</v>
      </c>
      <c r="CJ11" s="249"/>
      <c r="CK11" s="249"/>
      <c r="CL11" s="250"/>
      <c r="CM11" s="250" t="s">
        <v>58</v>
      </c>
      <c r="CN11" s="252">
        <v>21041</v>
      </c>
      <c r="CO11" s="252">
        <v>21041</v>
      </c>
      <c r="CP11" s="249">
        <f t="shared" si="36"/>
        <v>0</v>
      </c>
      <c r="CQ11" s="252">
        <v>16727</v>
      </c>
      <c r="CR11" s="252">
        <v>21041</v>
      </c>
      <c r="CS11" s="249">
        <f t="shared" si="37"/>
        <v>25.790637890835178</v>
      </c>
      <c r="CU11" s="250"/>
      <c r="CV11" s="250" t="s">
        <v>58</v>
      </c>
      <c r="CW11" s="252">
        <v>16745</v>
      </c>
      <c r="CX11" s="252">
        <v>16727</v>
      </c>
      <c r="CY11" s="249">
        <f t="shared" si="38"/>
        <v>-0.10749477455957002</v>
      </c>
      <c r="CZ11" s="252">
        <v>14458</v>
      </c>
      <c r="DA11" s="252">
        <v>16727</v>
      </c>
      <c r="DB11" s="249">
        <f t="shared" si="39"/>
        <v>15.693733573108315</v>
      </c>
      <c r="DC11" s="73"/>
      <c r="DD11" s="232"/>
      <c r="DE11" s="232" t="s">
        <v>58</v>
      </c>
      <c r="DF11" s="234">
        <v>13737</v>
      </c>
      <c r="DG11" s="234">
        <v>14458</v>
      </c>
      <c r="DH11" s="231">
        <f t="shared" si="19"/>
        <v>5.2485986751110136</v>
      </c>
      <c r="DI11" s="234">
        <v>7574</v>
      </c>
      <c r="DJ11" s="234">
        <v>14458</v>
      </c>
      <c r="DK11" s="231">
        <f t="shared" si="20"/>
        <v>90.889886453657255</v>
      </c>
      <c r="DL11" s="73"/>
      <c r="DM11" s="184"/>
      <c r="DN11" s="184" t="s">
        <v>58</v>
      </c>
      <c r="DO11" s="186">
        <v>7966</v>
      </c>
      <c r="DP11" s="186">
        <v>8175</v>
      </c>
      <c r="DQ11" s="183">
        <f t="shared" si="21"/>
        <v>2.6236505146874216</v>
      </c>
      <c r="DR11" s="186">
        <v>7220</v>
      </c>
      <c r="DS11" s="186">
        <v>8175</v>
      </c>
      <c r="DT11" s="183">
        <f t="shared" si="22"/>
        <v>13.227146814404433</v>
      </c>
      <c r="DU11" s="73"/>
      <c r="DV11" s="103"/>
      <c r="DW11" s="103" t="s">
        <v>58</v>
      </c>
      <c r="DX11" s="105">
        <v>5509</v>
      </c>
      <c r="DY11" s="105">
        <v>7220</v>
      </c>
      <c r="DZ11" s="102">
        <f t="shared" si="23"/>
        <v>31.058268288255579</v>
      </c>
      <c r="EA11" s="105">
        <v>4112</v>
      </c>
      <c r="EB11" s="105">
        <v>7220</v>
      </c>
      <c r="EC11" s="102">
        <f t="shared" si="24"/>
        <v>75.583657587548629</v>
      </c>
      <c r="ED11" s="155"/>
      <c r="EE11" s="24"/>
      <c r="EF11" s="24" t="s">
        <v>58</v>
      </c>
      <c r="EG11" s="25">
        <v>4183</v>
      </c>
      <c r="EH11" s="25">
        <v>4112</v>
      </c>
      <c r="EI11" s="128">
        <f t="shared" si="25"/>
        <v>-1.6973464021037534</v>
      </c>
      <c r="EJ11" s="25">
        <v>6529</v>
      </c>
      <c r="EK11" s="25">
        <v>4112</v>
      </c>
      <c r="EL11" s="128">
        <f t="shared" si="26"/>
        <v>-37.019451677132793</v>
      </c>
      <c r="EM11" s="130"/>
      <c r="EN11" s="103"/>
      <c r="EO11" s="103" t="s">
        <v>58</v>
      </c>
      <c r="EP11" s="105">
        <v>5860</v>
      </c>
      <c r="EQ11" s="105">
        <v>6529</v>
      </c>
      <c r="ER11" s="102">
        <f t="shared" si="27"/>
        <v>11.416382252559726</v>
      </c>
      <c r="ES11" s="109">
        <v>7293</v>
      </c>
      <c r="ET11" s="105">
        <v>6529</v>
      </c>
      <c r="EU11" s="102">
        <f t="shared" si="28"/>
        <v>-10.475798711092828</v>
      </c>
      <c r="EV11" s="73"/>
      <c r="EW11" s="77"/>
      <c r="EX11" s="77" t="s">
        <v>59</v>
      </c>
      <c r="EY11" s="80">
        <v>67293</v>
      </c>
      <c r="EZ11" s="80">
        <v>71621</v>
      </c>
      <c r="FA11" s="79">
        <f t="shared" si="0"/>
        <v>6.4315753495905961</v>
      </c>
      <c r="FB11" s="81">
        <v>68498</v>
      </c>
      <c r="FC11" s="80">
        <v>71621</v>
      </c>
      <c r="FD11" s="79">
        <f t="shared" si="1"/>
        <v>4.5592572045899153</v>
      </c>
      <c r="FE11" s="61"/>
      <c r="FF11" s="42"/>
      <c r="FG11" s="42" t="s">
        <v>59</v>
      </c>
      <c r="FH11" s="43">
        <v>67380</v>
      </c>
      <c r="FI11" s="43">
        <v>68486</v>
      </c>
      <c r="FJ11" s="44">
        <f t="shared" si="2"/>
        <v>1.6414366280795487</v>
      </c>
      <c r="FK11" s="45">
        <v>74189</v>
      </c>
      <c r="FL11" s="43">
        <v>68486</v>
      </c>
      <c r="FM11" s="44">
        <f t="shared" si="3"/>
        <v>-7.6871234280014562</v>
      </c>
      <c r="FN11" s="61"/>
      <c r="FO11" s="20" t="s">
        <v>0</v>
      </c>
      <c r="FP11" s="21">
        <v>108084</v>
      </c>
      <c r="FQ11" s="21">
        <v>99806</v>
      </c>
      <c r="FR11" s="31">
        <f>(FQ11-FP11)/FP11*100</f>
        <v>-7.6588579253173457</v>
      </c>
      <c r="FS11" s="35">
        <v>99310</v>
      </c>
      <c r="FT11" s="35">
        <v>99806</v>
      </c>
      <c r="FU11" s="31">
        <f>(FT11-FS11)/FS11*100</f>
        <v>0.49944617863256474</v>
      </c>
      <c r="FW11" s="42" t="s">
        <v>0</v>
      </c>
      <c r="FX11" s="43">
        <v>92054</v>
      </c>
      <c r="FY11" s="43">
        <v>99310</v>
      </c>
      <c r="FZ11" s="44">
        <f>(FY11-FX11)/FX11*100</f>
        <v>7.8823299367762401</v>
      </c>
      <c r="GA11" s="45">
        <v>83282</v>
      </c>
      <c r="GB11" s="43">
        <v>99310</v>
      </c>
      <c r="GC11" s="44">
        <f>(GB11-GA11)/GA11*100</f>
        <v>19.245455200403448</v>
      </c>
    </row>
    <row r="12" spans="1:185" x14ac:dyDescent="0.5">
      <c r="A12" s="250"/>
      <c r="B12" s="347" t="s">
        <v>524</v>
      </c>
      <c r="C12" s="252">
        <v>27113</v>
      </c>
      <c r="D12" s="252">
        <v>24213</v>
      </c>
      <c r="E12" s="249">
        <f t="shared" si="40"/>
        <v>-10.695976100025819</v>
      </c>
      <c r="F12" s="252">
        <v>25323</v>
      </c>
      <c r="G12" s="252">
        <v>24213</v>
      </c>
      <c r="H12" s="249">
        <f t="shared" si="41"/>
        <v>-4.3833668996564388</v>
      </c>
      <c r="I12" s="250"/>
      <c r="J12" s="347" t="s">
        <v>524</v>
      </c>
      <c r="K12" s="252">
        <v>28201</v>
      </c>
      <c r="L12" s="252">
        <v>25323</v>
      </c>
      <c r="M12" s="249">
        <f t="shared" si="42"/>
        <v>-10.205311868373462</v>
      </c>
      <c r="N12" s="252">
        <v>35187</v>
      </c>
      <c r="O12" s="252">
        <v>25323</v>
      </c>
      <c r="P12" s="249">
        <f t="shared" si="43"/>
        <v>-28.033080399011002</v>
      </c>
      <c r="Q12" s="250"/>
      <c r="R12" s="347" t="s">
        <v>524</v>
      </c>
      <c r="S12" s="252">
        <v>34588</v>
      </c>
      <c r="T12" s="252">
        <v>35187</v>
      </c>
      <c r="U12" s="249">
        <f t="shared" si="44"/>
        <v>1.7318145021394702</v>
      </c>
      <c r="V12" s="252">
        <v>34753</v>
      </c>
      <c r="W12" s="252">
        <v>35187</v>
      </c>
      <c r="X12" s="249">
        <f t="shared" si="45"/>
        <v>1.2488130521106093</v>
      </c>
      <c r="Y12" s="250"/>
      <c r="Z12" s="347" t="s">
        <v>524</v>
      </c>
      <c r="AA12" s="252">
        <v>32889</v>
      </c>
      <c r="AB12" s="252">
        <v>34753</v>
      </c>
      <c r="AC12" s="249">
        <f t="shared" si="46"/>
        <v>5.6675484204445254</v>
      </c>
      <c r="AD12" s="252">
        <v>32704</v>
      </c>
      <c r="AE12" s="252">
        <v>34753</v>
      </c>
      <c r="AF12" s="249">
        <f t="shared" si="47"/>
        <v>6.2652886497064575</v>
      </c>
      <c r="AG12" s="250"/>
      <c r="AH12" s="347" t="s">
        <v>524</v>
      </c>
      <c r="AI12" s="252">
        <v>29650</v>
      </c>
      <c r="AJ12" s="252">
        <v>32704</v>
      </c>
      <c r="AK12" s="249">
        <f t="shared" si="48"/>
        <v>10.300168634064082</v>
      </c>
      <c r="AL12" s="252">
        <v>22643</v>
      </c>
      <c r="AM12" s="252">
        <v>32704</v>
      </c>
      <c r="AN12" s="249">
        <f t="shared" si="49"/>
        <v>44.433158150421761</v>
      </c>
      <c r="AO12" s="250"/>
      <c r="AP12" s="347" t="s">
        <v>524</v>
      </c>
      <c r="AQ12" s="252">
        <v>20162</v>
      </c>
      <c r="AR12" s="252">
        <v>22643</v>
      </c>
      <c r="AS12" s="249">
        <f t="shared" si="9"/>
        <v>12.305326852494792</v>
      </c>
      <c r="AT12" s="252">
        <v>24163</v>
      </c>
      <c r="AU12" s="252">
        <v>22643</v>
      </c>
      <c r="AV12" s="249">
        <f t="shared" si="34"/>
        <v>-6.2906096097338908</v>
      </c>
      <c r="AW12" s="250"/>
      <c r="AX12" s="347" t="s">
        <v>524</v>
      </c>
      <c r="AY12" s="252">
        <v>27277</v>
      </c>
      <c r="AZ12" s="252">
        <v>24163</v>
      </c>
      <c r="BA12" s="249">
        <f t="shared" si="10"/>
        <v>-11.416211460204568</v>
      </c>
      <c r="BB12" s="252">
        <v>28355</v>
      </c>
      <c r="BC12" s="252">
        <v>24163</v>
      </c>
      <c r="BD12" s="249">
        <f t="shared" si="35"/>
        <v>-14.78398871451243</v>
      </c>
      <c r="BE12" s="250"/>
      <c r="BF12" s="250" t="s">
        <v>524</v>
      </c>
      <c r="BG12" s="252">
        <v>25989</v>
      </c>
      <c r="BH12" s="252">
        <v>28355</v>
      </c>
      <c r="BI12" s="249">
        <f t="shared" si="11"/>
        <v>9.1038516295355727</v>
      </c>
      <c r="BJ12" s="252"/>
      <c r="BK12" s="252">
        <v>28355</v>
      </c>
      <c r="BL12" s="249"/>
      <c r="BM12" s="250"/>
      <c r="BN12" s="250" t="s">
        <v>524</v>
      </c>
      <c r="BO12" s="252">
        <v>25989</v>
      </c>
      <c r="BP12" s="252">
        <v>28355</v>
      </c>
      <c r="BQ12" s="249">
        <f t="shared" si="13"/>
        <v>9.1038516295355727</v>
      </c>
      <c r="BR12" s="252"/>
      <c r="BS12" s="252">
        <v>28355</v>
      </c>
      <c r="BT12" s="249"/>
      <c r="BU12" s="250"/>
      <c r="BV12" s="250" t="s">
        <v>438</v>
      </c>
      <c r="BW12" s="252">
        <v>12457</v>
      </c>
      <c r="BX12" s="252">
        <v>12093</v>
      </c>
      <c r="BY12" s="249">
        <f t="shared" si="15"/>
        <v>-2.9220518583928716</v>
      </c>
      <c r="BZ12" s="252">
        <v>7276</v>
      </c>
      <c r="CA12" s="252">
        <v>12093</v>
      </c>
      <c r="CB12" s="249">
        <f t="shared" si="16"/>
        <v>66.203958218801546</v>
      </c>
      <c r="CC12" s="250"/>
      <c r="CD12" s="250" t="s">
        <v>438</v>
      </c>
      <c r="CE12" s="252">
        <v>7130</v>
      </c>
      <c r="CF12" s="252">
        <v>7276</v>
      </c>
      <c r="CG12" s="249">
        <f t="shared" si="17"/>
        <v>2.0476858345021038</v>
      </c>
      <c r="CH12" s="252"/>
      <c r="CI12" s="252">
        <v>7276</v>
      </c>
      <c r="CJ12" s="249"/>
      <c r="CK12" s="249"/>
      <c r="CL12" s="247" t="s">
        <v>2</v>
      </c>
      <c r="CM12" s="247" t="s">
        <v>60</v>
      </c>
      <c r="CN12" s="248">
        <v>82791</v>
      </c>
      <c r="CO12" s="248">
        <v>75277</v>
      </c>
      <c r="CP12" s="249">
        <f t="shared" si="36"/>
        <v>-9.0758657341981621</v>
      </c>
      <c r="CQ12" s="248">
        <v>73615</v>
      </c>
      <c r="CR12" s="248">
        <v>75277</v>
      </c>
      <c r="CS12" s="249">
        <f t="shared" si="37"/>
        <v>2.2576920464579229</v>
      </c>
      <c r="CU12" s="247" t="s">
        <v>2</v>
      </c>
      <c r="CV12" s="247" t="s">
        <v>60</v>
      </c>
      <c r="CW12" s="248">
        <f>SUM(CW15:CW16)</f>
        <v>77360</v>
      </c>
      <c r="CX12" s="248">
        <f>SUM(CX15:CX16)</f>
        <v>73615</v>
      </c>
      <c r="CY12" s="249">
        <f t="shared" si="38"/>
        <v>-4.8410031023784903</v>
      </c>
      <c r="CZ12" s="248">
        <f>SUM(CZ15:CZ16)</f>
        <v>94639</v>
      </c>
      <c r="DA12" s="248">
        <f>SUM(DA15:DA16)</f>
        <v>73615</v>
      </c>
      <c r="DB12" s="249">
        <f t="shared" si="39"/>
        <v>-22.214943099567833</v>
      </c>
      <c r="DC12" s="73"/>
      <c r="DD12" s="229" t="s">
        <v>2</v>
      </c>
      <c r="DE12" s="229" t="s">
        <v>60</v>
      </c>
      <c r="DF12" s="242">
        <f>SUM(DF15:DF16)</f>
        <v>87781</v>
      </c>
      <c r="DG12" s="242">
        <f>SUM(DG15:DG16)</f>
        <v>94639</v>
      </c>
      <c r="DH12" s="231">
        <f t="shared" si="19"/>
        <v>7.8126245998564601</v>
      </c>
      <c r="DI12" s="230">
        <v>71772</v>
      </c>
      <c r="DJ12" s="242">
        <f>SUM(DJ15:DJ16)</f>
        <v>94639</v>
      </c>
      <c r="DK12" s="231">
        <f t="shared" si="20"/>
        <v>31.860614167084655</v>
      </c>
      <c r="DL12" s="73"/>
      <c r="DM12" s="181" t="s">
        <v>2</v>
      </c>
      <c r="DN12" s="181" t="s">
        <v>60</v>
      </c>
      <c r="DO12" s="182">
        <f>SUM(DO15:DO16)</f>
        <v>71341</v>
      </c>
      <c r="DP12" s="182">
        <f>SUM(DP15:DP16)</f>
        <v>71772</v>
      </c>
      <c r="DQ12" s="183">
        <f t="shared" si="21"/>
        <v>0.60414067646935143</v>
      </c>
      <c r="DR12" s="182">
        <v>110450</v>
      </c>
      <c r="DS12" s="182">
        <f>SUM(DS15:DS16)</f>
        <v>71772</v>
      </c>
      <c r="DT12" s="183">
        <f t="shared" si="22"/>
        <v>-35.018560434585787</v>
      </c>
      <c r="DU12" s="73"/>
      <c r="DV12" s="100" t="s">
        <v>2</v>
      </c>
      <c r="DW12" s="100" t="s">
        <v>60</v>
      </c>
      <c r="DX12" s="101">
        <f>SUM(DX15:DX16)</f>
        <v>96419</v>
      </c>
      <c r="DY12" s="101">
        <f>SUM(DY15:DY16)</f>
        <v>110450</v>
      </c>
      <c r="DZ12" s="102">
        <f t="shared" si="23"/>
        <v>14.552111098434956</v>
      </c>
      <c r="EA12" s="101">
        <v>54525</v>
      </c>
      <c r="EB12" s="101">
        <v>110450</v>
      </c>
      <c r="EC12" s="102">
        <f t="shared" si="24"/>
        <v>102.56762952773957</v>
      </c>
      <c r="ED12" s="155"/>
      <c r="EE12" s="120" t="s">
        <v>2</v>
      </c>
      <c r="EF12" s="120" t="s">
        <v>60</v>
      </c>
      <c r="EG12" s="121">
        <f>SUM(EG15:EG16)</f>
        <v>73371</v>
      </c>
      <c r="EH12" s="121">
        <f>SUM(EH15:EH16)</f>
        <v>54525</v>
      </c>
      <c r="EI12" s="125">
        <f t="shared" si="25"/>
        <v>-25.68589769800057</v>
      </c>
      <c r="EJ12" s="121">
        <f>SUM(EJ15:EJ16)</f>
        <v>39550</v>
      </c>
      <c r="EK12" s="121">
        <v>54525</v>
      </c>
      <c r="EL12" s="125">
        <f t="shared" si="26"/>
        <v>37.86346396965866</v>
      </c>
      <c r="EM12" s="127"/>
      <c r="EN12" s="100" t="s">
        <v>2</v>
      </c>
      <c r="EO12" s="100" t="s">
        <v>60</v>
      </c>
      <c r="EP12" s="101">
        <f>SUM(EP15:EP16)</f>
        <v>42325</v>
      </c>
      <c r="EQ12" s="101">
        <f>SUM(EQ15:EQ16)</f>
        <v>39550</v>
      </c>
      <c r="ER12" s="102">
        <f t="shared" si="27"/>
        <v>-6.5564087418783226</v>
      </c>
      <c r="ES12" s="101">
        <f>SUM(ES15:ES16)</f>
        <v>171420</v>
      </c>
      <c r="ET12" s="101">
        <f>SUM(ET15:ET16)</f>
        <v>39550</v>
      </c>
      <c r="EU12" s="102">
        <f t="shared" si="28"/>
        <v>-76.928013067320038</v>
      </c>
      <c r="EV12" s="73"/>
      <c r="EW12" s="74" t="s">
        <v>2</v>
      </c>
      <c r="EX12" s="74" t="s">
        <v>60</v>
      </c>
      <c r="EY12" s="75">
        <f>SUM(EY15:EY16)</f>
        <v>107250</v>
      </c>
      <c r="EZ12" s="75">
        <f>SUM(EZ15:EZ16)</f>
        <v>171420</v>
      </c>
      <c r="FA12" s="76">
        <f t="shared" si="0"/>
        <v>59.832167832167841</v>
      </c>
      <c r="FB12" s="75">
        <v>155669</v>
      </c>
      <c r="FC12" s="75">
        <f>SUM(FC15:FC16)</f>
        <v>171420</v>
      </c>
      <c r="FD12" s="76">
        <f t="shared" si="1"/>
        <v>10.118263751935196</v>
      </c>
      <c r="FE12" s="73"/>
      <c r="FF12" s="63" t="s">
        <v>2</v>
      </c>
      <c r="FG12" s="63" t="s">
        <v>60</v>
      </c>
      <c r="FH12" s="64">
        <v>166723</v>
      </c>
      <c r="FI12" s="64">
        <v>155669</v>
      </c>
      <c r="FJ12" s="65">
        <f t="shared" si="2"/>
        <v>-6.6301590062558855</v>
      </c>
      <c r="FK12" s="64">
        <v>115442</v>
      </c>
      <c r="FL12" s="64">
        <v>155669</v>
      </c>
      <c r="FM12" s="65">
        <f t="shared" si="3"/>
        <v>34.846069887909081</v>
      </c>
      <c r="FN12" s="73"/>
      <c r="FO12" s="20" t="s">
        <v>1</v>
      </c>
      <c r="FP12" s="21">
        <v>55700</v>
      </c>
      <c r="FQ12" s="21">
        <v>55532</v>
      </c>
      <c r="FR12" s="31">
        <f>(FQ12-FP12)/FP12*100</f>
        <v>-0.30161579892280072</v>
      </c>
      <c r="FS12" s="35">
        <v>63421</v>
      </c>
      <c r="FT12" s="35">
        <v>55532</v>
      </c>
      <c r="FU12" s="31">
        <f>(FT12-FS12)/FS12*100</f>
        <v>-12.439097459831917</v>
      </c>
      <c r="FW12" s="42" t="s">
        <v>1</v>
      </c>
      <c r="FX12" s="43">
        <v>60070</v>
      </c>
      <c r="FY12" s="43">
        <v>63421</v>
      </c>
      <c r="FZ12" s="44">
        <f>(FY12-FX12)/FX12*100</f>
        <v>5.578491759613784</v>
      </c>
      <c r="GA12" s="45">
        <v>50482</v>
      </c>
      <c r="GB12" s="43">
        <v>63421</v>
      </c>
      <c r="GC12" s="44">
        <f>(GB12-GA12)/GA12*100</f>
        <v>25.630917950952814</v>
      </c>
    </row>
    <row r="13" spans="1:185" x14ac:dyDescent="0.5">
      <c r="A13" s="250"/>
      <c r="B13" s="250" t="s">
        <v>525</v>
      </c>
      <c r="C13" s="252">
        <v>8118</v>
      </c>
      <c r="D13" s="252">
        <v>7429</v>
      </c>
      <c r="E13" s="249">
        <f t="shared" si="40"/>
        <v>-8.4873121458487315</v>
      </c>
      <c r="F13" s="252">
        <v>6692</v>
      </c>
      <c r="G13" s="252">
        <v>7429</v>
      </c>
      <c r="H13" s="249">
        <f t="shared" si="41"/>
        <v>11.013150029886432</v>
      </c>
      <c r="I13" s="250"/>
      <c r="J13" s="250" t="s">
        <v>525</v>
      </c>
      <c r="K13" s="252">
        <v>7817</v>
      </c>
      <c r="L13" s="252">
        <v>6692</v>
      </c>
      <c r="M13" s="249">
        <f t="shared" si="42"/>
        <v>-14.391710374824102</v>
      </c>
      <c r="N13" s="252">
        <v>8449</v>
      </c>
      <c r="O13" s="252">
        <v>6692</v>
      </c>
      <c r="P13" s="249">
        <f t="shared" si="43"/>
        <v>-20.795360397680199</v>
      </c>
      <c r="Q13" s="250"/>
      <c r="R13" s="250" t="s">
        <v>525</v>
      </c>
      <c r="S13" s="252">
        <v>8936</v>
      </c>
      <c r="T13" s="252">
        <v>8449</v>
      </c>
      <c r="U13" s="249">
        <f t="shared" si="44"/>
        <v>-5.449865711727842</v>
      </c>
      <c r="V13" s="252">
        <v>4568</v>
      </c>
      <c r="W13" s="252">
        <v>8449</v>
      </c>
      <c r="X13" s="249">
        <f t="shared" si="45"/>
        <v>84.960595446584946</v>
      </c>
      <c r="Y13" s="250"/>
      <c r="Z13" s="250" t="s">
        <v>525</v>
      </c>
      <c r="AA13" s="252">
        <v>4825</v>
      </c>
      <c r="AB13" s="252">
        <v>4568</v>
      </c>
      <c r="AC13" s="249">
        <f t="shared" si="46"/>
        <v>-5.3264248704663206</v>
      </c>
      <c r="AD13" s="252">
        <v>5338</v>
      </c>
      <c r="AE13" s="252">
        <v>4568</v>
      </c>
      <c r="AF13" s="249">
        <f t="shared" si="47"/>
        <v>-14.424878231547398</v>
      </c>
      <c r="AG13" s="250"/>
      <c r="AH13" s="250" t="s">
        <v>525</v>
      </c>
      <c r="AI13" s="252">
        <v>5010</v>
      </c>
      <c r="AJ13" s="252">
        <v>5338</v>
      </c>
      <c r="AK13" s="249">
        <f t="shared" si="48"/>
        <v>6.5469061876247503</v>
      </c>
      <c r="AL13" s="252">
        <v>3307</v>
      </c>
      <c r="AM13" s="252">
        <v>5338</v>
      </c>
      <c r="AN13" s="249">
        <f t="shared" si="49"/>
        <v>61.415179921378893</v>
      </c>
      <c r="AO13" s="250"/>
      <c r="AP13" s="250" t="s">
        <v>525</v>
      </c>
      <c r="AQ13" s="252">
        <v>2760</v>
      </c>
      <c r="AR13" s="252">
        <v>3307</v>
      </c>
      <c r="AS13" s="249">
        <f t="shared" si="9"/>
        <v>19.818840579710145</v>
      </c>
      <c r="AT13" s="252">
        <v>3038</v>
      </c>
      <c r="AU13" s="252">
        <v>3307</v>
      </c>
      <c r="AV13" s="249">
        <f t="shared" si="34"/>
        <v>8.8545095457537855</v>
      </c>
      <c r="AW13" s="250"/>
      <c r="AX13" s="250" t="s">
        <v>525</v>
      </c>
      <c r="AY13" s="252">
        <v>3470</v>
      </c>
      <c r="AZ13" s="252">
        <v>3038</v>
      </c>
      <c r="BA13" s="249">
        <f t="shared" si="10"/>
        <v>-12.449567723342939</v>
      </c>
      <c r="BB13" s="252">
        <v>2838</v>
      </c>
      <c r="BC13" s="252">
        <v>3038</v>
      </c>
      <c r="BD13" s="249">
        <f t="shared" si="35"/>
        <v>7.0472163495419311</v>
      </c>
      <c r="BE13" s="250"/>
      <c r="BF13" s="250" t="s">
        <v>525</v>
      </c>
      <c r="BG13" s="252">
        <v>3403</v>
      </c>
      <c r="BH13" s="252">
        <v>2838</v>
      </c>
      <c r="BI13" s="249">
        <f t="shared" si="11"/>
        <v>-16.602997355274756</v>
      </c>
      <c r="BJ13" s="252"/>
      <c r="BK13" s="252">
        <v>2838</v>
      </c>
      <c r="BL13" s="249"/>
      <c r="BM13" s="250"/>
      <c r="BN13" s="250" t="s">
        <v>525</v>
      </c>
      <c r="BO13" s="252">
        <v>3403</v>
      </c>
      <c r="BP13" s="252">
        <v>2838</v>
      </c>
      <c r="BQ13" s="249">
        <f t="shared" si="13"/>
        <v>-16.602997355274756</v>
      </c>
      <c r="BR13" s="252"/>
      <c r="BS13" s="252">
        <v>2838</v>
      </c>
      <c r="BT13" s="249"/>
      <c r="BU13" s="250"/>
      <c r="BV13" s="250"/>
      <c r="BW13" s="252"/>
      <c r="BX13" s="252"/>
      <c r="BY13" s="249"/>
      <c r="BZ13" s="252"/>
      <c r="CA13" s="252"/>
      <c r="CB13" s="249"/>
      <c r="CC13" s="250"/>
      <c r="CD13" s="250"/>
      <c r="CE13" s="252"/>
      <c r="CF13" s="252"/>
      <c r="CG13" s="249"/>
      <c r="CH13" s="252"/>
      <c r="CI13" s="252"/>
      <c r="CJ13" s="249"/>
      <c r="CK13" s="249"/>
      <c r="CL13" s="247"/>
      <c r="CM13" s="247"/>
      <c r="CN13" s="248"/>
      <c r="CO13" s="248"/>
      <c r="CP13" s="249"/>
      <c r="CQ13" s="248"/>
      <c r="CR13" s="248"/>
      <c r="CS13" s="249"/>
      <c r="CU13" s="247"/>
      <c r="CV13" s="247"/>
      <c r="CW13" s="248"/>
      <c r="CX13" s="248"/>
      <c r="CY13" s="249"/>
      <c r="CZ13" s="248"/>
      <c r="DA13" s="248"/>
      <c r="DB13" s="249"/>
      <c r="DC13" s="73"/>
      <c r="DD13" s="229"/>
      <c r="DE13" s="229"/>
      <c r="DF13" s="242"/>
      <c r="DG13" s="242"/>
      <c r="DH13" s="231"/>
      <c r="DI13" s="230"/>
      <c r="DJ13" s="242"/>
      <c r="DK13" s="231"/>
      <c r="DL13" s="73"/>
      <c r="DM13" s="181"/>
      <c r="DN13" s="181"/>
      <c r="DO13" s="182"/>
      <c r="DP13" s="182"/>
      <c r="DQ13" s="183"/>
      <c r="DR13" s="182"/>
      <c r="DS13" s="182"/>
      <c r="DT13" s="183"/>
      <c r="DU13" s="73"/>
      <c r="DV13" s="100"/>
      <c r="DW13" s="100"/>
      <c r="DX13" s="101"/>
      <c r="DY13" s="101"/>
      <c r="DZ13" s="102"/>
      <c r="EA13" s="101"/>
      <c r="EB13" s="101"/>
      <c r="EC13" s="102"/>
      <c r="ED13" s="155"/>
      <c r="EE13" s="120"/>
      <c r="EF13" s="120"/>
      <c r="EG13" s="121"/>
      <c r="EH13" s="121"/>
      <c r="EI13" s="125"/>
      <c r="EJ13" s="121"/>
      <c r="EK13" s="121"/>
      <c r="EL13" s="125"/>
      <c r="EM13" s="127"/>
      <c r="EN13" s="100"/>
      <c r="EO13" s="100"/>
      <c r="EP13" s="101"/>
      <c r="EQ13" s="101"/>
      <c r="ER13" s="102"/>
      <c r="ES13" s="101"/>
      <c r="ET13" s="101"/>
      <c r="EU13" s="102"/>
      <c r="EV13" s="73"/>
      <c r="EW13" s="74"/>
      <c r="EX13" s="74"/>
      <c r="EY13" s="75"/>
      <c r="EZ13" s="75"/>
      <c r="FA13" s="76"/>
      <c r="FB13" s="75"/>
      <c r="FC13" s="75"/>
      <c r="FD13" s="76"/>
      <c r="FE13" s="73"/>
      <c r="FF13" s="63"/>
      <c r="FG13" s="63"/>
      <c r="FH13" s="64"/>
      <c r="FI13" s="64"/>
      <c r="FJ13" s="65"/>
      <c r="FK13" s="64"/>
      <c r="FL13" s="64"/>
      <c r="FM13" s="65"/>
      <c r="FN13" s="73"/>
      <c r="FO13" s="20"/>
      <c r="FP13" s="21"/>
      <c r="FQ13" s="21"/>
      <c r="FR13" s="31"/>
      <c r="FS13" s="35"/>
      <c r="FT13" s="35"/>
      <c r="FU13" s="31"/>
      <c r="FW13" s="42"/>
      <c r="FX13" s="43"/>
      <c r="FY13" s="43"/>
      <c r="FZ13" s="44"/>
      <c r="GA13" s="45"/>
      <c r="GB13" s="43"/>
      <c r="GC13" s="44"/>
    </row>
    <row r="14" spans="1:185" x14ac:dyDescent="0.5">
      <c r="A14" s="250"/>
      <c r="B14" s="321" t="s">
        <v>526</v>
      </c>
      <c r="C14" s="252">
        <v>1058</v>
      </c>
      <c r="D14" s="252">
        <v>923</v>
      </c>
      <c r="E14" s="249">
        <f t="shared" si="40"/>
        <v>-12.759924385633269</v>
      </c>
      <c r="F14" s="252">
        <v>898</v>
      </c>
      <c r="G14" s="252">
        <v>923</v>
      </c>
      <c r="H14" s="249">
        <f t="shared" si="41"/>
        <v>2.783964365256125</v>
      </c>
      <c r="I14" s="250"/>
      <c r="J14" s="321" t="s">
        <v>526</v>
      </c>
      <c r="K14" s="252">
        <v>1011</v>
      </c>
      <c r="L14" s="252">
        <v>898</v>
      </c>
      <c r="M14" s="249">
        <f t="shared" si="42"/>
        <v>-11.177052423343223</v>
      </c>
      <c r="N14" s="252">
        <v>1272</v>
      </c>
      <c r="O14" s="252">
        <v>898</v>
      </c>
      <c r="P14" s="249">
        <f t="shared" si="43"/>
        <v>-29.40251572327044</v>
      </c>
      <c r="Q14" s="250"/>
      <c r="R14" s="321" t="s">
        <v>526</v>
      </c>
      <c r="S14" s="252">
        <v>1361</v>
      </c>
      <c r="T14" s="252">
        <v>1272</v>
      </c>
      <c r="U14" s="249">
        <f t="shared" si="44"/>
        <v>-6.5393093313739898</v>
      </c>
      <c r="V14" s="252">
        <v>1332</v>
      </c>
      <c r="W14" s="252">
        <v>1272</v>
      </c>
      <c r="X14" s="249">
        <f t="shared" si="45"/>
        <v>-4.5045045045045047</v>
      </c>
      <c r="Y14" s="250"/>
      <c r="Z14" s="347" t="s">
        <v>526</v>
      </c>
      <c r="AA14" s="252">
        <v>1320</v>
      </c>
      <c r="AB14" s="252">
        <v>1332</v>
      </c>
      <c r="AC14" s="249">
        <f t="shared" si="46"/>
        <v>0.90909090909090906</v>
      </c>
      <c r="AD14" s="252">
        <v>1723</v>
      </c>
      <c r="AE14" s="252">
        <v>1332</v>
      </c>
      <c r="AF14" s="249">
        <f t="shared" si="47"/>
        <v>-22.692977365060941</v>
      </c>
      <c r="AG14" s="250"/>
      <c r="AH14" s="347" t="s">
        <v>526</v>
      </c>
      <c r="AI14" s="252">
        <v>1167</v>
      </c>
      <c r="AJ14" s="252">
        <v>1723</v>
      </c>
      <c r="AK14" s="249">
        <f t="shared" si="48"/>
        <v>47.643530419880037</v>
      </c>
      <c r="AL14" s="252">
        <v>2048</v>
      </c>
      <c r="AM14" s="252">
        <v>1723</v>
      </c>
      <c r="AN14" s="249">
        <f t="shared" si="49"/>
        <v>-15.869140625</v>
      </c>
      <c r="AO14" s="250"/>
      <c r="AP14" s="250" t="s">
        <v>526</v>
      </c>
      <c r="AQ14" s="252">
        <v>1768</v>
      </c>
      <c r="AR14" s="252">
        <v>2048</v>
      </c>
      <c r="AS14" s="249">
        <f t="shared" si="9"/>
        <v>15.837104072398189</v>
      </c>
      <c r="AT14" s="252">
        <v>2155</v>
      </c>
      <c r="AU14" s="252">
        <v>2048</v>
      </c>
      <c r="AV14" s="249">
        <f t="shared" si="34"/>
        <v>-4.9651972157772626</v>
      </c>
      <c r="AW14" s="250"/>
      <c r="AX14" s="250" t="s">
        <v>526</v>
      </c>
      <c r="AY14" s="252">
        <v>2810</v>
      </c>
      <c r="AZ14" s="252">
        <v>2155</v>
      </c>
      <c r="BA14" s="249">
        <f t="shared" si="10"/>
        <v>-23.309608540925268</v>
      </c>
      <c r="BB14" s="252">
        <v>2483</v>
      </c>
      <c r="BC14" s="252">
        <v>2155</v>
      </c>
      <c r="BD14" s="249">
        <f t="shared" si="35"/>
        <v>-13.209826822392268</v>
      </c>
      <c r="BE14" s="250"/>
      <c r="BF14" s="250" t="s">
        <v>526</v>
      </c>
      <c r="BG14" s="252">
        <v>2867</v>
      </c>
      <c r="BH14" s="252">
        <v>2483</v>
      </c>
      <c r="BI14" s="249">
        <f t="shared" si="11"/>
        <v>-13.393791419602371</v>
      </c>
      <c r="BJ14" s="252"/>
      <c r="BK14" s="252">
        <v>2483</v>
      </c>
      <c r="BL14" s="249"/>
      <c r="BM14" s="250"/>
      <c r="BN14" s="250" t="s">
        <v>526</v>
      </c>
      <c r="BO14" s="252">
        <v>2867</v>
      </c>
      <c r="BP14" s="252">
        <v>2483</v>
      </c>
      <c r="BQ14" s="249">
        <f t="shared" si="13"/>
        <v>-13.393791419602371</v>
      </c>
      <c r="BR14" s="252"/>
      <c r="BS14" s="252">
        <v>2483</v>
      </c>
      <c r="BT14" s="249"/>
      <c r="BU14" s="250"/>
      <c r="BV14" s="250"/>
      <c r="BW14" s="252"/>
      <c r="BX14" s="252"/>
      <c r="BY14" s="249"/>
      <c r="BZ14" s="252"/>
      <c r="CA14" s="252"/>
      <c r="CB14" s="249"/>
      <c r="CC14" s="250"/>
      <c r="CD14" s="250"/>
      <c r="CE14" s="252"/>
      <c r="CF14" s="252"/>
      <c r="CG14" s="249"/>
      <c r="CH14" s="252"/>
      <c r="CI14" s="252"/>
      <c r="CJ14" s="249"/>
      <c r="CK14" s="249"/>
      <c r="CL14" s="247"/>
      <c r="CM14" s="247"/>
      <c r="CN14" s="248"/>
      <c r="CO14" s="248"/>
      <c r="CP14" s="249"/>
      <c r="CQ14" s="248"/>
      <c r="CR14" s="248"/>
      <c r="CS14" s="249"/>
      <c r="CU14" s="247"/>
      <c r="CV14" s="247"/>
      <c r="CW14" s="248"/>
      <c r="CX14" s="248"/>
      <c r="CY14" s="249"/>
      <c r="CZ14" s="248"/>
      <c r="DA14" s="248"/>
      <c r="DB14" s="249"/>
      <c r="DC14" s="73"/>
      <c r="DD14" s="229"/>
      <c r="DE14" s="229"/>
      <c r="DF14" s="242"/>
      <c r="DG14" s="242"/>
      <c r="DH14" s="231"/>
      <c r="DI14" s="230"/>
      <c r="DJ14" s="242"/>
      <c r="DK14" s="231"/>
      <c r="DL14" s="73"/>
      <c r="DM14" s="181"/>
      <c r="DN14" s="181"/>
      <c r="DO14" s="182"/>
      <c r="DP14" s="182"/>
      <c r="DQ14" s="183"/>
      <c r="DR14" s="182"/>
      <c r="DS14" s="182"/>
      <c r="DT14" s="183"/>
      <c r="DU14" s="73"/>
      <c r="DV14" s="100"/>
      <c r="DW14" s="100"/>
      <c r="DX14" s="101"/>
      <c r="DY14" s="101"/>
      <c r="DZ14" s="102"/>
      <c r="EA14" s="101"/>
      <c r="EB14" s="101"/>
      <c r="EC14" s="102"/>
      <c r="ED14" s="155"/>
      <c r="EE14" s="120"/>
      <c r="EF14" s="120"/>
      <c r="EG14" s="121"/>
      <c r="EH14" s="121"/>
      <c r="EI14" s="125"/>
      <c r="EJ14" s="121"/>
      <c r="EK14" s="121"/>
      <c r="EL14" s="125"/>
      <c r="EM14" s="127"/>
      <c r="EN14" s="100"/>
      <c r="EO14" s="100"/>
      <c r="EP14" s="101"/>
      <c r="EQ14" s="101"/>
      <c r="ER14" s="102"/>
      <c r="ES14" s="101"/>
      <c r="ET14" s="101"/>
      <c r="EU14" s="102"/>
      <c r="EV14" s="73"/>
      <c r="EW14" s="74"/>
      <c r="EX14" s="74"/>
      <c r="EY14" s="75"/>
      <c r="EZ14" s="75"/>
      <c r="FA14" s="76"/>
      <c r="FB14" s="75"/>
      <c r="FC14" s="75"/>
      <c r="FD14" s="76"/>
      <c r="FE14" s="73"/>
      <c r="FF14" s="63"/>
      <c r="FG14" s="63"/>
      <c r="FH14" s="64"/>
      <c r="FI14" s="64"/>
      <c r="FJ14" s="65"/>
      <c r="FK14" s="64"/>
      <c r="FL14" s="64"/>
      <c r="FM14" s="65"/>
      <c r="FN14" s="73"/>
      <c r="FO14" s="20"/>
      <c r="FP14" s="21"/>
      <c r="FQ14" s="21"/>
      <c r="FR14" s="31"/>
      <c r="FS14" s="35"/>
      <c r="FT14" s="35"/>
      <c r="FU14" s="31"/>
      <c r="FW14" s="42"/>
      <c r="FX14" s="43"/>
      <c r="FY14" s="43"/>
      <c r="FZ14" s="44"/>
      <c r="GA14" s="45"/>
      <c r="GB14" s="43"/>
      <c r="GC14" s="44"/>
    </row>
    <row r="15" spans="1:185" x14ac:dyDescent="0.5">
      <c r="A15" s="247" t="s">
        <v>2</v>
      </c>
      <c r="B15" s="247" t="s">
        <v>60</v>
      </c>
      <c r="C15" s="248">
        <v>67056</v>
      </c>
      <c r="D15" s="248">
        <f>D16+D17</f>
        <v>65803</v>
      </c>
      <c r="E15" s="249">
        <f t="shared" si="40"/>
        <v>-1.8685874492961108</v>
      </c>
      <c r="F15" s="248">
        <v>54715</v>
      </c>
      <c r="G15" s="248">
        <v>65803</v>
      </c>
      <c r="H15" s="249">
        <f>((G15-F15)/F15)*100</f>
        <v>20.265009595174998</v>
      </c>
      <c r="I15" s="247" t="s">
        <v>2</v>
      </c>
      <c r="J15" s="247" t="s">
        <v>60</v>
      </c>
      <c r="K15" s="248">
        <v>53105</v>
      </c>
      <c r="L15" s="248">
        <v>54715</v>
      </c>
      <c r="M15" s="249">
        <f t="shared" si="42"/>
        <v>3.0317295923171077</v>
      </c>
      <c r="N15" s="248">
        <v>65365</v>
      </c>
      <c r="O15" s="248">
        <v>54715</v>
      </c>
      <c r="P15" s="249">
        <f>((O15-N15)/N15)*100</f>
        <v>-16.293123231086973</v>
      </c>
      <c r="Q15" s="247" t="s">
        <v>2</v>
      </c>
      <c r="R15" s="247" t="s">
        <v>60</v>
      </c>
      <c r="S15" s="248">
        <v>57695</v>
      </c>
      <c r="T15" s="248">
        <v>65365</v>
      </c>
      <c r="U15" s="249">
        <f t="shared" si="44"/>
        <v>13.294046277840369</v>
      </c>
      <c r="V15" s="248">
        <v>79268</v>
      </c>
      <c r="W15" s="248">
        <v>65365</v>
      </c>
      <c r="X15" s="249">
        <f>((W15-V15)/V15)*100</f>
        <v>-17.539233991017813</v>
      </c>
      <c r="Y15" s="247" t="s">
        <v>2</v>
      </c>
      <c r="Z15" s="247" t="s">
        <v>60</v>
      </c>
      <c r="AA15" s="248">
        <v>85809</v>
      </c>
      <c r="AB15" s="248">
        <v>79268</v>
      </c>
      <c r="AC15" s="249">
        <f t="shared" si="46"/>
        <v>-7.6227435350604251</v>
      </c>
      <c r="AD15" s="248">
        <v>95089</v>
      </c>
      <c r="AE15" s="248">
        <v>79268</v>
      </c>
      <c r="AF15" s="249">
        <f>((AE15-AD15)/AD15)*100</f>
        <v>-16.638096940760761</v>
      </c>
      <c r="AG15" s="247" t="s">
        <v>2</v>
      </c>
      <c r="AH15" s="247" t="s">
        <v>60</v>
      </c>
      <c r="AI15" s="248">
        <v>63043</v>
      </c>
      <c r="AJ15" s="248">
        <v>95089</v>
      </c>
      <c r="AK15" s="249">
        <f t="shared" si="48"/>
        <v>50.831971828751811</v>
      </c>
      <c r="AL15" s="248">
        <v>40128</v>
      </c>
      <c r="AM15" s="248">
        <v>95089</v>
      </c>
      <c r="AN15" s="249">
        <f>((AM15-AL15)/AL15)*100</f>
        <v>136.96421451355661</v>
      </c>
      <c r="AO15" s="247" t="s">
        <v>2</v>
      </c>
      <c r="AP15" s="247" t="s">
        <v>60</v>
      </c>
      <c r="AQ15" s="248">
        <v>27370</v>
      </c>
      <c r="AR15" s="248">
        <v>40128</v>
      </c>
      <c r="AS15" s="249">
        <f t="shared" si="9"/>
        <v>46.613080014614546</v>
      </c>
      <c r="AT15" s="248">
        <v>77431</v>
      </c>
      <c r="AU15" s="248">
        <v>40128</v>
      </c>
      <c r="AV15" s="249">
        <f>((AU15-AT15)/AT15)*100</f>
        <v>-48.175795224135037</v>
      </c>
      <c r="AW15" s="247" t="s">
        <v>2</v>
      </c>
      <c r="AX15" s="247" t="s">
        <v>60</v>
      </c>
      <c r="AY15" s="248">
        <v>74152</v>
      </c>
      <c r="AZ15" s="248">
        <v>84965</v>
      </c>
      <c r="BA15" s="249">
        <f t="shared" si="10"/>
        <v>14.5822095155896</v>
      </c>
      <c r="BB15" s="248">
        <v>71011</v>
      </c>
      <c r="BC15" s="248">
        <v>84965</v>
      </c>
      <c r="BD15" s="249">
        <f>((BC15-BB15)/BB15)*100</f>
        <v>19.650476686710512</v>
      </c>
      <c r="BE15" s="247" t="s">
        <v>2</v>
      </c>
      <c r="BF15" s="247" t="s">
        <v>60</v>
      </c>
      <c r="BG15" s="248">
        <v>70931</v>
      </c>
      <c r="BH15" s="248">
        <v>71011</v>
      </c>
      <c r="BI15" s="249">
        <f t="shared" si="11"/>
        <v>0.11278566494198589</v>
      </c>
      <c r="BJ15" s="248">
        <v>61427</v>
      </c>
      <c r="BK15" s="248">
        <v>71011</v>
      </c>
      <c r="BL15" s="249">
        <f t="shared" si="12"/>
        <v>15.602259592687254</v>
      </c>
      <c r="BM15" s="247" t="s">
        <v>2</v>
      </c>
      <c r="BN15" s="247" t="s">
        <v>60</v>
      </c>
      <c r="BO15" s="248">
        <v>70931</v>
      </c>
      <c r="BP15" s="248">
        <v>71011</v>
      </c>
      <c r="BQ15" s="249">
        <f t="shared" si="13"/>
        <v>0.11278566494198589</v>
      </c>
      <c r="BR15" s="248">
        <v>61427</v>
      </c>
      <c r="BS15" s="248">
        <v>71011</v>
      </c>
      <c r="BT15" s="249">
        <f t="shared" si="14"/>
        <v>15.602259592687254</v>
      </c>
      <c r="BU15" s="247" t="s">
        <v>2</v>
      </c>
      <c r="BV15" s="247" t="s">
        <v>60</v>
      </c>
      <c r="BW15" s="248">
        <v>59421</v>
      </c>
      <c r="BX15" s="248">
        <v>61427</v>
      </c>
      <c r="BY15" s="249">
        <f t="shared" si="15"/>
        <v>3.3759108732602954</v>
      </c>
      <c r="BZ15" s="248">
        <v>72320</v>
      </c>
      <c r="CA15" s="248">
        <v>61427</v>
      </c>
      <c r="CB15" s="249">
        <f>((CA15-BZ15)/BZ15)*100</f>
        <v>-15.062223451327434</v>
      </c>
      <c r="CC15" s="247" t="s">
        <v>2</v>
      </c>
      <c r="CD15" s="247" t="s">
        <v>60</v>
      </c>
      <c r="CE15" s="248">
        <v>74354</v>
      </c>
      <c r="CF15" s="248">
        <v>72320</v>
      </c>
      <c r="CG15" s="249">
        <f t="shared" si="17"/>
        <v>-2.735562310030395</v>
      </c>
      <c r="CH15" s="248">
        <v>76112</v>
      </c>
      <c r="CI15" s="248">
        <v>72320</v>
      </c>
      <c r="CJ15" s="249">
        <f t="shared" si="18"/>
        <v>-4.98213159554341</v>
      </c>
      <c r="CK15" s="249"/>
      <c r="CL15" s="250"/>
      <c r="CM15" s="250" t="s">
        <v>61</v>
      </c>
      <c r="CN15" s="252">
        <v>34231</v>
      </c>
      <c r="CO15" s="252">
        <v>29172</v>
      </c>
      <c r="CP15" s="249">
        <f t="shared" si="36"/>
        <v>-14.779001489877597</v>
      </c>
      <c r="CQ15" s="252">
        <v>24476</v>
      </c>
      <c r="CR15" s="252">
        <v>29172</v>
      </c>
      <c r="CS15" s="249">
        <f t="shared" si="37"/>
        <v>19.186141526393204</v>
      </c>
      <c r="CU15" s="250"/>
      <c r="CV15" s="250" t="s">
        <v>61</v>
      </c>
      <c r="CW15" s="252">
        <v>21998</v>
      </c>
      <c r="CX15" s="252">
        <v>24476</v>
      </c>
      <c r="CY15" s="249">
        <f t="shared" si="38"/>
        <v>11.264660423674879</v>
      </c>
      <c r="CZ15" s="252">
        <v>29273</v>
      </c>
      <c r="DA15" s="252">
        <v>24476</v>
      </c>
      <c r="DB15" s="249">
        <f t="shared" si="39"/>
        <v>-16.387114405766408</v>
      </c>
      <c r="DC15" s="73"/>
      <c r="DD15" s="232"/>
      <c r="DE15" s="232" t="s">
        <v>61</v>
      </c>
      <c r="DF15" s="244">
        <v>30499</v>
      </c>
      <c r="DG15" s="244">
        <v>29273</v>
      </c>
      <c r="DH15" s="231">
        <f t="shared" si="19"/>
        <v>-4.0198039279976392</v>
      </c>
      <c r="DI15" s="234">
        <v>28069</v>
      </c>
      <c r="DJ15" s="244">
        <v>29273</v>
      </c>
      <c r="DK15" s="231">
        <f t="shared" si="20"/>
        <v>4.2894296198653326</v>
      </c>
      <c r="DL15" s="73"/>
      <c r="DM15" s="184"/>
      <c r="DN15" s="184" t="s">
        <v>61</v>
      </c>
      <c r="DO15" s="186">
        <v>30615</v>
      </c>
      <c r="DP15" s="186">
        <v>28069</v>
      </c>
      <c r="DQ15" s="183">
        <f t="shared" si="21"/>
        <v>-8.3161848766944306</v>
      </c>
      <c r="DR15" s="186">
        <v>21574</v>
      </c>
      <c r="DS15" s="186">
        <v>28069</v>
      </c>
      <c r="DT15" s="183">
        <f t="shared" si="22"/>
        <v>30.105682766292759</v>
      </c>
      <c r="DU15" s="73"/>
      <c r="DV15" s="103"/>
      <c r="DW15" s="103" t="s">
        <v>61</v>
      </c>
      <c r="DX15" s="105">
        <v>21642</v>
      </c>
      <c r="DY15" s="105">
        <v>21574</v>
      </c>
      <c r="DZ15" s="102">
        <f t="shared" si="23"/>
        <v>-0.31420386285925517</v>
      </c>
      <c r="EA15" s="105">
        <v>12165</v>
      </c>
      <c r="EB15" s="105">
        <v>21574</v>
      </c>
      <c r="EC15" s="102">
        <f t="shared" si="24"/>
        <v>77.344841759145083</v>
      </c>
      <c r="ED15" s="155"/>
      <c r="EE15" s="24"/>
      <c r="EF15" s="24" t="s">
        <v>61</v>
      </c>
      <c r="EG15" s="25">
        <v>12614</v>
      </c>
      <c r="EH15" s="25">
        <v>12165</v>
      </c>
      <c r="EI15" s="128">
        <f t="shared" si="25"/>
        <v>-3.5595370223561122</v>
      </c>
      <c r="EJ15" s="25">
        <v>6702</v>
      </c>
      <c r="EK15" s="25">
        <v>12165</v>
      </c>
      <c r="EL15" s="128">
        <f t="shared" si="26"/>
        <v>81.512981199641899</v>
      </c>
      <c r="EM15" s="130"/>
      <c r="EN15" s="103"/>
      <c r="EO15" s="103" t="s">
        <v>61</v>
      </c>
      <c r="EP15" s="105">
        <v>9083</v>
      </c>
      <c r="EQ15" s="105">
        <v>6702</v>
      </c>
      <c r="ER15" s="102">
        <f t="shared" si="27"/>
        <v>-26.213806011229767</v>
      </c>
      <c r="ES15" s="109">
        <v>12757</v>
      </c>
      <c r="ET15" s="105">
        <v>6702</v>
      </c>
      <c r="EU15" s="102">
        <f t="shared" si="28"/>
        <v>-47.464137336364345</v>
      </c>
      <c r="EV15" s="73"/>
      <c r="EW15" s="77"/>
      <c r="EX15" s="77" t="s">
        <v>61</v>
      </c>
      <c r="EY15" s="80">
        <v>11530</v>
      </c>
      <c r="EZ15" s="80">
        <v>12757</v>
      </c>
      <c r="FA15" s="79">
        <f t="shared" si="0"/>
        <v>10.641803989592367</v>
      </c>
      <c r="FB15" s="81">
        <v>8600</v>
      </c>
      <c r="FC15" s="80">
        <v>12757</v>
      </c>
      <c r="FD15" s="79">
        <f t="shared" si="1"/>
        <v>48.337209302325576</v>
      </c>
      <c r="FE15" s="61"/>
      <c r="FF15" s="42"/>
      <c r="FG15" s="42" t="s">
        <v>61</v>
      </c>
      <c r="FH15" s="43">
        <v>9968</v>
      </c>
      <c r="FI15" s="43">
        <v>8600</v>
      </c>
      <c r="FJ15" s="44">
        <f t="shared" si="2"/>
        <v>-13.723916532905298</v>
      </c>
      <c r="FK15" s="45">
        <v>8482</v>
      </c>
      <c r="FL15" s="43">
        <v>8600</v>
      </c>
      <c r="FM15" s="44">
        <f t="shared" si="3"/>
        <v>1.3911813251591605</v>
      </c>
      <c r="FN15" s="61"/>
      <c r="FO15" s="20" t="s">
        <v>2</v>
      </c>
      <c r="FP15" s="21">
        <v>43377</v>
      </c>
      <c r="FQ15" s="21">
        <v>45780</v>
      </c>
      <c r="FR15" s="31">
        <f>(FQ15-FP15)/FP15*100</f>
        <v>5.5398021993222208</v>
      </c>
      <c r="FS15" s="35">
        <v>37036</v>
      </c>
      <c r="FT15" s="35">
        <v>45780</v>
      </c>
      <c r="FU15" s="31">
        <f>(FT15-FS15)/FS15*100</f>
        <v>23.609461064909816</v>
      </c>
      <c r="FW15" s="42" t="s">
        <v>2</v>
      </c>
      <c r="FX15" s="43">
        <v>36875</v>
      </c>
      <c r="FY15" s="43">
        <v>37036</v>
      </c>
      <c r="FZ15" s="44">
        <f>(FY15-FX15)/FX15*100</f>
        <v>0.43661016949152542</v>
      </c>
      <c r="GA15" s="45">
        <v>30308</v>
      </c>
      <c r="GB15" s="43">
        <v>37036</v>
      </c>
      <c r="GC15" s="44">
        <f>(GB15-GA15)/GA15*100</f>
        <v>22.198759403457831</v>
      </c>
    </row>
    <row r="16" spans="1:185" x14ac:dyDescent="0.5">
      <c r="A16" s="250"/>
      <c r="B16" s="250" t="s">
        <v>61</v>
      </c>
      <c r="C16" s="252">
        <v>34016</v>
      </c>
      <c r="D16" s="252">
        <v>36372</v>
      </c>
      <c r="E16" s="249">
        <f t="shared" si="40"/>
        <v>6.9261523988711202</v>
      </c>
      <c r="F16" s="252">
        <v>27785</v>
      </c>
      <c r="G16" s="252">
        <v>36372</v>
      </c>
      <c r="H16" s="249">
        <f>((G16-F16)/F16)*100</f>
        <v>30.905164657189133</v>
      </c>
      <c r="I16" s="250"/>
      <c r="J16" s="250" t="s">
        <v>61</v>
      </c>
      <c r="K16" s="252">
        <v>29325</v>
      </c>
      <c r="L16" s="252">
        <v>27785</v>
      </c>
      <c r="M16" s="249">
        <f t="shared" si="42"/>
        <v>-5.2514919011082695</v>
      </c>
      <c r="N16" s="252">
        <v>40100</v>
      </c>
      <c r="O16" s="252">
        <v>27785</v>
      </c>
      <c r="P16" s="249">
        <f>((O16-N16)/N16)*100</f>
        <v>-30.710723192019952</v>
      </c>
      <c r="Q16" s="250"/>
      <c r="R16" s="250" t="s">
        <v>61</v>
      </c>
      <c r="S16" s="252">
        <v>38125</v>
      </c>
      <c r="T16" s="252">
        <v>40100</v>
      </c>
      <c r="U16" s="249">
        <f t="shared" si="44"/>
        <v>5.1803278688524594</v>
      </c>
      <c r="V16" s="252">
        <v>25061</v>
      </c>
      <c r="W16" s="252">
        <v>40100</v>
      </c>
      <c r="X16" s="249">
        <f>((W16-V16)/V16)*100</f>
        <v>60.009576633015435</v>
      </c>
      <c r="Y16" s="250"/>
      <c r="Z16" s="250" t="s">
        <v>61</v>
      </c>
      <c r="AA16" s="252">
        <v>28529</v>
      </c>
      <c r="AB16" s="252">
        <v>25061</v>
      </c>
      <c r="AC16" s="249">
        <f t="shared" si="46"/>
        <v>-12.156051736829191</v>
      </c>
      <c r="AD16" s="252">
        <v>52139</v>
      </c>
      <c r="AE16" s="252">
        <v>25061</v>
      </c>
      <c r="AF16" s="249">
        <f>((AE16-AD16)/AD16)*100</f>
        <v>-51.934252670745508</v>
      </c>
      <c r="AG16" s="250"/>
      <c r="AH16" s="250" t="s">
        <v>61</v>
      </c>
      <c r="AI16" s="252">
        <v>37493</v>
      </c>
      <c r="AJ16" s="252">
        <v>52139</v>
      </c>
      <c r="AK16" s="249">
        <f t="shared" si="48"/>
        <v>39.063291814472038</v>
      </c>
      <c r="AL16" s="252">
        <v>26148</v>
      </c>
      <c r="AM16" s="252">
        <v>52139</v>
      </c>
      <c r="AN16" s="249">
        <f>((AM16-AL16)/AL16)*100</f>
        <v>99.3995716689613</v>
      </c>
      <c r="AO16" s="250"/>
      <c r="AP16" s="250" t="s">
        <v>61</v>
      </c>
      <c r="AQ16" s="252">
        <v>15090</v>
      </c>
      <c r="AR16" s="252">
        <v>26148</v>
      </c>
      <c r="AS16" s="249">
        <f t="shared" si="9"/>
        <v>73.280318091451292</v>
      </c>
      <c r="AT16" s="252">
        <v>31319</v>
      </c>
      <c r="AU16" s="252">
        <v>26148</v>
      </c>
      <c r="AV16" s="249">
        <f>((AU16-AT16)/AT16)*100</f>
        <v>-16.510744276637183</v>
      </c>
      <c r="AW16" s="250"/>
      <c r="AX16" s="250" t="s">
        <v>61</v>
      </c>
      <c r="AY16" s="252">
        <v>33892</v>
      </c>
      <c r="AZ16" s="252">
        <v>38853</v>
      </c>
      <c r="BA16" s="249">
        <f t="shared" si="10"/>
        <v>14.637672607104921</v>
      </c>
      <c r="BB16" s="252">
        <v>30953</v>
      </c>
      <c r="BC16" s="252">
        <v>38853</v>
      </c>
      <c r="BD16" s="249">
        <f>((BC16-BB16)/BB16)*100</f>
        <v>25.522566471747488</v>
      </c>
      <c r="BE16" s="250"/>
      <c r="BF16" s="250" t="s">
        <v>61</v>
      </c>
      <c r="BG16" s="252">
        <v>32050</v>
      </c>
      <c r="BH16" s="252">
        <v>30953</v>
      </c>
      <c r="BI16" s="249">
        <f t="shared" si="11"/>
        <v>-3.422776911076443</v>
      </c>
      <c r="BJ16" s="252">
        <v>26095</v>
      </c>
      <c r="BK16" s="252">
        <v>30953</v>
      </c>
      <c r="BL16" s="249">
        <f t="shared" si="12"/>
        <v>18.616593217091395</v>
      </c>
      <c r="BM16" s="250"/>
      <c r="BN16" s="250" t="s">
        <v>61</v>
      </c>
      <c r="BO16" s="252">
        <v>32050</v>
      </c>
      <c r="BP16" s="252">
        <v>30953</v>
      </c>
      <c r="BQ16" s="249">
        <f t="shared" si="13"/>
        <v>-3.422776911076443</v>
      </c>
      <c r="BR16" s="252">
        <v>26095</v>
      </c>
      <c r="BS16" s="252">
        <v>30953</v>
      </c>
      <c r="BT16" s="249">
        <f t="shared" si="14"/>
        <v>18.616593217091395</v>
      </c>
      <c r="BU16" s="250"/>
      <c r="BV16" s="250" t="s">
        <v>61</v>
      </c>
      <c r="BW16" s="252">
        <v>24525</v>
      </c>
      <c r="BX16" s="252">
        <v>26095</v>
      </c>
      <c r="BY16" s="249">
        <f t="shared" si="15"/>
        <v>6.4016309887869518</v>
      </c>
      <c r="BZ16" s="252">
        <v>23176</v>
      </c>
      <c r="CA16" s="252">
        <v>26095</v>
      </c>
      <c r="CB16" s="249">
        <f>((CA16-BZ16)/BZ16)*100</f>
        <v>12.594925785295134</v>
      </c>
      <c r="CC16" s="250"/>
      <c r="CD16" s="250" t="s">
        <v>61</v>
      </c>
      <c r="CE16" s="252">
        <v>26290</v>
      </c>
      <c r="CF16" s="252">
        <v>23176</v>
      </c>
      <c r="CG16" s="249">
        <f t="shared" si="17"/>
        <v>-11.844807911753518</v>
      </c>
      <c r="CH16" s="252">
        <v>30007</v>
      </c>
      <c r="CI16" s="252">
        <v>23176</v>
      </c>
      <c r="CJ16" s="249">
        <f t="shared" si="18"/>
        <v>-22.764688239410805</v>
      </c>
      <c r="CK16" s="249"/>
      <c r="CL16" s="250"/>
      <c r="CM16" s="250" t="s">
        <v>62</v>
      </c>
      <c r="CN16" s="252">
        <v>48560</v>
      </c>
      <c r="CO16" s="252">
        <v>46105</v>
      </c>
      <c r="CP16" s="249">
        <f t="shared" si="36"/>
        <v>-5.0556013179571666</v>
      </c>
      <c r="CQ16" s="252">
        <v>49139</v>
      </c>
      <c r="CR16" s="252">
        <v>46105</v>
      </c>
      <c r="CS16" s="249">
        <f t="shared" si="37"/>
        <v>-6.1743218217708948</v>
      </c>
      <c r="CU16" s="250"/>
      <c r="CV16" s="250" t="s">
        <v>62</v>
      </c>
      <c r="CW16" s="252">
        <v>55362</v>
      </c>
      <c r="CX16" s="252">
        <v>49139</v>
      </c>
      <c r="CY16" s="249">
        <f t="shared" si="38"/>
        <v>-11.240562118420577</v>
      </c>
      <c r="CZ16" s="252">
        <v>65366</v>
      </c>
      <c r="DA16" s="252">
        <v>49139</v>
      </c>
      <c r="DB16" s="249">
        <f t="shared" si="39"/>
        <v>-24.824832481718325</v>
      </c>
      <c r="DC16" s="73"/>
      <c r="DD16" s="232"/>
      <c r="DE16" s="232" t="s">
        <v>62</v>
      </c>
      <c r="DF16" s="244">
        <v>57282</v>
      </c>
      <c r="DG16" s="244">
        <v>65366</v>
      </c>
      <c r="DH16" s="231">
        <f t="shared" si="19"/>
        <v>14.112635731992599</v>
      </c>
      <c r="DI16" s="234">
        <v>43703</v>
      </c>
      <c r="DJ16" s="244">
        <v>65366</v>
      </c>
      <c r="DK16" s="231">
        <f t="shared" si="20"/>
        <v>49.568679495686794</v>
      </c>
      <c r="DL16" s="73"/>
      <c r="DM16" s="184"/>
      <c r="DN16" s="184" t="s">
        <v>62</v>
      </c>
      <c r="DO16" s="186">
        <v>40726</v>
      </c>
      <c r="DP16" s="186">
        <v>43703</v>
      </c>
      <c r="DQ16" s="183">
        <f t="shared" si="21"/>
        <v>7.3098266463684132</v>
      </c>
      <c r="DR16" s="186">
        <v>88876</v>
      </c>
      <c r="DS16" s="186">
        <v>43703</v>
      </c>
      <c r="DT16" s="183">
        <f t="shared" si="22"/>
        <v>-50.826994914262571</v>
      </c>
      <c r="DU16" s="73"/>
      <c r="DV16" s="103"/>
      <c r="DW16" s="103" t="s">
        <v>62</v>
      </c>
      <c r="DX16" s="105">
        <v>74777</v>
      </c>
      <c r="DY16" s="105">
        <v>88876</v>
      </c>
      <c r="DZ16" s="102">
        <f t="shared" si="23"/>
        <v>18.854728058092729</v>
      </c>
      <c r="EA16" s="105">
        <v>42360</v>
      </c>
      <c r="EB16" s="105">
        <v>88876</v>
      </c>
      <c r="EC16" s="102">
        <f t="shared" si="24"/>
        <v>109.81114258734654</v>
      </c>
      <c r="ED16" s="155"/>
      <c r="EE16" s="24"/>
      <c r="EF16" s="24" t="s">
        <v>62</v>
      </c>
      <c r="EG16" s="25">
        <v>60757</v>
      </c>
      <c r="EH16" s="25">
        <v>42360</v>
      </c>
      <c r="EI16" s="128">
        <f t="shared" si="25"/>
        <v>-30.279638560165907</v>
      </c>
      <c r="EJ16" s="25">
        <v>32848</v>
      </c>
      <c r="EK16" s="25">
        <v>42360</v>
      </c>
      <c r="EL16" s="128">
        <f t="shared" si="26"/>
        <v>28.957622990745254</v>
      </c>
      <c r="EM16" s="130"/>
      <c r="EN16" s="103"/>
      <c r="EO16" s="103" t="s">
        <v>62</v>
      </c>
      <c r="EP16" s="105">
        <v>33242</v>
      </c>
      <c r="EQ16" s="105">
        <v>32848</v>
      </c>
      <c r="ER16" s="102">
        <f t="shared" si="27"/>
        <v>-1.1852475783647194</v>
      </c>
      <c r="ES16" s="109">
        <v>158663</v>
      </c>
      <c r="ET16" s="105">
        <v>32848</v>
      </c>
      <c r="EU16" s="102">
        <f t="shared" si="28"/>
        <v>-79.297000560937335</v>
      </c>
      <c r="EV16" s="73"/>
      <c r="EW16" s="77"/>
      <c r="EX16" s="77" t="s">
        <v>62</v>
      </c>
      <c r="EY16" s="80">
        <v>95720</v>
      </c>
      <c r="EZ16" s="80">
        <v>158663</v>
      </c>
      <c r="FA16" s="79">
        <f t="shared" si="0"/>
        <v>65.757417467613877</v>
      </c>
      <c r="FB16" s="81">
        <v>147069</v>
      </c>
      <c r="FC16" s="80">
        <v>158663</v>
      </c>
      <c r="FD16" s="79">
        <f t="shared" si="1"/>
        <v>7.8833744704866424</v>
      </c>
      <c r="FE16" s="61"/>
      <c r="FF16" s="42"/>
      <c r="FG16" s="42" t="s">
        <v>62</v>
      </c>
      <c r="FH16" s="43">
        <v>156755</v>
      </c>
      <c r="FI16" s="43">
        <v>147069</v>
      </c>
      <c r="FJ16" s="44">
        <f t="shared" si="2"/>
        <v>-6.1790692481898501</v>
      </c>
      <c r="FK16" s="45">
        <v>106960</v>
      </c>
      <c r="FL16" s="43">
        <v>147069</v>
      </c>
      <c r="FM16" s="44">
        <f t="shared" si="3"/>
        <v>37.499065071054602</v>
      </c>
      <c r="FN16" s="61"/>
    </row>
    <row r="17" spans="1:170" x14ac:dyDescent="0.5">
      <c r="A17" s="250"/>
      <c r="B17" s="250" t="s">
        <v>62</v>
      </c>
      <c r="C17" s="252">
        <v>33040</v>
      </c>
      <c r="D17" s="252">
        <v>29431</v>
      </c>
      <c r="E17" s="249">
        <f t="shared" si="40"/>
        <v>-10.92312348668281</v>
      </c>
      <c r="F17" s="252">
        <v>26930</v>
      </c>
      <c r="G17" s="252">
        <v>29431</v>
      </c>
      <c r="H17" s="249">
        <f>((G17-F17)/F17)*100</f>
        <v>9.28704047530635</v>
      </c>
      <c r="I17" s="250"/>
      <c r="J17" s="250" t="s">
        <v>62</v>
      </c>
      <c r="K17" s="252">
        <v>23780</v>
      </c>
      <c r="L17" s="252">
        <v>26930</v>
      </c>
      <c r="M17" s="249">
        <f t="shared" si="42"/>
        <v>13.246425567703954</v>
      </c>
      <c r="N17" s="252">
        <v>25265</v>
      </c>
      <c r="O17" s="252">
        <v>26930</v>
      </c>
      <c r="P17" s="249">
        <f>((O17-N17)/N17)*100</f>
        <v>6.5901444686324959</v>
      </c>
      <c r="Q17" s="250"/>
      <c r="R17" s="250" t="s">
        <v>62</v>
      </c>
      <c r="S17" s="252">
        <v>19570</v>
      </c>
      <c r="T17" s="252">
        <v>25265</v>
      </c>
      <c r="U17" s="249">
        <f t="shared" si="44"/>
        <v>29.100664282064386</v>
      </c>
      <c r="V17" s="252">
        <v>54207</v>
      </c>
      <c r="W17" s="252">
        <v>25265</v>
      </c>
      <c r="X17" s="249">
        <f>((W17-V17)/V17)*100</f>
        <v>-53.391628387477631</v>
      </c>
      <c r="Y17" s="250"/>
      <c r="Z17" s="250" t="s">
        <v>62</v>
      </c>
      <c r="AA17" s="252">
        <v>57280</v>
      </c>
      <c r="AB17" s="252">
        <v>54207</v>
      </c>
      <c r="AC17" s="249">
        <f t="shared" si="46"/>
        <v>-5.3648743016759779</v>
      </c>
      <c r="AD17" s="252">
        <v>42950</v>
      </c>
      <c r="AE17" s="252">
        <v>54207</v>
      </c>
      <c r="AF17" s="249">
        <f>((AE17-AD17)/AD17)*100</f>
        <v>26.209545983701982</v>
      </c>
      <c r="AG17" s="250"/>
      <c r="AH17" s="250" t="s">
        <v>62</v>
      </c>
      <c r="AI17" s="252">
        <v>25550</v>
      </c>
      <c r="AJ17" s="252">
        <v>42950</v>
      </c>
      <c r="AK17" s="249">
        <f t="shared" si="48"/>
        <v>68.101761252446181</v>
      </c>
      <c r="AL17" s="252">
        <v>13980</v>
      </c>
      <c r="AM17" s="252">
        <v>42950</v>
      </c>
      <c r="AN17" s="249">
        <f>((AM17-AL17)/AL17)*100</f>
        <v>207.22460658082977</v>
      </c>
      <c r="AO17" s="250"/>
      <c r="AP17" s="250" t="s">
        <v>62</v>
      </c>
      <c r="AQ17" s="252">
        <v>12280</v>
      </c>
      <c r="AR17" s="252">
        <v>13980</v>
      </c>
      <c r="AS17" s="249">
        <f t="shared" si="9"/>
        <v>13.843648208469055</v>
      </c>
      <c r="AT17" s="252">
        <v>46112</v>
      </c>
      <c r="AU17" s="252">
        <v>13980</v>
      </c>
      <c r="AV17" s="249">
        <f>((AU17-AT17)/AT17)*100</f>
        <v>-69.682512144344216</v>
      </c>
      <c r="AW17" s="250"/>
      <c r="AX17" s="250" t="s">
        <v>62</v>
      </c>
      <c r="AY17" s="252">
        <v>40260</v>
      </c>
      <c r="AZ17" s="252">
        <v>46112</v>
      </c>
      <c r="BA17" s="249">
        <f t="shared" si="10"/>
        <v>14.535519125683061</v>
      </c>
      <c r="BB17" s="252">
        <v>40058</v>
      </c>
      <c r="BC17" s="252">
        <v>46112</v>
      </c>
      <c r="BD17" s="249">
        <f>((BC17-BB17)/BB17)*100</f>
        <v>15.113086025263367</v>
      </c>
      <c r="BE17" s="250"/>
      <c r="BF17" s="250" t="s">
        <v>62</v>
      </c>
      <c r="BG17" s="252">
        <v>38881</v>
      </c>
      <c r="BH17" s="252">
        <v>40058</v>
      </c>
      <c r="BI17" s="249">
        <f t="shared" si="11"/>
        <v>3.0271855147758546</v>
      </c>
      <c r="BJ17" s="252">
        <v>35332</v>
      </c>
      <c r="BK17" s="252">
        <v>40058</v>
      </c>
      <c r="BL17" s="249">
        <f t="shared" si="12"/>
        <v>13.375976451941582</v>
      </c>
      <c r="BM17" s="250"/>
      <c r="BN17" s="250" t="s">
        <v>62</v>
      </c>
      <c r="BO17" s="252">
        <v>38881</v>
      </c>
      <c r="BP17" s="252">
        <v>40058</v>
      </c>
      <c r="BQ17" s="249">
        <f t="shared" si="13"/>
        <v>3.0271855147758546</v>
      </c>
      <c r="BR17" s="252">
        <v>35332</v>
      </c>
      <c r="BS17" s="252">
        <v>40058</v>
      </c>
      <c r="BT17" s="249">
        <f t="shared" si="14"/>
        <v>13.375976451941582</v>
      </c>
      <c r="BU17" s="250"/>
      <c r="BV17" s="250" t="s">
        <v>62</v>
      </c>
      <c r="BW17" s="252">
        <v>34896</v>
      </c>
      <c r="BX17" s="252">
        <v>35332</v>
      </c>
      <c r="BY17" s="249">
        <f t="shared" si="15"/>
        <v>1.2494268684089866</v>
      </c>
      <c r="BZ17" s="252">
        <v>49144</v>
      </c>
      <c r="CA17" s="252">
        <v>35332</v>
      </c>
      <c r="CB17" s="249">
        <f>((CA17-BZ17)/BZ17)*100</f>
        <v>-28.105160345108253</v>
      </c>
      <c r="CC17" s="250"/>
      <c r="CD17" s="250" t="s">
        <v>62</v>
      </c>
      <c r="CE17" s="252">
        <v>48064</v>
      </c>
      <c r="CF17" s="252">
        <v>49144</v>
      </c>
      <c r="CG17" s="249">
        <f t="shared" si="17"/>
        <v>2.2470039946737681</v>
      </c>
      <c r="CH17" s="252">
        <v>46105</v>
      </c>
      <c r="CI17" s="252">
        <v>49144</v>
      </c>
      <c r="CJ17" s="249">
        <f t="shared" si="18"/>
        <v>6.591475978744171</v>
      </c>
      <c r="CK17" s="249"/>
      <c r="CL17" s="250"/>
      <c r="CM17" s="250" t="s">
        <v>63</v>
      </c>
      <c r="CN17" s="256">
        <v>4089.61</v>
      </c>
      <c r="CO17" s="256">
        <v>3458.47</v>
      </c>
      <c r="CP17" s="249">
        <f t="shared" si="36"/>
        <v>-15.432767427700938</v>
      </c>
      <c r="CQ17" s="256">
        <v>3884.82</v>
      </c>
      <c r="CR17" s="256">
        <v>3458.47</v>
      </c>
      <c r="CS17" s="249">
        <f t="shared" si="37"/>
        <v>-10.974768457740652</v>
      </c>
      <c r="CU17" s="250"/>
      <c r="CV17" s="250" t="s">
        <v>63</v>
      </c>
      <c r="CW17" s="256">
        <v>3789.56</v>
      </c>
      <c r="CX17" s="256">
        <v>3884.82</v>
      </c>
      <c r="CY17" s="249">
        <f t="shared" si="38"/>
        <v>2.5137482979554413</v>
      </c>
      <c r="CZ17" s="256">
        <v>4243.55</v>
      </c>
      <c r="DA17" s="256">
        <v>3884.82</v>
      </c>
      <c r="DB17" s="249">
        <f t="shared" si="39"/>
        <v>-8.4535353654369576</v>
      </c>
      <c r="DC17" s="73"/>
      <c r="DD17" s="232"/>
      <c r="DE17" s="232" t="s">
        <v>63</v>
      </c>
      <c r="DF17" s="243">
        <v>3050.48</v>
      </c>
      <c r="DG17" s="243">
        <v>2993.55</v>
      </c>
      <c r="DH17" s="231">
        <f t="shared" si="19"/>
        <v>-1.8662636699798012</v>
      </c>
      <c r="DI17" s="235">
        <v>2390.3000000000002</v>
      </c>
      <c r="DJ17" s="243">
        <v>2993.55</v>
      </c>
      <c r="DK17" s="231">
        <f t="shared" si="20"/>
        <v>25.237417897335064</v>
      </c>
      <c r="DL17" s="73"/>
      <c r="DM17" s="184"/>
      <c r="DN17" s="184" t="s">
        <v>63</v>
      </c>
      <c r="DO17" s="187">
        <v>2566.52</v>
      </c>
      <c r="DP17" s="187">
        <v>2390.3000000000002</v>
      </c>
      <c r="DQ17" s="183">
        <f t="shared" si="21"/>
        <v>-6.8661066346648303</v>
      </c>
      <c r="DR17" s="187">
        <v>1893.01</v>
      </c>
      <c r="DS17" s="187">
        <v>2390.3000000000002</v>
      </c>
      <c r="DT17" s="183">
        <f t="shared" si="22"/>
        <v>26.269803117785973</v>
      </c>
      <c r="DU17" s="73"/>
      <c r="DV17" s="103"/>
      <c r="DW17" s="103" t="s">
        <v>63</v>
      </c>
      <c r="DX17" s="106">
        <v>1918.92</v>
      </c>
      <c r="DY17" s="106">
        <v>1893.01</v>
      </c>
      <c r="DZ17" s="102">
        <f t="shared" si="23"/>
        <v>-1.350238675921877</v>
      </c>
      <c r="EA17" s="106">
        <v>1732.64</v>
      </c>
      <c r="EB17" s="106">
        <v>1893.01</v>
      </c>
      <c r="EC17" s="102">
        <f t="shared" si="24"/>
        <v>9.2558177117000575</v>
      </c>
      <c r="ED17" s="155"/>
      <c r="EE17" s="24"/>
      <c r="EF17" s="24" t="s">
        <v>63</v>
      </c>
      <c r="EG17" s="124">
        <v>1973.94</v>
      </c>
      <c r="EH17" s="124">
        <v>1732.64</v>
      </c>
      <c r="EI17" s="125">
        <f t="shared" si="25"/>
        <v>-12.224282399667667</v>
      </c>
      <c r="EJ17" s="124">
        <v>1228.9100000000001</v>
      </c>
      <c r="EK17" s="124">
        <v>1732.64</v>
      </c>
      <c r="EL17" s="125">
        <f t="shared" si="26"/>
        <v>40.989982993058888</v>
      </c>
      <c r="EM17" s="127"/>
      <c r="EN17" s="103"/>
      <c r="EO17" s="103" t="s">
        <v>63</v>
      </c>
      <c r="EP17" s="106">
        <v>1561.64</v>
      </c>
      <c r="EQ17" s="106">
        <v>1228.9100000000001</v>
      </c>
      <c r="ER17" s="102">
        <f t="shared" si="27"/>
        <v>-21.306447068466483</v>
      </c>
      <c r="ES17" s="110">
        <v>2222.11</v>
      </c>
      <c r="ET17" s="106">
        <v>1228.9100000000001</v>
      </c>
      <c r="EU17" s="102">
        <f t="shared" si="28"/>
        <v>-44.696257160986633</v>
      </c>
      <c r="EV17" s="73"/>
      <c r="EW17" s="77"/>
      <c r="EX17" s="77" t="s">
        <v>63</v>
      </c>
      <c r="EY17" s="82">
        <v>2185.6</v>
      </c>
      <c r="EZ17" s="82">
        <v>2222.11</v>
      </c>
      <c r="FA17" s="79">
        <f t="shared" si="0"/>
        <v>1.6704795021962033</v>
      </c>
      <c r="FB17" s="83">
        <v>2375.65</v>
      </c>
      <c r="FC17" s="82">
        <v>2222.11</v>
      </c>
      <c r="FD17" s="79">
        <f t="shared" si="1"/>
        <v>-6.4630732641592807</v>
      </c>
      <c r="FE17" s="61"/>
      <c r="FF17" s="42"/>
      <c r="FG17" s="42" t="s">
        <v>63</v>
      </c>
      <c r="FH17" s="66">
        <v>2467.9899999999998</v>
      </c>
      <c r="FI17" s="66">
        <v>3484.3</v>
      </c>
      <c r="FJ17" s="44">
        <f t="shared" si="2"/>
        <v>41.179664423275639</v>
      </c>
      <c r="FK17" s="67">
        <v>1738.41</v>
      </c>
      <c r="FL17" s="66">
        <v>3484.3</v>
      </c>
      <c r="FM17" s="44">
        <f t="shared" si="3"/>
        <v>100.43027824276207</v>
      </c>
      <c r="FN17" s="61"/>
    </row>
    <row r="18" spans="1:170" x14ac:dyDescent="0.5">
      <c r="A18" s="250"/>
      <c r="B18" s="250" t="s">
        <v>63</v>
      </c>
      <c r="C18" s="256">
        <v>4792.5427019983399</v>
      </c>
      <c r="D18" s="256">
        <v>5074.1727086684996</v>
      </c>
      <c r="E18" s="249">
        <f t="shared" si="40"/>
        <v>5.8764214360099247</v>
      </c>
      <c r="F18" s="256">
        <v>4429.0249201207162</v>
      </c>
      <c r="G18" s="256">
        <v>5074.1727086684996</v>
      </c>
      <c r="H18" s="249">
        <f>((G18-F18)/F18)*100</f>
        <v>14.566361675160758</v>
      </c>
      <c r="I18" s="250"/>
      <c r="J18" s="250" t="s">
        <v>63</v>
      </c>
      <c r="K18" s="256">
        <v>4608.6041647983666</v>
      </c>
      <c r="L18" s="256">
        <v>4429.0249201207162</v>
      </c>
      <c r="M18" s="249">
        <f t="shared" si="42"/>
        <v>-3.8966081324432271</v>
      </c>
      <c r="N18" s="256">
        <v>5602.4912697884101</v>
      </c>
      <c r="O18" s="256">
        <v>4429.0249201207162</v>
      </c>
      <c r="P18" s="249">
        <f>((O18-N18)/N18)*100</f>
        <v>-20.945438255221276</v>
      </c>
      <c r="Q18" s="250"/>
      <c r="R18" s="250" t="s">
        <v>63</v>
      </c>
      <c r="S18" s="256">
        <v>5384.3910988084044</v>
      </c>
      <c r="T18" s="256">
        <v>5602.4912697884101</v>
      </c>
      <c r="U18" s="249">
        <f t="shared" si="44"/>
        <v>4.0506004667505024</v>
      </c>
      <c r="V18" s="256">
        <v>5139.9834543445904</v>
      </c>
      <c r="W18" s="256">
        <v>5602.4912697884101</v>
      </c>
      <c r="X18" s="249">
        <f>((W18-V18)/V18)*100</f>
        <v>8.9982354914563629</v>
      </c>
      <c r="Y18" s="250"/>
      <c r="Z18" s="250" t="s">
        <v>63</v>
      </c>
      <c r="AA18" s="256">
        <v>5480.0204435434098</v>
      </c>
      <c r="AB18" s="256">
        <v>5139.9834543445904</v>
      </c>
      <c r="AC18" s="249">
        <f t="shared" si="46"/>
        <v>-6.2050313990972938</v>
      </c>
      <c r="AD18" s="256">
        <v>7190.41</v>
      </c>
      <c r="AE18" s="256">
        <v>5139.9834543445904</v>
      </c>
      <c r="AF18" s="249">
        <f>((AE18-AD18)/AD18)*100</f>
        <v>-28.516128366190657</v>
      </c>
      <c r="AG18" s="250"/>
      <c r="AH18" s="250" t="s">
        <v>63</v>
      </c>
      <c r="AI18" s="256">
        <v>5294.6274662885089</v>
      </c>
      <c r="AJ18" s="256">
        <v>7190.41</v>
      </c>
      <c r="AK18" s="249">
        <f t="shared" si="48"/>
        <v>35.805777569473065</v>
      </c>
      <c r="AL18" s="256">
        <v>4668.1696049581396</v>
      </c>
      <c r="AM18" s="256">
        <v>7190.41</v>
      </c>
      <c r="AN18" s="249">
        <f>((AM18-AL18)/AL18)*100</f>
        <v>54.030607464710521</v>
      </c>
      <c r="AO18" s="250"/>
      <c r="AP18" s="250" t="s">
        <v>63</v>
      </c>
      <c r="AQ18" s="256">
        <v>2575.3288745813002</v>
      </c>
      <c r="AR18" s="256">
        <v>4668.1696049581396</v>
      </c>
      <c r="AS18" s="249">
        <f t="shared" si="9"/>
        <v>81.264989145011469</v>
      </c>
      <c r="AT18" s="256">
        <v>5430.079706444908</v>
      </c>
      <c r="AU18" s="256">
        <v>4668.1696049581396</v>
      </c>
      <c r="AV18" s="249">
        <f>((AU18-AT18)/AT18)*100</f>
        <v>-14.031287617794352</v>
      </c>
      <c r="AW18" s="250"/>
      <c r="AX18" s="250" t="s">
        <v>63</v>
      </c>
      <c r="AY18" s="256">
        <v>5940.2551984503898</v>
      </c>
      <c r="AZ18" s="256">
        <v>6494.3146469559397</v>
      </c>
      <c r="BA18" s="249">
        <f t="shared" si="10"/>
        <v>9.3271994215010334</v>
      </c>
      <c r="BB18" s="256">
        <v>4734.75</v>
      </c>
      <c r="BC18" s="256">
        <v>6494.3146469559397</v>
      </c>
      <c r="BD18" s="249">
        <f>((BC18-BB18)/BB18)*100</f>
        <v>37.1627783294987</v>
      </c>
      <c r="BE18" s="250"/>
      <c r="BF18" s="250" t="s">
        <v>63</v>
      </c>
      <c r="BG18" s="256">
        <v>4656.6000000000004</v>
      </c>
      <c r="BH18" s="256">
        <v>4734.75</v>
      </c>
      <c r="BI18" s="249">
        <f t="shared" si="11"/>
        <v>1.6782631104239065</v>
      </c>
      <c r="BJ18" s="256">
        <v>3614.52</v>
      </c>
      <c r="BK18" s="256">
        <v>4734.75</v>
      </c>
      <c r="BL18" s="249">
        <f t="shared" si="12"/>
        <v>30.99249692905282</v>
      </c>
      <c r="BM18" s="250"/>
      <c r="BN18" s="250" t="s">
        <v>63</v>
      </c>
      <c r="BO18" s="256">
        <v>4656.6000000000004</v>
      </c>
      <c r="BP18" s="256">
        <v>4734.75</v>
      </c>
      <c r="BQ18" s="249">
        <f t="shared" si="13"/>
        <v>1.6782631104239065</v>
      </c>
      <c r="BR18" s="256">
        <v>3614.52</v>
      </c>
      <c r="BS18" s="256">
        <v>4734.75</v>
      </c>
      <c r="BT18" s="249">
        <f t="shared" si="14"/>
        <v>30.99249692905282</v>
      </c>
      <c r="BU18" s="250"/>
      <c r="BV18" s="250" t="s">
        <v>63</v>
      </c>
      <c r="BW18" s="256">
        <v>3964.88</v>
      </c>
      <c r="BX18" s="256">
        <v>3614.52</v>
      </c>
      <c r="BY18" s="249">
        <f t="shared" si="15"/>
        <v>-8.836585218215939</v>
      </c>
      <c r="BZ18" s="256">
        <v>3343.33</v>
      </c>
      <c r="CA18" s="256">
        <v>3614.52</v>
      </c>
      <c r="CB18" s="249">
        <f>((CA18-BZ18)/BZ18)*100</f>
        <v>8.1113739894057737</v>
      </c>
      <c r="CC18" s="250"/>
      <c r="CD18" s="250" t="s">
        <v>63</v>
      </c>
      <c r="CE18" s="256">
        <v>3859.81</v>
      </c>
      <c r="CF18" s="256">
        <v>3343.33</v>
      </c>
      <c r="CG18" s="249">
        <f t="shared" si="17"/>
        <v>-13.380969529588244</v>
      </c>
      <c r="CH18" s="256">
        <v>3670.24</v>
      </c>
      <c r="CI18" s="256">
        <v>3343.33</v>
      </c>
      <c r="CJ18" s="249">
        <f t="shared" si="18"/>
        <v>-8.907046950608132</v>
      </c>
      <c r="CK18" s="249"/>
      <c r="DN18"/>
      <c r="ED18" s="153"/>
    </row>
    <row r="19" spans="1:170" x14ac:dyDescent="0.5">
      <c r="CF19" t="s">
        <v>354</v>
      </c>
      <c r="CO19" t="s">
        <v>354</v>
      </c>
      <c r="CX19" t="s">
        <v>264</v>
      </c>
      <c r="DG19" s="171" t="s">
        <v>264</v>
      </c>
      <c r="DN19"/>
      <c r="DP19" t="s">
        <v>223</v>
      </c>
      <c r="DV19" s="153"/>
      <c r="DY19" t="s">
        <v>185</v>
      </c>
      <c r="EH19" t="s">
        <v>149</v>
      </c>
      <c r="EQ19" t="s">
        <v>105</v>
      </c>
      <c r="EZ19" t="s">
        <v>67</v>
      </c>
    </row>
    <row r="20" spans="1:170" x14ac:dyDescent="0.5">
      <c r="C20" s="62" t="s">
        <v>874</v>
      </c>
      <c r="K20" s="62" t="s">
        <v>834</v>
      </c>
      <c r="S20" s="62" t="s">
        <v>780</v>
      </c>
      <c r="AA20" s="62" t="s">
        <v>692</v>
      </c>
      <c r="AI20" s="62" t="s">
        <v>692</v>
      </c>
      <c r="AQ20" s="62" t="s">
        <v>645</v>
      </c>
      <c r="AY20" s="62" t="s">
        <v>597</v>
      </c>
      <c r="BG20" s="62" t="s">
        <v>553</v>
      </c>
      <c r="BO20" s="62" t="s">
        <v>553</v>
      </c>
      <c r="BW20" s="62" t="s">
        <v>505</v>
      </c>
      <c r="CE20" t="s">
        <v>446</v>
      </c>
      <c r="CL20" s="163"/>
      <c r="CM20" s="163"/>
      <c r="CN20" s="172" t="s">
        <v>391</v>
      </c>
      <c r="CO20" s="172" t="s">
        <v>397</v>
      </c>
      <c r="CP20" s="163" t="s">
        <v>3</v>
      </c>
      <c r="CQ20" s="172" t="s">
        <v>355</v>
      </c>
      <c r="CR20" s="172" t="s">
        <v>397</v>
      </c>
      <c r="CS20" s="163" t="s">
        <v>3</v>
      </c>
      <c r="CU20" s="163"/>
      <c r="CV20" s="163"/>
      <c r="CW20" s="172" t="s">
        <v>350</v>
      </c>
      <c r="CX20" s="172" t="s">
        <v>356</v>
      </c>
      <c r="CY20" s="163" t="s">
        <v>3</v>
      </c>
      <c r="CZ20" s="172" t="s">
        <v>301</v>
      </c>
      <c r="DA20" s="172" t="s">
        <v>355</v>
      </c>
      <c r="DB20" s="163" t="s">
        <v>3</v>
      </c>
      <c r="DC20" s="62"/>
      <c r="DD20" s="239"/>
      <c r="DE20" s="239"/>
      <c r="DF20" s="240" t="s">
        <v>298</v>
      </c>
      <c r="DG20" s="240" t="s">
        <v>303</v>
      </c>
      <c r="DH20" s="239" t="s">
        <v>3</v>
      </c>
      <c r="DI20" s="241" t="s">
        <v>265</v>
      </c>
      <c r="DJ20" s="240" t="s">
        <v>301</v>
      </c>
      <c r="DK20" s="239" t="s">
        <v>3</v>
      </c>
      <c r="DL20" s="62"/>
      <c r="DM20" s="188"/>
      <c r="DN20" s="188"/>
      <c r="DO20" s="189" t="s">
        <v>261</v>
      </c>
      <c r="DP20" s="189" t="s">
        <v>265</v>
      </c>
      <c r="DQ20" s="188" t="s">
        <v>3</v>
      </c>
      <c r="DR20" s="190" t="s">
        <v>221</v>
      </c>
      <c r="DS20" s="189" t="s">
        <v>265</v>
      </c>
      <c r="DT20" s="188" t="s">
        <v>3</v>
      </c>
      <c r="DU20" s="62"/>
      <c r="DV20" s="141"/>
      <c r="DW20" s="141"/>
      <c r="DX20" s="144" t="s">
        <v>219</v>
      </c>
      <c r="DY20" s="144" t="s">
        <v>221</v>
      </c>
      <c r="DZ20" s="141" t="s">
        <v>3</v>
      </c>
      <c r="EA20" s="146" t="s">
        <v>186</v>
      </c>
      <c r="EB20" s="144" t="s">
        <v>221</v>
      </c>
      <c r="EC20" s="141" t="s">
        <v>3</v>
      </c>
      <c r="ED20" s="154"/>
      <c r="EE20" s="95"/>
      <c r="EF20" s="95"/>
      <c r="EG20" s="96" t="s">
        <v>183</v>
      </c>
      <c r="EH20" s="96" t="s">
        <v>186</v>
      </c>
      <c r="EI20" s="95" t="s">
        <v>3</v>
      </c>
      <c r="EJ20" s="96" t="s">
        <v>150</v>
      </c>
      <c r="EK20" s="96" t="s">
        <v>186</v>
      </c>
      <c r="EL20" s="95" t="s">
        <v>3</v>
      </c>
      <c r="EM20" s="62"/>
      <c r="EN20" s="107"/>
      <c r="EO20" s="107"/>
      <c r="EP20" s="108" t="s">
        <v>146</v>
      </c>
      <c r="EQ20" s="108" t="s">
        <v>150</v>
      </c>
      <c r="ER20" s="107" t="s">
        <v>3</v>
      </c>
      <c r="ES20" s="108" t="s">
        <v>106</v>
      </c>
      <c r="ET20" s="108" t="s">
        <v>150</v>
      </c>
      <c r="EU20" s="107" t="s">
        <v>3</v>
      </c>
      <c r="EV20" s="62"/>
      <c r="EW20" s="95"/>
      <c r="EX20" s="95"/>
      <c r="EY20" s="96" t="s">
        <v>100</v>
      </c>
      <c r="EZ20" s="96" t="s">
        <v>106</v>
      </c>
      <c r="FA20" s="95" t="s">
        <v>3</v>
      </c>
      <c r="FB20" s="96" t="s">
        <v>107</v>
      </c>
      <c r="FC20" s="96" t="s">
        <v>106</v>
      </c>
      <c r="FD20" s="95" t="s">
        <v>3</v>
      </c>
      <c r="FE20" s="62"/>
      <c r="FF20" s="54"/>
      <c r="FG20" s="54"/>
      <c r="FH20" s="55">
        <v>18384</v>
      </c>
      <c r="FI20" s="55">
        <v>18415</v>
      </c>
      <c r="FJ20" s="54" t="s">
        <v>3</v>
      </c>
      <c r="FK20" s="55">
        <v>18050</v>
      </c>
      <c r="FL20" s="55">
        <v>18415</v>
      </c>
      <c r="FM20" s="54" t="s">
        <v>3</v>
      </c>
      <c r="FN20" s="62"/>
    </row>
    <row r="21" spans="1:170" x14ac:dyDescent="0.5">
      <c r="A21" s="163"/>
      <c r="B21" s="163"/>
      <c r="C21" s="263" t="s">
        <v>870</v>
      </c>
      <c r="D21" s="263" t="s">
        <v>873</v>
      </c>
      <c r="E21" s="265" t="s">
        <v>3</v>
      </c>
      <c r="F21" s="263" t="s">
        <v>833</v>
      </c>
      <c r="G21" s="263" t="s">
        <v>873</v>
      </c>
      <c r="H21" s="265" t="s">
        <v>3</v>
      </c>
      <c r="I21" s="163"/>
      <c r="J21" s="163"/>
      <c r="K21" s="263" t="s">
        <v>831</v>
      </c>
      <c r="L21" s="263" t="s">
        <v>833</v>
      </c>
      <c r="M21" s="265" t="s">
        <v>3</v>
      </c>
      <c r="N21" s="263" t="s">
        <v>781</v>
      </c>
      <c r="O21" s="263" t="s">
        <v>833</v>
      </c>
      <c r="P21" s="265" t="s">
        <v>3</v>
      </c>
      <c r="Q21" s="163"/>
      <c r="R21" s="163"/>
      <c r="S21" s="263" t="s">
        <v>778</v>
      </c>
      <c r="T21" s="263" t="s">
        <v>781</v>
      </c>
      <c r="U21" s="265" t="s">
        <v>3</v>
      </c>
      <c r="V21" s="263" t="s">
        <v>737</v>
      </c>
      <c r="W21" s="263" t="s">
        <v>781</v>
      </c>
      <c r="X21" s="265" t="s">
        <v>3</v>
      </c>
      <c r="Y21" s="163"/>
      <c r="Z21" s="163"/>
      <c r="AA21" s="263" t="s">
        <v>735</v>
      </c>
      <c r="AB21" s="263" t="s">
        <v>737</v>
      </c>
      <c r="AC21" s="265" t="s">
        <v>3</v>
      </c>
      <c r="AD21" s="263" t="s">
        <v>691</v>
      </c>
      <c r="AE21" s="263" t="s">
        <v>737</v>
      </c>
      <c r="AF21" s="265" t="s">
        <v>3</v>
      </c>
      <c r="AG21" s="163"/>
      <c r="AH21" s="163"/>
      <c r="AI21" s="263" t="s">
        <v>687</v>
      </c>
      <c r="AJ21" s="263" t="s">
        <v>691</v>
      </c>
      <c r="AK21" s="265" t="s">
        <v>3</v>
      </c>
      <c r="AL21" s="263" t="s">
        <v>646</v>
      </c>
      <c r="AM21" s="263" t="s">
        <v>691</v>
      </c>
      <c r="AN21" s="265" t="s">
        <v>3</v>
      </c>
      <c r="AO21" s="163"/>
      <c r="AP21" s="163"/>
      <c r="AQ21" s="263">
        <v>23132</v>
      </c>
      <c r="AR21" s="263">
        <v>23163</v>
      </c>
      <c r="AS21" s="265" t="s">
        <v>3</v>
      </c>
      <c r="AT21" s="263">
        <v>22798</v>
      </c>
      <c r="AU21" s="263">
        <v>23163</v>
      </c>
      <c r="AV21" s="265" t="s">
        <v>3</v>
      </c>
      <c r="AW21" s="163"/>
      <c r="AX21" s="163"/>
      <c r="AY21" s="263" t="s">
        <v>593</v>
      </c>
      <c r="AZ21" s="263" t="s">
        <v>596</v>
      </c>
      <c r="BA21" s="265" t="s">
        <v>3</v>
      </c>
      <c r="BB21" s="263" t="s">
        <v>554</v>
      </c>
      <c r="BC21" s="263" t="s">
        <v>596</v>
      </c>
      <c r="BD21" s="265" t="s">
        <v>3</v>
      </c>
      <c r="BE21" s="163"/>
      <c r="BF21" s="163"/>
      <c r="BG21" s="263" t="s">
        <v>551</v>
      </c>
      <c r="BH21" s="263" t="s">
        <v>554</v>
      </c>
      <c r="BI21" s="265" t="s">
        <v>3</v>
      </c>
      <c r="BJ21" s="263" t="s">
        <v>504</v>
      </c>
      <c r="BK21" s="263" t="s">
        <v>554</v>
      </c>
      <c r="BL21" s="265" t="s">
        <v>3</v>
      </c>
      <c r="BM21" s="163"/>
      <c r="BN21" s="163"/>
      <c r="BO21" s="263" t="s">
        <v>551</v>
      </c>
      <c r="BP21" s="263" t="s">
        <v>554</v>
      </c>
      <c r="BQ21" s="265" t="s">
        <v>3</v>
      </c>
      <c r="BR21" s="263" t="s">
        <v>504</v>
      </c>
      <c r="BS21" s="263" t="s">
        <v>554</v>
      </c>
      <c r="BT21" s="265" t="s">
        <v>3</v>
      </c>
      <c r="BU21" s="163"/>
      <c r="BV21" s="163"/>
      <c r="BW21" s="263" t="s">
        <v>502</v>
      </c>
      <c r="BX21" s="263" t="s">
        <v>504</v>
      </c>
      <c r="BY21" s="265" t="s">
        <v>3</v>
      </c>
      <c r="BZ21" s="263" t="s">
        <v>447</v>
      </c>
      <c r="CA21" s="263" t="s">
        <v>504</v>
      </c>
      <c r="CB21" s="265" t="s">
        <v>3</v>
      </c>
      <c r="CC21" s="163"/>
      <c r="CD21" s="163"/>
      <c r="CE21" s="263" t="s">
        <v>442</v>
      </c>
      <c r="CF21" s="263" t="s">
        <v>447</v>
      </c>
      <c r="CG21" s="265" t="s">
        <v>3</v>
      </c>
      <c r="CH21" s="263" t="s">
        <v>448</v>
      </c>
      <c r="CI21" s="263" t="s">
        <v>447</v>
      </c>
      <c r="CJ21" s="265" t="s">
        <v>3</v>
      </c>
      <c r="CK21" s="265"/>
      <c r="CL21" s="165" t="s">
        <v>0</v>
      </c>
      <c r="CM21" s="165"/>
      <c r="CN21" s="166">
        <v>135045</v>
      </c>
      <c r="CO21" s="166">
        <v>151698</v>
      </c>
      <c r="CP21" s="167">
        <f>((CO21-CN21)/CN21)*100</f>
        <v>12.331445073864268</v>
      </c>
      <c r="CQ21" s="166">
        <v>160452</v>
      </c>
      <c r="CR21" s="166">
        <v>151698</v>
      </c>
      <c r="CS21" s="167">
        <f t="shared" ref="CS21:CS31" si="50">((CR21-CQ21)/CQ21)*100</f>
        <v>-5.455837259741231</v>
      </c>
      <c r="CU21" s="165" t="s">
        <v>0</v>
      </c>
      <c r="CV21" s="165"/>
      <c r="CW21" s="166">
        <f>SUM(CW22:CW24)</f>
        <v>148011</v>
      </c>
      <c r="CX21" s="166">
        <f>SUM(CX22:CX24)</f>
        <v>160452</v>
      </c>
      <c r="CY21" s="167">
        <f>((CX21-CW21)/CW21)*100</f>
        <v>8.4054563512171381</v>
      </c>
      <c r="CZ21" s="166">
        <f>SUM(CZ22:CZ24)</f>
        <v>217123</v>
      </c>
      <c r="DA21" s="166">
        <v>160452</v>
      </c>
      <c r="DB21" s="167">
        <f t="shared" ref="DB21:DB31" si="51">((DA21-CZ21)/CZ21)*100</f>
        <v>-26.100873698318466</v>
      </c>
      <c r="DC21" s="73"/>
      <c r="DD21" s="224" t="s">
        <v>0</v>
      </c>
      <c r="DE21" s="224"/>
      <c r="DF21" s="238">
        <f>SUM(DF22:DF24)</f>
        <v>231889</v>
      </c>
      <c r="DG21" s="238">
        <f>SUM(DG22:DG24)</f>
        <v>217110</v>
      </c>
      <c r="DH21" s="225">
        <f>((DG21-DF21)/DF21)*100</f>
        <v>-6.3733079188749793</v>
      </c>
      <c r="DI21" s="238">
        <f>SUM(DI22:DI24)</f>
        <v>208755</v>
      </c>
      <c r="DJ21" s="238">
        <f>SUM(DJ22:DJ24)</f>
        <v>217110</v>
      </c>
      <c r="DK21" s="225">
        <f>((DJ21-DI21)/DI21)*100</f>
        <v>4.0022993461234462</v>
      </c>
      <c r="DL21" s="73"/>
      <c r="DM21" s="191" t="s">
        <v>0</v>
      </c>
      <c r="DN21" s="191"/>
      <c r="DO21" s="192">
        <f>SUM(DO22:DO24)</f>
        <v>207501</v>
      </c>
      <c r="DP21" s="192">
        <f>SUM(DP22:DP24)</f>
        <v>205600</v>
      </c>
      <c r="DQ21" s="193">
        <f>((DP21-DO21)/DO21)*100</f>
        <v>-0.91614016317993641</v>
      </c>
      <c r="DR21" s="192">
        <v>153646</v>
      </c>
      <c r="DS21" s="192">
        <f>SUM(DS22:DS24)</f>
        <v>205600</v>
      </c>
      <c r="DT21" s="193">
        <f>((DS21-DR21)/DR21)*100</f>
        <v>33.814092133866161</v>
      </c>
      <c r="DU21" s="73"/>
      <c r="DV21" s="150" t="s">
        <v>0</v>
      </c>
      <c r="DW21" s="150"/>
      <c r="DX21" s="147">
        <f>SUM(DX22:DX24)</f>
        <v>98804</v>
      </c>
      <c r="DY21" s="147">
        <f>SUM(DY22:DY24)</f>
        <v>153646</v>
      </c>
      <c r="DZ21" s="151">
        <f>((DY21-DX21)/DX21)*100</f>
        <v>55.505849965588439</v>
      </c>
      <c r="EA21" s="147">
        <v>148878</v>
      </c>
      <c r="EB21" s="147">
        <v>153646</v>
      </c>
      <c r="EC21" s="151">
        <f>((EB21-EA21)/EA21)*100</f>
        <v>3.2026222813310223</v>
      </c>
      <c r="ED21" s="155"/>
      <c r="EE21" s="86" t="s">
        <v>0</v>
      </c>
      <c r="EF21" s="86"/>
      <c r="EG21" s="87">
        <f>SUM(EG22:EG24)</f>
        <v>132165</v>
      </c>
      <c r="EH21" s="87">
        <f>SUM(EH22:EH24)</f>
        <v>148878</v>
      </c>
      <c r="EI21" s="126">
        <f>((EH21-EG21)/EG21)*100</f>
        <v>12.645556690500511</v>
      </c>
      <c r="EJ21" s="87">
        <f>SUM(EJ22:EJ24)</f>
        <v>74717</v>
      </c>
      <c r="EK21" s="87">
        <v>148878</v>
      </c>
      <c r="EL21" s="126">
        <f>((EK21-EJ21)/EJ21)*100</f>
        <v>99.255858773773042</v>
      </c>
      <c r="EM21" s="127"/>
      <c r="EN21" s="63" t="s">
        <v>0</v>
      </c>
      <c r="EO21" s="63"/>
      <c r="EP21" s="68">
        <f>SUM(EP22:EP24)</f>
        <v>61752</v>
      </c>
      <c r="EQ21" s="68">
        <f>SUM(EQ22:EQ24)</f>
        <v>74720</v>
      </c>
      <c r="ER21" s="65">
        <f t="shared" ref="ER21:ER31" si="52">(EQ21-EP21)/EP21*100</f>
        <v>21.000129550459903</v>
      </c>
      <c r="ES21" s="68">
        <v>130549</v>
      </c>
      <c r="ET21" s="68">
        <v>74720</v>
      </c>
      <c r="EU21" s="65">
        <f t="shared" ref="EU21:EU31" si="53">(ET21-ES21)/ES21*100</f>
        <v>-42.764785636044707</v>
      </c>
      <c r="EV21" s="73"/>
      <c r="EW21" s="86" t="s">
        <v>0</v>
      </c>
      <c r="EX21" s="86"/>
      <c r="EY21" s="87">
        <f>SUM(EY22:EY24)</f>
        <v>125862</v>
      </c>
      <c r="EZ21" s="87">
        <f>SUM(EZ22:EZ24)</f>
        <v>130549</v>
      </c>
      <c r="FA21" s="88">
        <f t="shared" ref="FA21:FA31" si="54">(EZ21-EY21)/EY21*100</f>
        <v>3.7239198487232046</v>
      </c>
      <c r="FB21" s="87">
        <v>111336</v>
      </c>
      <c r="FC21" s="87">
        <f>SUM(FC22:FC24)</f>
        <v>130549</v>
      </c>
      <c r="FD21" s="88">
        <f t="shared" ref="FD21:FD31" si="55">(FC21-FB21)/FB21*100</f>
        <v>17.256772292879212</v>
      </c>
      <c r="FE21" s="73"/>
      <c r="FF21" s="63" t="s">
        <v>0</v>
      </c>
      <c r="FG21" s="63"/>
      <c r="FH21" s="68">
        <v>111585</v>
      </c>
      <c r="FI21" s="68">
        <v>111336</v>
      </c>
      <c r="FJ21" s="65">
        <f t="shared" ref="FJ21:FJ31" si="56">(FI21-FH21)/FH21*100</f>
        <v>-0.22314827261728726</v>
      </c>
      <c r="FK21" s="68">
        <v>99806</v>
      </c>
      <c r="FL21" s="68">
        <v>111336</v>
      </c>
      <c r="FM21" s="65">
        <f t="shared" ref="FM21:FM31" si="57">(FL21-FK21)/FK21*100</f>
        <v>11.552411678656593</v>
      </c>
      <c r="FN21" s="73"/>
    </row>
    <row r="22" spans="1:170" x14ac:dyDescent="0.5">
      <c r="A22" s="165" t="s">
        <v>0</v>
      </c>
      <c r="B22" s="165"/>
      <c r="C22" s="166">
        <v>139186</v>
      </c>
      <c r="D22" s="166">
        <v>130223</v>
      </c>
      <c r="E22" s="167">
        <f>((D22-C22)/C22)*100</f>
        <v>-6.4395844409638903</v>
      </c>
      <c r="F22" s="166">
        <v>116289</v>
      </c>
      <c r="G22" s="166">
        <v>130223</v>
      </c>
      <c r="H22" s="167">
        <f t="shared" ref="H22:H32" si="58">((G22-F22)/F22)*100</f>
        <v>11.982216718692223</v>
      </c>
      <c r="I22" s="165" t="s">
        <v>0</v>
      </c>
      <c r="J22" s="165"/>
      <c r="K22" s="166">
        <v>126161</v>
      </c>
      <c r="L22" s="166">
        <v>116289</v>
      </c>
      <c r="M22" s="167">
        <f>((L22-K22)/K22)*100</f>
        <v>-7.8249221233186175</v>
      </c>
      <c r="N22" s="166">
        <v>145557</v>
      </c>
      <c r="O22" s="166">
        <v>116289</v>
      </c>
      <c r="P22" s="167">
        <f t="shared" ref="P22:P32" si="59">((O22-N22)/N22)*100</f>
        <v>-20.107586718605084</v>
      </c>
      <c r="Q22" s="165" t="s">
        <v>0</v>
      </c>
      <c r="R22" s="165"/>
      <c r="S22" s="166">
        <v>150532</v>
      </c>
      <c r="T22" s="166">
        <v>145557</v>
      </c>
      <c r="U22" s="167">
        <f>((T22-S22)/S22)*100</f>
        <v>-3.3049451279462176</v>
      </c>
      <c r="V22" s="166">
        <v>143016</v>
      </c>
      <c r="W22" s="166">
        <v>145557</v>
      </c>
      <c r="X22" s="167">
        <f t="shared" ref="X22:X32" si="60">((W22-V22)/V22)*100</f>
        <v>1.7767242825977514</v>
      </c>
      <c r="Y22" s="165" t="s">
        <v>0</v>
      </c>
      <c r="Z22" s="165"/>
      <c r="AA22" s="166">
        <v>129231</v>
      </c>
      <c r="AB22" s="166">
        <v>143016</v>
      </c>
      <c r="AC22" s="167">
        <f>((AB22-AA22)/AA22)*100</f>
        <v>10.66694523759779</v>
      </c>
      <c r="AD22" s="166">
        <v>134245</v>
      </c>
      <c r="AE22" s="166">
        <v>143016</v>
      </c>
      <c r="AF22" s="167">
        <f t="shared" ref="AF22:AF32" si="61">((AE22-AD22)/AD22)*100</f>
        <v>6.5335766695221427</v>
      </c>
      <c r="AG22" s="165" t="s">
        <v>0</v>
      </c>
      <c r="AH22" s="165"/>
      <c r="AI22" s="166">
        <v>140168</v>
      </c>
      <c r="AJ22" s="166">
        <v>134245</v>
      </c>
      <c r="AK22" s="167">
        <f>((AJ22-AI22)/AI22)*100</f>
        <v>-4.2256435134980883</v>
      </c>
      <c r="AL22" s="166">
        <v>71704</v>
      </c>
      <c r="AM22" s="166">
        <v>134245</v>
      </c>
      <c r="AN22" s="167">
        <f t="shared" ref="AN22:AN32" si="62">((AM22-AL22)/AL22)*100</f>
        <v>87.221075532745729</v>
      </c>
      <c r="AO22" s="165" t="s">
        <v>0</v>
      </c>
      <c r="AP22" s="165"/>
      <c r="AQ22" s="166">
        <v>56035</v>
      </c>
      <c r="AR22" s="166">
        <v>71704</v>
      </c>
      <c r="AS22" s="167">
        <f>((AR22-AQ22)/AQ22)*100</f>
        <v>27.962880342642993</v>
      </c>
      <c r="AT22" s="166">
        <v>172878</v>
      </c>
      <c r="AU22" s="166">
        <v>71704</v>
      </c>
      <c r="AV22" s="167">
        <f t="shared" ref="AV22:AV32" si="63">((AU22-AT22)/AT22)*100</f>
        <v>-58.523351727808048</v>
      </c>
      <c r="AW22" s="165" t="s">
        <v>0</v>
      </c>
      <c r="AX22" s="165"/>
      <c r="AY22" s="166">
        <v>181338</v>
      </c>
      <c r="AZ22" s="166">
        <v>172878</v>
      </c>
      <c r="BA22" s="167">
        <f>((AZ22-AY22)/AY22)*100</f>
        <v>-4.6653211130595906</v>
      </c>
      <c r="BB22" s="166">
        <v>188970</v>
      </c>
      <c r="BC22" s="166">
        <v>172878</v>
      </c>
      <c r="BD22" s="167">
        <f t="shared" ref="BD22:BD32" si="64">((BC22-BB22)/BB22)*100</f>
        <v>-8.5156374027623443</v>
      </c>
      <c r="BE22" s="165" t="s">
        <v>0</v>
      </c>
      <c r="BF22" s="165"/>
      <c r="BG22" s="166">
        <v>193130</v>
      </c>
      <c r="BH22" s="166">
        <v>188970</v>
      </c>
      <c r="BI22" s="167">
        <f>((BH22-BG22)/BG22)*100</f>
        <v>-2.1539895407238649</v>
      </c>
      <c r="BJ22" s="166">
        <v>175443</v>
      </c>
      <c r="BK22" s="166">
        <v>188970</v>
      </c>
      <c r="BL22" s="167">
        <f t="shared" ref="BL22:BL32" si="65">((BK22-BJ22)/BJ22)*100</f>
        <v>7.7101964740685007</v>
      </c>
      <c r="BM22" s="165" t="s">
        <v>0</v>
      </c>
      <c r="BN22" s="165"/>
      <c r="BO22" s="166">
        <v>193130</v>
      </c>
      <c r="BP22" s="166">
        <v>188970</v>
      </c>
      <c r="BQ22" s="167">
        <f>((BP22-BO22)/BO22)*100</f>
        <v>-2.1539895407238649</v>
      </c>
      <c r="BR22" s="166">
        <v>175443</v>
      </c>
      <c r="BS22" s="166">
        <v>188970</v>
      </c>
      <c r="BT22" s="167">
        <f t="shared" ref="BT22:BT32" si="66">((BS22-BR22)/BR22)*100</f>
        <v>7.7101964740685007</v>
      </c>
      <c r="BU22" s="165" t="s">
        <v>0</v>
      </c>
      <c r="BV22" s="165"/>
      <c r="BW22" s="166">
        <v>169495</v>
      </c>
      <c r="BX22" s="166">
        <v>175443</v>
      </c>
      <c r="BY22" s="167">
        <f>((BX22-BW22)/BW22)*100</f>
        <v>3.5092480604147616</v>
      </c>
      <c r="BZ22" s="166">
        <v>179875</v>
      </c>
      <c r="CA22" s="166">
        <v>175443</v>
      </c>
      <c r="CB22" s="167">
        <f t="shared" ref="CB22:CB32" si="67">((CA22-BZ22)/BZ22)*100</f>
        <v>-2.4639332870048642</v>
      </c>
      <c r="CC22" s="165" t="s">
        <v>0</v>
      </c>
      <c r="CD22" s="165"/>
      <c r="CE22" s="166">
        <v>168394</v>
      </c>
      <c r="CF22" s="166">
        <v>179875</v>
      </c>
      <c r="CG22" s="167">
        <f>((CF22-CE22)/CE22)*100</f>
        <v>6.8179388814328306</v>
      </c>
      <c r="CH22" s="166">
        <v>151698</v>
      </c>
      <c r="CI22" s="166">
        <v>179875</v>
      </c>
      <c r="CJ22" s="167">
        <f t="shared" ref="CJ22:CJ32" si="68">((CI22-CH22)/CH22)*100</f>
        <v>18.574404408759509</v>
      </c>
      <c r="CK22" s="167"/>
      <c r="CL22" s="168"/>
      <c r="CM22" s="168" t="s">
        <v>51</v>
      </c>
      <c r="CN22" s="169">
        <v>65181</v>
      </c>
      <c r="CO22" s="169">
        <v>66430</v>
      </c>
      <c r="CP22" s="167">
        <f>((CO22-CN22)/CN22)*100</f>
        <v>1.9162025743698317</v>
      </c>
      <c r="CQ22" s="169">
        <v>59410</v>
      </c>
      <c r="CR22" s="169">
        <v>66430</v>
      </c>
      <c r="CS22" s="167">
        <f t="shared" si="50"/>
        <v>11.816192560175056</v>
      </c>
      <c r="CU22" s="168"/>
      <c r="CV22" s="168" t="s">
        <v>51</v>
      </c>
      <c r="CW22" s="169">
        <v>56640</v>
      </c>
      <c r="CX22" s="169">
        <v>59410</v>
      </c>
      <c r="CY22" s="167">
        <f>((CX22-CW22)/CW22)*100</f>
        <v>4.8905367231638417</v>
      </c>
      <c r="CZ22" s="169">
        <v>96429</v>
      </c>
      <c r="DA22" s="169">
        <v>59410</v>
      </c>
      <c r="DB22" s="167">
        <f t="shared" si="51"/>
        <v>-38.389903452280954</v>
      </c>
      <c r="DC22" s="73"/>
      <c r="DD22" s="226"/>
      <c r="DE22" s="226" t="s">
        <v>51</v>
      </c>
      <c r="DF22" s="227">
        <v>100182</v>
      </c>
      <c r="DG22" s="227">
        <v>96429</v>
      </c>
      <c r="DH22" s="225">
        <f t="shared" ref="DH22:DH31" si="69">((DG22-DF22)/DF22)*100</f>
        <v>-3.7461819488530876</v>
      </c>
      <c r="DI22" s="227">
        <v>84133</v>
      </c>
      <c r="DJ22" s="227">
        <v>96429</v>
      </c>
      <c r="DK22" s="225">
        <f t="shared" ref="DK22:DK31" si="70">((DJ22-DI22)/DI22)*100</f>
        <v>14.614954892848228</v>
      </c>
      <c r="DL22" s="73"/>
      <c r="DM22" s="194"/>
      <c r="DN22" s="194" t="s">
        <v>51</v>
      </c>
      <c r="DO22" s="195">
        <v>81639</v>
      </c>
      <c r="DP22" s="195">
        <v>82806</v>
      </c>
      <c r="DQ22" s="193">
        <f t="shared" ref="DQ22:DQ31" si="71">((DP22-DO22)/DO22)*100</f>
        <v>1.4294638591849484</v>
      </c>
      <c r="DR22" s="195">
        <v>52744</v>
      </c>
      <c r="DS22" s="195">
        <v>82806</v>
      </c>
      <c r="DT22" s="193">
        <f t="shared" ref="DT22:DT31" si="72">((DS22-DR22)/DR22)*100</f>
        <v>56.996056423479445</v>
      </c>
      <c r="DU22" s="73"/>
      <c r="DV22" s="152"/>
      <c r="DW22" s="152" t="s">
        <v>51</v>
      </c>
      <c r="DX22" s="148">
        <v>35393</v>
      </c>
      <c r="DY22" s="148">
        <v>52744</v>
      </c>
      <c r="DZ22" s="151">
        <f t="shared" ref="DZ22:DZ31" si="73">((DY22-DX22)/DX22)*100</f>
        <v>49.023818269149267</v>
      </c>
      <c r="EA22" s="148">
        <v>54159</v>
      </c>
      <c r="EB22" s="148">
        <v>52744</v>
      </c>
      <c r="EC22" s="151">
        <f t="shared" ref="EC22:EC31" si="74">((EB22-EA22)/EA22)*100</f>
        <v>-2.6126774866596501</v>
      </c>
      <c r="ED22" s="155"/>
      <c r="EE22" s="89"/>
      <c r="EF22" s="89" t="s">
        <v>51</v>
      </c>
      <c r="EG22" s="90">
        <v>45303</v>
      </c>
      <c r="EH22" s="90">
        <v>54159</v>
      </c>
      <c r="EI22" s="129">
        <f t="shared" ref="EI22:EI31" si="75">((EH22-EG22)/EG22)*100</f>
        <v>19.548374279849018</v>
      </c>
      <c r="EJ22" s="90">
        <v>27434</v>
      </c>
      <c r="EK22" s="90">
        <v>54159</v>
      </c>
      <c r="EL22" s="129">
        <f t="shared" ref="EL22:EL31" si="76">((EK22-EJ22)/EJ22)*100</f>
        <v>97.415615659400743</v>
      </c>
      <c r="EM22" s="130"/>
      <c r="EN22" s="42"/>
      <c r="EO22" s="42" t="s">
        <v>51</v>
      </c>
      <c r="EP22" s="43">
        <f>10414+6159+2711+1836+33+232</f>
        <v>21385</v>
      </c>
      <c r="EQ22" s="43">
        <v>27434</v>
      </c>
      <c r="ER22" s="44">
        <f t="shared" si="52"/>
        <v>28.286181903203179</v>
      </c>
      <c r="ES22" s="45">
        <v>38954</v>
      </c>
      <c r="ET22" s="43">
        <v>27434</v>
      </c>
      <c r="EU22" s="44">
        <f t="shared" si="53"/>
        <v>-29.573342917287054</v>
      </c>
      <c r="EV22" s="61"/>
      <c r="EW22" s="89"/>
      <c r="EX22" s="89" t="s">
        <v>51</v>
      </c>
      <c r="EY22" s="90">
        <v>36683</v>
      </c>
      <c r="EZ22" s="90">
        <v>38954</v>
      </c>
      <c r="FA22" s="91">
        <f t="shared" si="54"/>
        <v>6.1908786086197969</v>
      </c>
      <c r="FB22" s="92">
        <v>28398</v>
      </c>
      <c r="FC22" s="90">
        <v>38954</v>
      </c>
      <c r="FD22" s="91">
        <f t="shared" si="55"/>
        <v>37.171631805056691</v>
      </c>
      <c r="FE22" s="61"/>
      <c r="FF22" s="42"/>
      <c r="FG22" s="42" t="s">
        <v>51</v>
      </c>
      <c r="FH22" s="43">
        <v>29285</v>
      </c>
      <c r="FI22" s="43">
        <v>28398</v>
      </c>
      <c r="FJ22" s="44">
        <f t="shared" si="56"/>
        <v>-3.0288543623015194</v>
      </c>
      <c r="FK22" s="45">
        <v>26697</v>
      </c>
      <c r="FL22" s="43">
        <v>28398</v>
      </c>
      <c r="FM22" s="44">
        <f t="shared" si="57"/>
        <v>6.3715024160017979</v>
      </c>
      <c r="FN22" s="61"/>
    </row>
    <row r="23" spans="1:170" x14ac:dyDescent="0.5">
      <c r="A23" s="168"/>
      <c r="B23" s="168" t="s">
        <v>51</v>
      </c>
      <c r="C23" s="169">
        <v>53203</v>
      </c>
      <c r="D23" s="169">
        <f>50048</f>
        <v>50048</v>
      </c>
      <c r="E23" s="167">
        <f t="shared" ref="E23:E28" si="77">((D23-C23)/C23)*100</f>
        <v>-5.9301167227411984</v>
      </c>
      <c r="F23" s="169">
        <v>42337</v>
      </c>
      <c r="G23" s="169">
        <v>50048</v>
      </c>
      <c r="H23" s="167">
        <f t="shared" si="58"/>
        <v>18.213383092802985</v>
      </c>
      <c r="I23" s="168"/>
      <c r="J23" s="168" t="s">
        <v>51</v>
      </c>
      <c r="K23" s="169">
        <v>46252</v>
      </c>
      <c r="L23" s="169">
        <v>42337</v>
      </c>
      <c r="M23" s="167">
        <f t="shared" ref="M23:M28" si="78">((L23-K23)/K23)*100</f>
        <v>-8.4644988324829189</v>
      </c>
      <c r="N23" s="169">
        <v>49507</v>
      </c>
      <c r="O23" s="169">
        <v>42337</v>
      </c>
      <c r="P23" s="167">
        <f t="shared" si="59"/>
        <v>-14.482800412062941</v>
      </c>
      <c r="Q23" s="168"/>
      <c r="R23" s="168" t="s">
        <v>51</v>
      </c>
      <c r="S23" s="169">
        <v>50064</v>
      </c>
      <c r="T23" s="169">
        <v>49507</v>
      </c>
      <c r="U23" s="167">
        <f t="shared" ref="U23:U28" si="79">((T23-S23)/S23)*100</f>
        <v>-1.1125759028443591</v>
      </c>
      <c r="V23" s="169">
        <v>43355</v>
      </c>
      <c r="W23" s="169">
        <v>49507</v>
      </c>
      <c r="X23" s="167">
        <f t="shared" si="60"/>
        <v>14.189828162841655</v>
      </c>
      <c r="Y23" s="168"/>
      <c r="Z23" s="168" t="s">
        <v>51</v>
      </c>
      <c r="AA23" s="169">
        <v>39695</v>
      </c>
      <c r="AB23" s="169">
        <v>43355</v>
      </c>
      <c r="AC23" s="167">
        <f t="shared" ref="AC23:AC28" si="80">((AB23-AA23)/AA23)*100</f>
        <v>9.2203048242851757</v>
      </c>
      <c r="AD23" s="169">
        <v>49302</v>
      </c>
      <c r="AE23" s="169">
        <v>43355</v>
      </c>
      <c r="AF23" s="167">
        <f t="shared" si="61"/>
        <v>-12.06239097805363</v>
      </c>
      <c r="AG23" s="168"/>
      <c r="AH23" s="168" t="s">
        <v>51</v>
      </c>
      <c r="AI23" s="169">
        <v>43986</v>
      </c>
      <c r="AJ23" s="169">
        <v>49302</v>
      </c>
      <c r="AK23" s="167">
        <f t="shared" ref="AK23:AK28" si="81">((AJ23-AI23)/AI23)*100</f>
        <v>12.085663620242805</v>
      </c>
      <c r="AL23" s="169">
        <v>25559</v>
      </c>
      <c r="AM23" s="169">
        <v>49302</v>
      </c>
      <c r="AN23" s="167">
        <f t="shared" si="62"/>
        <v>92.894870691341609</v>
      </c>
      <c r="AO23" s="168"/>
      <c r="AP23" s="168" t="s">
        <v>51</v>
      </c>
      <c r="AQ23" s="169">
        <v>19661</v>
      </c>
      <c r="AR23" s="169">
        <v>25559</v>
      </c>
      <c r="AS23" s="167">
        <f t="shared" ref="AS23:AS28" si="82">((AR23-AQ23)/AQ23)*100</f>
        <v>29.998474136615634</v>
      </c>
      <c r="AT23" s="169">
        <v>70076</v>
      </c>
      <c r="AU23" s="169">
        <v>25559</v>
      </c>
      <c r="AV23" s="167">
        <f t="shared" si="63"/>
        <v>-63.526742393972256</v>
      </c>
      <c r="AW23" s="168"/>
      <c r="AX23" s="168" t="s">
        <v>51</v>
      </c>
      <c r="AY23" s="169">
        <v>70850</v>
      </c>
      <c r="AZ23" s="169">
        <v>70076</v>
      </c>
      <c r="BA23" s="167">
        <f t="shared" ref="BA23:BA32" si="83">((AZ23-AY23)/AY23)*100</f>
        <v>-1.0924488355681015</v>
      </c>
      <c r="BB23" s="169">
        <v>76836</v>
      </c>
      <c r="BC23" s="169">
        <v>70076</v>
      </c>
      <c r="BD23" s="167">
        <f t="shared" si="64"/>
        <v>-8.7979592899161858</v>
      </c>
      <c r="BE23" s="168"/>
      <c r="BF23" s="168" t="s">
        <v>51</v>
      </c>
      <c r="BG23" s="169">
        <v>79556</v>
      </c>
      <c r="BH23" s="169">
        <v>76836</v>
      </c>
      <c r="BI23" s="167">
        <f t="shared" ref="BI23:BI32" si="84">((BH23-BG23)/BG23)*100</f>
        <v>-3.4189753129870786</v>
      </c>
      <c r="BJ23" s="169">
        <v>75080</v>
      </c>
      <c r="BK23" s="169">
        <v>76836</v>
      </c>
      <c r="BL23" s="167">
        <f t="shared" si="65"/>
        <v>2.3388385721896645</v>
      </c>
      <c r="BM23" s="168"/>
      <c r="BN23" s="168" t="s">
        <v>51</v>
      </c>
      <c r="BO23" s="169">
        <v>79556</v>
      </c>
      <c r="BP23" s="169">
        <v>76836</v>
      </c>
      <c r="BQ23" s="167">
        <f t="shared" ref="BQ23:BQ32" si="85">((BP23-BO23)/BO23)*100</f>
        <v>-3.4189753129870786</v>
      </c>
      <c r="BR23" s="169">
        <v>75080</v>
      </c>
      <c r="BS23" s="169">
        <v>76836</v>
      </c>
      <c r="BT23" s="167">
        <f t="shared" si="66"/>
        <v>2.3388385721896645</v>
      </c>
      <c r="BU23" s="168"/>
      <c r="BV23" s="168" t="s">
        <v>51</v>
      </c>
      <c r="BW23" s="169">
        <v>70465</v>
      </c>
      <c r="BX23" s="169">
        <v>75080</v>
      </c>
      <c r="BY23" s="167">
        <f t="shared" ref="BY23:BY32" si="86">((BX23-BW23)/BW23)*100</f>
        <v>6.5493507415028738</v>
      </c>
      <c r="BZ23" s="169">
        <v>81106</v>
      </c>
      <c r="CA23" s="169">
        <v>75080</v>
      </c>
      <c r="CB23" s="167">
        <f t="shared" si="67"/>
        <v>-7.42978324661554</v>
      </c>
      <c r="CC23" s="168"/>
      <c r="CD23" s="168" t="s">
        <v>51</v>
      </c>
      <c r="CE23" s="169">
        <v>68513</v>
      </c>
      <c r="CF23" s="169">
        <v>81106</v>
      </c>
      <c r="CG23" s="167">
        <f t="shared" ref="CG23:CG32" si="87">((CF23-CE23)/CE23)*100</f>
        <v>18.380453344620729</v>
      </c>
      <c r="CH23" s="169">
        <v>66430</v>
      </c>
      <c r="CI23" s="169">
        <v>81106</v>
      </c>
      <c r="CJ23" s="167">
        <f t="shared" si="68"/>
        <v>22.092428119825382</v>
      </c>
      <c r="CK23" s="167"/>
      <c r="CL23" s="168"/>
      <c r="CM23" s="168" t="s">
        <v>52</v>
      </c>
      <c r="CN23" s="169">
        <v>67738</v>
      </c>
      <c r="CO23" s="169">
        <v>82248</v>
      </c>
      <c r="CP23" s="167">
        <f>((CO23-CN23)/CN23)*100</f>
        <v>21.420768254155718</v>
      </c>
      <c r="CQ23" s="169">
        <v>99999</v>
      </c>
      <c r="CR23" s="169">
        <v>82248</v>
      </c>
      <c r="CS23" s="167">
        <f t="shared" si="50"/>
        <v>-17.751177511775118</v>
      </c>
      <c r="CU23" s="168"/>
      <c r="CV23" s="168" t="s">
        <v>52</v>
      </c>
      <c r="CW23" s="169">
        <v>90404</v>
      </c>
      <c r="CX23" s="169">
        <v>99999</v>
      </c>
      <c r="CY23" s="167">
        <f>((CX23-CW23)/CW23)*100</f>
        <v>10.613468430600417</v>
      </c>
      <c r="CZ23" s="169">
        <v>115028</v>
      </c>
      <c r="DA23" s="169">
        <v>99999</v>
      </c>
      <c r="DB23" s="167">
        <f t="shared" si="51"/>
        <v>-13.065514483430121</v>
      </c>
      <c r="DC23" s="73"/>
      <c r="DD23" s="226"/>
      <c r="DE23" s="226" t="s">
        <v>52</v>
      </c>
      <c r="DF23" s="227">
        <v>125767</v>
      </c>
      <c r="DG23" s="227">
        <v>115028</v>
      </c>
      <c r="DH23" s="225">
        <f t="shared" si="69"/>
        <v>-8.5388058870768955</v>
      </c>
      <c r="DI23" s="227">
        <v>121396</v>
      </c>
      <c r="DJ23" s="227">
        <v>115028</v>
      </c>
      <c r="DK23" s="225">
        <f t="shared" si="70"/>
        <v>-5.2456423605390619</v>
      </c>
      <c r="DL23" s="73"/>
      <c r="DM23" s="194"/>
      <c r="DN23" s="194" t="s">
        <v>52</v>
      </c>
      <c r="DO23" s="195">
        <v>122314</v>
      </c>
      <c r="DP23" s="195">
        <v>119568</v>
      </c>
      <c r="DQ23" s="193">
        <f t="shared" si="71"/>
        <v>-2.2450414506924798</v>
      </c>
      <c r="DR23" s="195">
        <v>99412</v>
      </c>
      <c r="DS23" s="195">
        <v>119568</v>
      </c>
      <c r="DT23" s="193">
        <f t="shared" si="72"/>
        <v>20.275218283507019</v>
      </c>
      <c r="DU23" s="73"/>
      <c r="DV23" s="152"/>
      <c r="DW23" s="152" t="s">
        <v>52</v>
      </c>
      <c r="DX23" s="148">
        <v>62223</v>
      </c>
      <c r="DY23" s="148">
        <v>99412</v>
      </c>
      <c r="DZ23" s="151">
        <f t="shared" si="73"/>
        <v>59.767288623177926</v>
      </c>
      <c r="EA23" s="148">
        <v>92713</v>
      </c>
      <c r="EB23" s="148">
        <v>99412</v>
      </c>
      <c r="EC23" s="151">
        <f t="shared" si="74"/>
        <v>7.2255239286831401</v>
      </c>
      <c r="ED23" s="155"/>
      <c r="EE23" s="89"/>
      <c r="EF23" s="89" t="s">
        <v>52</v>
      </c>
      <c r="EG23" s="90">
        <v>85041</v>
      </c>
      <c r="EH23" s="90">
        <v>92713</v>
      </c>
      <c r="EI23" s="129">
        <f t="shared" si="75"/>
        <v>9.0215307910302087</v>
      </c>
      <c r="EJ23" s="90">
        <v>46081</v>
      </c>
      <c r="EK23" s="90">
        <v>92713</v>
      </c>
      <c r="EL23" s="129">
        <f t="shared" si="76"/>
        <v>101.1957205789805</v>
      </c>
      <c r="EM23" s="130"/>
      <c r="EN23" s="42"/>
      <c r="EO23" s="42" t="s">
        <v>52</v>
      </c>
      <c r="EP23" s="43">
        <f>3207+17080+19204</f>
        <v>39491</v>
      </c>
      <c r="EQ23" s="43">
        <v>46084</v>
      </c>
      <c r="ER23" s="44">
        <f t="shared" si="52"/>
        <v>16.694943151604164</v>
      </c>
      <c r="ES23" s="45">
        <v>89803</v>
      </c>
      <c r="ET23" s="43">
        <v>46084</v>
      </c>
      <c r="EU23" s="44">
        <f t="shared" si="53"/>
        <v>-48.683228845361512</v>
      </c>
      <c r="EV23" s="61"/>
      <c r="EW23" s="89"/>
      <c r="EX23" s="89" t="s">
        <v>52</v>
      </c>
      <c r="EY23" s="90">
        <v>87396</v>
      </c>
      <c r="EZ23" s="90">
        <v>89803</v>
      </c>
      <c r="FA23" s="91">
        <f t="shared" si="54"/>
        <v>2.7541306238271774</v>
      </c>
      <c r="FB23" s="92">
        <v>80949</v>
      </c>
      <c r="FC23" s="90">
        <v>89803</v>
      </c>
      <c r="FD23" s="91">
        <f t="shared" si="55"/>
        <v>10.937750929597648</v>
      </c>
      <c r="FE23" s="61"/>
      <c r="FF23" s="42"/>
      <c r="FG23" s="42" t="s">
        <v>52</v>
      </c>
      <c r="FH23" s="43">
        <v>80178</v>
      </c>
      <c r="FI23" s="43">
        <v>80949</v>
      </c>
      <c r="FJ23" s="44">
        <f t="shared" si="56"/>
        <v>0.96161041682256976</v>
      </c>
      <c r="FK23" s="45">
        <v>71102</v>
      </c>
      <c r="FL23" s="43">
        <v>80949</v>
      </c>
      <c r="FM23" s="44">
        <f t="shared" si="57"/>
        <v>13.84911816826531</v>
      </c>
      <c r="FN23" s="61"/>
    </row>
    <row r="24" spans="1:170" x14ac:dyDescent="0.5">
      <c r="A24" s="168"/>
      <c r="B24" s="168" t="s">
        <v>52</v>
      </c>
      <c r="C24" s="169">
        <v>84475</v>
      </c>
      <c r="D24" s="169">
        <v>78492</v>
      </c>
      <c r="E24" s="167">
        <f t="shared" si="77"/>
        <v>-7.0825688073394497</v>
      </c>
      <c r="F24" s="169">
        <v>72417</v>
      </c>
      <c r="G24" s="169">
        <v>78492</v>
      </c>
      <c r="H24" s="167">
        <f t="shared" si="58"/>
        <v>8.3889142052280548</v>
      </c>
      <c r="I24" s="168"/>
      <c r="J24" s="168" t="s">
        <v>52</v>
      </c>
      <c r="K24" s="169">
        <v>78319</v>
      </c>
      <c r="L24" s="169">
        <v>72417</v>
      </c>
      <c r="M24" s="167">
        <f t="shared" si="78"/>
        <v>-7.5358469847674261</v>
      </c>
      <c r="N24" s="169">
        <v>91737</v>
      </c>
      <c r="O24" s="169">
        <v>72417</v>
      </c>
      <c r="P24" s="167">
        <f t="shared" si="59"/>
        <v>-21.060204715654535</v>
      </c>
      <c r="Q24" s="168"/>
      <c r="R24" s="168" t="s">
        <v>52</v>
      </c>
      <c r="S24" s="169">
        <v>96748</v>
      </c>
      <c r="T24" s="169">
        <v>91737</v>
      </c>
      <c r="U24" s="167">
        <f t="shared" si="79"/>
        <v>-5.1794352338032823</v>
      </c>
      <c r="V24" s="169">
        <v>95496</v>
      </c>
      <c r="W24" s="169">
        <v>91737</v>
      </c>
      <c r="X24" s="167">
        <f t="shared" si="60"/>
        <v>-3.9362905252576028</v>
      </c>
      <c r="Y24" s="168"/>
      <c r="Z24" s="168" t="s">
        <v>52</v>
      </c>
      <c r="AA24" s="169">
        <v>85736</v>
      </c>
      <c r="AB24" s="169">
        <v>95496</v>
      </c>
      <c r="AC24" s="167">
        <f t="shared" si="80"/>
        <v>11.383782775030324</v>
      </c>
      <c r="AD24" s="169">
        <v>81615</v>
      </c>
      <c r="AE24" s="169">
        <v>95496</v>
      </c>
      <c r="AF24" s="167">
        <f t="shared" si="61"/>
        <v>17.007902959014885</v>
      </c>
      <c r="AG24" s="168"/>
      <c r="AH24" s="168" t="s">
        <v>52</v>
      </c>
      <c r="AI24" s="169">
        <v>92811</v>
      </c>
      <c r="AJ24" s="169">
        <v>81615</v>
      </c>
      <c r="AK24" s="167">
        <f t="shared" si="81"/>
        <v>-12.063225264246695</v>
      </c>
      <c r="AL24" s="169">
        <v>45100</v>
      </c>
      <c r="AM24" s="169">
        <v>81615</v>
      </c>
      <c r="AN24" s="167">
        <f t="shared" si="62"/>
        <v>80.964523281596456</v>
      </c>
      <c r="AO24" s="168"/>
      <c r="AP24" s="168" t="s">
        <v>52</v>
      </c>
      <c r="AQ24" s="169">
        <v>35257</v>
      </c>
      <c r="AR24" s="169">
        <v>45100</v>
      </c>
      <c r="AS24" s="167">
        <f t="shared" si="82"/>
        <v>27.917860283064357</v>
      </c>
      <c r="AT24" s="169">
        <v>99373</v>
      </c>
      <c r="AU24" s="169">
        <v>45100</v>
      </c>
      <c r="AV24" s="167">
        <f t="shared" si="63"/>
        <v>-54.615438801284057</v>
      </c>
      <c r="AW24" s="168"/>
      <c r="AX24" s="168" t="s">
        <v>52</v>
      </c>
      <c r="AY24" s="169">
        <v>107255</v>
      </c>
      <c r="AZ24" s="169">
        <v>99373</v>
      </c>
      <c r="BA24" s="167">
        <f t="shared" si="83"/>
        <v>-7.3488415458486775</v>
      </c>
      <c r="BB24" s="169">
        <v>108439</v>
      </c>
      <c r="BC24" s="169">
        <v>99373</v>
      </c>
      <c r="BD24" s="167">
        <f t="shared" si="64"/>
        <v>-8.360460719851714</v>
      </c>
      <c r="BE24" s="168"/>
      <c r="BF24" s="168" t="s">
        <v>52</v>
      </c>
      <c r="BG24" s="169">
        <v>109859</v>
      </c>
      <c r="BH24" s="169">
        <v>108439</v>
      </c>
      <c r="BI24" s="167">
        <f t="shared" si="84"/>
        <v>-1.2925659254134847</v>
      </c>
      <c r="BJ24" s="169">
        <v>96968</v>
      </c>
      <c r="BK24" s="169">
        <v>108439</v>
      </c>
      <c r="BL24" s="167">
        <f t="shared" si="65"/>
        <v>11.829675769325963</v>
      </c>
      <c r="BM24" s="168"/>
      <c r="BN24" s="168" t="s">
        <v>52</v>
      </c>
      <c r="BO24" s="169">
        <v>109859</v>
      </c>
      <c r="BP24" s="169">
        <v>108439</v>
      </c>
      <c r="BQ24" s="167">
        <f t="shared" si="85"/>
        <v>-1.2925659254134847</v>
      </c>
      <c r="BR24" s="169">
        <v>96968</v>
      </c>
      <c r="BS24" s="169">
        <v>108439</v>
      </c>
      <c r="BT24" s="167">
        <f t="shared" si="66"/>
        <v>11.829675769325963</v>
      </c>
      <c r="BU24" s="168"/>
      <c r="BV24" s="168" t="s">
        <v>52</v>
      </c>
      <c r="BW24" s="169">
        <v>95561</v>
      </c>
      <c r="BX24" s="169">
        <v>96968</v>
      </c>
      <c r="BY24" s="167">
        <f t="shared" si="86"/>
        <v>1.472357970301692</v>
      </c>
      <c r="BZ24" s="169">
        <v>95250</v>
      </c>
      <c r="CA24" s="169">
        <v>96968</v>
      </c>
      <c r="CB24" s="167">
        <f t="shared" si="67"/>
        <v>1.8036745406824146</v>
      </c>
      <c r="CC24" s="168"/>
      <c r="CD24" s="168" t="s">
        <v>52</v>
      </c>
      <c r="CE24" s="169">
        <v>96888</v>
      </c>
      <c r="CF24" s="169">
        <v>95250</v>
      </c>
      <c r="CG24" s="167">
        <f t="shared" si="87"/>
        <v>-1.6906118404756008</v>
      </c>
      <c r="CH24" s="169">
        <v>82248</v>
      </c>
      <c r="CI24" s="169">
        <v>95250</v>
      </c>
      <c r="CJ24" s="167">
        <f t="shared" si="68"/>
        <v>15.808287131601983</v>
      </c>
      <c r="CK24" s="167"/>
      <c r="CL24" s="168"/>
      <c r="CM24" s="168" t="s">
        <v>53</v>
      </c>
      <c r="CN24" s="169">
        <v>2126</v>
      </c>
      <c r="CO24" s="169">
        <v>3020</v>
      </c>
      <c r="CP24" s="167">
        <f>((CO24-CN24)/CN24)*100</f>
        <v>42.050799623706489</v>
      </c>
      <c r="CQ24" s="169">
        <v>1043</v>
      </c>
      <c r="CR24" s="169">
        <v>3020</v>
      </c>
      <c r="CS24" s="167">
        <f t="shared" si="50"/>
        <v>189.54937679769895</v>
      </c>
      <c r="CU24" s="168"/>
      <c r="CV24" s="168" t="s">
        <v>53</v>
      </c>
      <c r="CW24" s="169">
        <v>967</v>
      </c>
      <c r="CX24" s="169">
        <v>1043</v>
      </c>
      <c r="CY24" s="167">
        <f>((CX24-CW24)/CW24)*100</f>
        <v>7.8593588417786968</v>
      </c>
      <c r="CZ24" s="169">
        <v>5666</v>
      </c>
      <c r="DA24" s="169">
        <v>1043</v>
      </c>
      <c r="DB24" s="167">
        <f t="shared" si="51"/>
        <v>-81.591951994352272</v>
      </c>
      <c r="DC24" s="73"/>
      <c r="DD24" s="226"/>
      <c r="DE24" s="226" t="s">
        <v>53</v>
      </c>
      <c r="DF24" s="227">
        <v>5940</v>
      </c>
      <c r="DG24" s="227">
        <v>5653</v>
      </c>
      <c r="DH24" s="225">
        <f t="shared" si="69"/>
        <v>-4.8316498316498313</v>
      </c>
      <c r="DI24" s="227">
        <v>3226</v>
      </c>
      <c r="DJ24" s="227">
        <v>5653</v>
      </c>
      <c r="DK24" s="225">
        <f t="shared" si="70"/>
        <v>75.232486050836954</v>
      </c>
      <c r="DL24" s="73"/>
      <c r="DM24" s="194"/>
      <c r="DN24" s="194" t="s">
        <v>53</v>
      </c>
      <c r="DO24" s="195">
        <v>3548</v>
      </c>
      <c r="DP24" s="195">
        <v>3226</v>
      </c>
      <c r="DQ24" s="193">
        <f t="shared" si="71"/>
        <v>-9.0755355129650503</v>
      </c>
      <c r="DR24" s="195">
        <v>1490</v>
      </c>
      <c r="DS24" s="195">
        <v>3226</v>
      </c>
      <c r="DT24" s="193">
        <f t="shared" si="72"/>
        <v>116.51006711409396</v>
      </c>
      <c r="DU24" s="73"/>
      <c r="DV24" s="152"/>
      <c r="DW24" s="152" t="s">
        <v>53</v>
      </c>
      <c r="DX24" s="148">
        <v>1188</v>
      </c>
      <c r="DY24" s="148">
        <v>1490</v>
      </c>
      <c r="DZ24" s="151">
        <f t="shared" si="73"/>
        <v>25.420875420875422</v>
      </c>
      <c r="EA24" s="148">
        <v>2006</v>
      </c>
      <c r="EB24" s="148">
        <v>1460</v>
      </c>
      <c r="EC24" s="151">
        <f t="shared" si="74"/>
        <v>-27.218344965104684</v>
      </c>
      <c r="ED24" s="155"/>
      <c r="EE24" s="89"/>
      <c r="EF24" s="89" t="s">
        <v>53</v>
      </c>
      <c r="EG24" s="90">
        <v>1821</v>
      </c>
      <c r="EH24" s="90">
        <v>2006</v>
      </c>
      <c r="EI24" s="129">
        <f t="shared" si="75"/>
        <v>10.159253157605711</v>
      </c>
      <c r="EJ24" s="90">
        <v>1202</v>
      </c>
      <c r="EK24" s="90">
        <v>2006</v>
      </c>
      <c r="EL24" s="129">
        <f t="shared" si="76"/>
        <v>66.888519134775365</v>
      </c>
      <c r="EM24" s="130"/>
      <c r="EN24" s="42"/>
      <c r="EO24" s="42" t="s">
        <v>53</v>
      </c>
      <c r="EP24" s="43">
        <f>6+246+172+452</f>
        <v>876</v>
      </c>
      <c r="EQ24" s="43">
        <v>1202</v>
      </c>
      <c r="ER24" s="44">
        <f t="shared" si="52"/>
        <v>37.214611872146122</v>
      </c>
      <c r="ES24" s="45">
        <v>1792</v>
      </c>
      <c r="ET24" s="43">
        <v>1202</v>
      </c>
      <c r="EU24" s="44">
        <f t="shared" si="53"/>
        <v>-32.924107142857146</v>
      </c>
      <c r="EV24" s="61"/>
      <c r="EW24" s="89"/>
      <c r="EX24" s="89" t="s">
        <v>53</v>
      </c>
      <c r="EY24" s="90">
        <v>1783</v>
      </c>
      <c r="EZ24" s="90">
        <v>1792</v>
      </c>
      <c r="FA24" s="91">
        <f t="shared" si="54"/>
        <v>0.50476724621424562</v>
      </c>
      <c r="FB24" s="92">
        <v>1989</v>
      </c>
      <c r="FC24" s="90">
        <v>1792</v>
      </c>
      <c r="FD24" s="91">
        <f t="shared" si="55"/>
        <v>-9.9044746103569636</v>
      </c>
      <c r="FE24" s="61"/>
      <c r="FF24" s="42"/>
      <c r="FG24" s="42" t="s">
        <v>53</v>
      </c>
      <c r="FH24" s="43">
        <v>2122</v>
      </c>
      <c r="FI24" s="43">
        <v>1989</v>
      </c>
      <c r="FJ24" s="44">
        <f t="shared" si="56"/>
        <v>-6.2676720075400567</v>
      </c>
      <c r="FK24" s="45">
        <v>2007</v>
      </c>
      <c r="FL24" s="43">
        <v>1989</v>
      </c>
      <c r="FM24" s="44">
        <f t="shared" si="57"/>
        <v>-0.89686098654708524</v>
      </c>
      <c r="FN24" s="61"/>
    </row>
    <row r="25" spans="1:170" x14ac:dyDescent="0.5">
      <c r="A25" s="168"/>
      <c r="B25" s="168" t="s">
        <v>53</v>
      </c>
      <c r="C25" s="169">
        <v>1508</v>
      </c>
      <c r="D25" s="169">
        <f>D22-D23-D24</f>
        <v>1683</v>
      </c>
      <c r="E25" s="167">
        <f t="shared" si="77"/>
        <v>11.604774535809019</v>
      </c>
      <c r="F25" s="169">
        <v>1535</v>
      </c>
      <c r="G25" s="169">
        <v>1683</v>
      </c>
      <c r="H25" s="167">
        <f t="shared" si="58"/>
        <v>9.6416938110749175</v>
      </c>
      <c r="I25" s="168"/>
      <c r="J25" s="168" t="s">
        <v>53</v>
      </c>
      <c r="K25" s="169">
        <v>1590</v>
      </c>
      <c r="L25" s="169">
        <v>1535</v>
      </c>
      <c r="M25" s="167">
        <f t="shared" si="78"/>
        <v>-3.459119496855346</v>
      </c>
      <c r="N25" s="169">
        <v>4313</v>
      </c>
      <c r="O25" s="169">
        <v>1535</v>
      </c>
      <c r="P25" s="167">
        <f t="shared" si="59"/>
        <v>-64.40992348713192</v>
      </c>
      <c r="Q25" s="168"/>
      <c r="R25" s="168" t="s">
        <v>53</v>
      </c>
      <c r="S25" s="169">
        <v>3720</v>
      </c>
      <c r="T25" s="169">
        <v>4313</v>
      </c>
      <c r="U25" s="167">
        <f t="shared" si="79"/>
        <v>15.940860215053764</v>
      </c>
      <c r="V25" s="169">
        <v>4165</v>
      </c>
      <c r="W25" s="169">
        <v>4313</v>
      </c>
      <c r="X25" s="167">
        <f t="shared" si="60"/>
        <v>3.5534213685474185</v>
      </c>
      <c r="Y25" s="168"/>
      <c r="Z25" s="168" t="s">
        <v>53</v>
      </c>
      <c r="AA25" s="169">
        <v>3800</v>
      </c>
      <c r="AB25" s="169">
        <v>4165</v>
      </c>
      <c r="AC25" s="167">
        <f t="shared" si="80"/>
        <v>9.6052631578947363</v>
      </c>
      <c r="AD25" s="169">
        <v>3328</v>
      </c>
      <c r="AE25" s="169">
        <v>4165</v>
      </c>
      <c r="AF25" s="167">
        <f t="shared" si="61"/>
        <v>25.150240384615387</v>
      </c>
      <c r="AG25" s="168"/>
      <c r="AH25" s="168" t="s">
        <v>53</v>
      </c>
      <c r="AI25" s="169">
        <v>3371</v>
      </c>
      <c r="AJ25" s="169">
        <v>3328</v>
      </c>
      <c r="AK25" s="167">
        <f t="shared" si="81"/>
        <v>-1.2755858795609611</v>
      </c>
      <c r="AL25" s="169">
        <v>1045</v>
      </c>
      <c r="AM25" s="169">
        <v>3328</v>
      </c>
      <c r="AN25" s="167">
        <f t="shared" si="62"/>
        <v>218.46889952153111</v>
      </c>
      <c r="AO25" s="168"/>
      <c r="AP25" s="168" t="s">
        <v>53</v>
      </c>
      <c r="AQ25" s="169">
        <v>1117</v>
      </c>
      <c r="AR25" s="169">
        <v>1045</v>
      </c>
      <c r="AS25" s="167">
        <f t="shared" si="82"/>
        <v>-6.4458370635631157</v>
      </c>
      <c r="AT25" s="169">
        <v>3429</v>
      </c>
      <c r="AU25" s="169">
        <v>1045</v>
      </c>
      <c r="AV25" s="167">
        <f t="shared" si="63"/>
        <v>-69.524642752989209</v>
      </c>
      <c r="AW25" s="168"/>
      <c r="AX25" s="168" t="s">
        <v>53</v>
      </c>
      <c r="AY25" s="169">
        <v>3233</v>
      </c>
      <c r="AZ25" s="169">
        <v>3429</v>
      </c>
      <c r="BA25" s="167">
        <f t="shared" si="83"/>
        <v>6.0624806681101147</v>
      </c>
      <c r="BB25" s="169">
        <v>3695</v>
      </c>
      <c r="BC25" s="169">
        <v>3429</v>
      </c>
      <c r="BD25" s="167">
        <f t="shared" si="64"/>
        <v>-7.1989174560216513</v>
      </c>
      <c r="BE25" s="168"/>
      <c r="BF25" s="168" t="s">
        <v>53</v>
      </c>
      <c r="BG25" s="169">
        <v>3715</v>
      </c>
      <c r="BH25" s="169">
        <v>3695</v>
      </c>
      <c r="BI25" s="167">
        <f t="shared" si="84"/>
        <v>-0.53835800807537015</v>
      </c>
      <c r="BJ25" s="169">
        <v>3395</v>
      </c>
      <c r="BK25" s="169">
        <v>3695</v>
      </c>
      <c r="BL25" s="167">
        <f t="shared" si="65"/>
        <v>8.8365243004418268</v>
      </c>
      <c r="BM25" s="168"/>
      <c r="BN25" s="168" t="s">
        <v>53</v>
      </c>
      <c r="BO25" s="169">
        <v>3715</v>
      </c>
      <c r="BP25" s="169">
        <v>3695</v>
      </c>
      <c r="BQ25" s="167">
        <f t="shared" si="85"/>
        <v>-0.53835800807537015</v>
      </c>
      <c r="BR25" s="169">
        <v>3395</v>
      </c>
      <c r="BS25" s="169">
        <v>3695</v>
      </c>
      <c r="BT25" s="167">
        <f t="shared" si="66"/>
        <v>8.8365243004418268</v>
      </c>
      <c r="BU25" s="168"/>
      <c r="BV25" s="168" t="s">
        <v>53</v>
      </c>
      <c r="BW25" s="169">
        <v>3469</v>
      </c>
      <c r="BX25" s="169">
        <v>3395</v>
      </c>
      <c r="BY25" s="167">
        <f t="shared" si="86"/>
        <v>-2.1331795906601325</v>
      </c>
      <c r="BZ25" s="169">
        <v>3519</v>
      </c>
      <c r="CA25" s="169">
        <v>3395</v>
      </c>
      <c r="CB25" s="167">
        <f t="shared" si="67"/>
        <v>-3.523728331912475</v>
      </c>
      <c r="CC25" s="168"/>
      <c r="CD25" s="168" t="s">
        <v>53</v>
      </c>
      <c r="CE25" s="169">
        <v>2993</v>
      </c>
      <c r="CF25" s="169">
        <v>3519</v>
      </c>
      <c r="CG25" s="167">
        <f t="shared" si="87"/>
        <v>17.574340126962916</v>
      </c>
      <c r="CH25" s="169">
        <v>3020</v>
      </c>
      <c r="CI25" s="169">
        <v>3519</v>
      </c>
      <c r="CJ25" s="167">
        <f t="shared" si="68"/>
        <v>16.523178807947019</v>
      </c>
      <c r="CK25" s="167"/>
      <c r="CL25" s="165" t="s">
        <v>1</v>
      </c>
      <c r="CM25" s="165"/>
      <c r="CN25" s="166">
        <v>56942</v>
      </c>
      <c r="CO25" s="166">
        <v>60322</v>
      </c>
      <c r="CP25" s="167">
        <f t="shared" ref="CP25:CP31" si="88">((CO25-CN25)/CN25)*100</f>
        <v>5.9358645639422569</v>
      </c>
      <c r="CQ25" s="166">
        <v>73799</v>
      </c>
      <c r="CR25" s="166">
        <v>60322</v>
      </c>
      <c r="CS25" s="167">
        <f t="shared" si="50"/>
        <v>-18.261765064567271</v>
      </c>
      <c r="CU25" s="165" t="s">
        <v>1</v>
      </c>
      <c r="CV25" s="165"/>
      <c r="CW25" s="166">
        <f>SUM(CW26:CW29)</f>
        <v>69681</v>
      </c>
      <c r="CX25" s="166">
        <f>SUM(CX26:CX29)</f>
        <v>73799</v>
      </c>
      <c r="CY25" s="167">
        <f t="shared" ref="CY25:CY31" si="89">((CX25-CW25)/CW25)*100</f>
        <v>5.9097888951077051</v>
      </c>
      <c r="CZ25" s="166">
        <f>SUM(CZ26:CZ29)</f>
        <v>106018</v>
      </c>
      <c r="DA25" s="166">
        <v>73799</v>
      </c>
      <c r="DB25" s="167">
        <f t="shared" si="51"/>
        <v>-30.390122432039838</v>
      </c>
      <c r="DC25" s="73"/>
      <c r="DD25" s="224" t="s">
        <v>1</v>
      </c>
      <c r="DE25" s="224"/>
      <c r="DF25" s="238">
        <f>SUM(DF26:DF29)</f>
        <v>110267</v>
      </c>
      <c r="DG25" s="238">
        <f>SUM(DG26:DG29)</f>
        <v>106018</v>
      </c>
      <c r="DH25" s="225">
        <f t="shared" si="69"/>
        <v>-3.8533740829078509</v>
      </c>
      <c r="DI25" s="238">
        <v>123471</v>
      </c>
      <c r="DJ25" s="238">
        <f>SUM(DJ26:DJ29)</f>
        <v>106018</v>
      </c>
      <c r="DK25" s="225">
        <f t="shared" si="70"/>
        <v>-14.135303026621635</v>
      </c>
      <c r="DL25" s="73"/>
      <c r="DM25" s="191" t="s">
        <v>1</v>
      </c>
      <c r="DN25" s="191"/>
      <c r="DO25" s="192">
        <v>115943</v>
      </c>
      <c r="DP25" s="192">
        <f>SUM(DP26:DP29)</f>
        <v>123471</v>
      </c>
      <c r="DQ25" s="193">
        <f t="shared" si="71"/>
        <v>6.4928456224179127</v>
      </c>
      <c r="DR25" s="192">
        <v>70259</v>
      </c>
      <c r="DS25" s="192">
        <f>SUM(DS26:DS29)</f>
        <v>123471</v>
      </c>
      <c r="DT25" s="193">
        <f t="shared" si="72"/>
        <v>75.73691626695512</v>
      </c>
      <c r="DU25" s="73"/>
      <c r="DV25" s="150" t="s">
        <v>1</v>
      </c>
      <c r="DW25" s="150"/>
      <c r="DX25" s="147">
        <f>SUM(DX26:DX29)</f>
        <v>55851</v>
      </c>
      <c r="DY25" s="147">
        <f>SUM(DY26:DY29)</f>
        <v>70259</v>
      </c>
      <c r="DZ25" s="151">
        <f t="shared" si="73"/>
        <v>25.797210434907164</v>
      </c>
      <c r="EA25" s="147">
        <v>70557</v>
      </c>
      <c r="EB25" s="147">
        <v>70259</v>
      </c>
      <c r="EC25" s="151">
        <f t="shared" si="74"/>
        <v>-0.42235355811613307</v>
      </c>
      <c r="ED25" s="155"/>
      <c r="EE25" s="86" t="s">
        <v>1</v>
      </c>
      <c r="EF25" s="86"/>
      <c r="EG25" s="87">
        <f>SUM(EG26:EG29)</f>
        <v>62205</v>
      </c>
      <c r="EH25" s="87">
        <f>SUM(EH26:EH29)</f>
        <v>70557</v>
      </c>
      <c r="EI25" s="126">
        <f t="shared" si="75"/>
        <v>13.426573426573427</v>
      </c>
      <c r="EJ25" s="87">
        <v>43402</v>
      </c>
      <c r="EK25" s="87">
        <v>70557</v>
      </c>
      <c r="EL25" s="126">
        <f t="shared" si="76"/>
        <v>62.566241187042074</v>
      </c>
      <c r="EM25" s="127"/>
      <c r="EN25" s="63" t="s">
        <v>1</v>
      </c>
      <c r="EO25" s="63"/>
      <c r="EP25" s="68">
        <f>SUM(EP26:EP29)</f>
        <v>40539</v>
      </c>
      <c r="EQ25" s="68">
        <f>SUM(EQ26:EQ29)</f>
        <v>43402</v>
      </c>
      <c r="ER25" s="65">
        <f t="shared" si="52"/>
        <v>7.0623350353980126</v>
      </c>
      <c r="ES25" s="68">
        <v>50108</v>
      </c>
      <c r="ET25" s="68">
        <v>43402</v>
      </c>
      <c r="EU25" s="65">
        <f t="shared" si="53"/>
        <v>-13.383092520156461</v>
      </c>
      <c r="EV25" s="73"/>
      <c r="EW25" s="86" t="s">
        <v>1</v>
      </c>
      <c r="EX25" s="86"/>
      <c r="EY25" s="87">
        <v>54910</v>
      </c>
      <c r="EZ25" s="87">
        <f>SUM(EZ26:EZ29)</f>
        <v>50108</v>
      </c>
      <c r="FA25" s="88">
        <f t="shared" si="54"/>
        <v>-8.7452194500091061</v>
      </c>
      <c r="FB25" s="87">
        <v>53222</v>
      </c>
      <c r="FC25" s="87">
        <f>SUM(FC26:FC29)</f>
        <v>50108</v>
      </c>
      <c r="FD25" s="88">
        <f t="shared" si="55"/>
        <v>-5.850963887114351</v>
      </c>
      <c r="FE25" s="73"/>
      <c r="FF25" s="63" t="s">
        <v>1</v>
      </c>
      <c r="FG25" s="63"/>
      <c r="FH25" s="68">
        <v>51364</v>
      </c>
      <c r="FI25" s="68">
        <v>53222</v>
      </c>
      <c r="FJ25" s="65">
        <f t="shared" si="56"/>
        <v>3.617319523401604</v>
      </c>
      <c r="FK25" s="68">
        <v>55532</v>
      </c>
      <c r="FL25" s="68">
        <v>53222</v>
      </c>
      <c r="FM25" s="65">
        <f t="shared" si="57"/>
        <v>-4.1597637398256859</v>
      </c>
      <c r="FN25" s="73"/>
    </row>
    <row r="26" spans="1:170" x14ac:dyDescent="0.5">
      <c r="A26" s="165" t="s">
        <v>1</v>
      </c>
      <c r="B26" s="165"/>
      <c r="C26" s="166">
        <v>52229</v>
      </c>
      <c r="D26" s="166">
        <v>50079</v>
      </c>
      <c r="E26" s="167">
        <f t="shared" si="77"/>
        <v>-4.1164870091328565</v>
      </c>
      <c r="F26" s="166">
        <v>47662</v>
      </c>
      <c r="G26" s="166">
        <v>50079</v>
      </c>
      <c r="H26" s="167">
        <f t="shared" si="58"/>
        <v>5.0711258444882716</v>
      </c>
      <c r="I26" s="165" t="s">
        <v>1</v>
      </c>
      <c r="J26" s="165"/>
      <c r="K26" s="166">
        <v>49871</v>
      </c>
      <c r="L26" s="166">
        <v>47662</v>
      </c>
      <c r="M26" s="167">
        <f t="shared" si="78"/>
        <v>-4.4294279240440337</v>
      </c>
      <c r="N26" s="166">
        <v>64440</v>
      </c>
      <c r="O26" s="166">
        <v>47662</v>
      </c>
      <c r="P26" s="167">
        <f t="shared" si="59"/>
        <v>-26.036623215394165</v>
      </c>
      <c r="Q26" s="165" t="s">
        <v>1</v>
      </c>
      <c r="R26" s="165"/>
      <c r="S26" s="166">
        <v>65088</v>
      </c>
      <c r="T26" s="166">
        <v>64440</v>
      </c>
      <c r="U26" s="167">
        <f t="shared" si="79"/>
        <v>-0.99557522123893805</v>
      </c>
      <c r="V26" s="166">
        <v>67945</v>
      </c>
      <c r="W26" s="166">
        <v>64440</v>
      </c>
      <c r="X26" s="167">
        <f t="shared" si="60"/>
        <v>-5.1585841489439987</v>
      </c>
      <c r="Y26" s="165" t="s">
        <v>1</v>
      </c>
      <c r="Z26" s="165"/>
      <c r="AA26" s="166">
        <v>64735</v>
      </c>
      <c r="AB26" s="166">
        <v>67945</v>
      </c>
      <c r="AC26" s="167">
        <f t="shared" si="80"/>
        <v>4.9586776859504136</v>
      </c>
      <c r="AD26" s="166">
        <v>61758</v>
      </c>
      <c r="AE26" s="166">
        <v>67945</v>
      </c>
      <c r="AF26" s="167">
        <f t="shared" si="61"/>
        <v>10.018135302309013</v>
      </c>
      <c r="AG26" s="165" t="s">
        <v>1</v>
      </c>
      <c r="AH26" s="165"/>
      <c r="AI26" s="166">
        <v>55948</v>
      </c>
      <c r="AJ26" s="166">
        <v>61758</v>
      </c>
      <c r="AK26" s="167">
        <f t="shared" si="81"/>
        <v>10.384642882676772</v>
      </c>
      <c r="AL26" s="166">
        <f>58049-4377</f>
        <v>53672</v>
      </c>
      <c r="AM26" s="166">
        <v>61758</v>
      </c>
      <c r="AN26" s="167">
        <f t="shared" si="62"/>
        <v>15.065583544492473</v>
      </c>
      <c r="AO26" s="165" t="s">
        <v>1</v>
      </c>
      <c r="AP26" s="165"/>
      <c r="AQ26" s="166">
        <v>40418</v>
      </c>
      <c r="AR26" s="166">
        <v>58049</v>
      </c>
      <c r="AS26" s="167">
        <f t="shared" si="82"/>
        <v>43.621653718640211</v>
      </c>
      <c r="AT26" s="166">
        <v>86048</v>
      </c>
      <c r="AU26" s="166">
        <v>58049</v>
      </c>
      <c r="AV26" s="167">
        <f t="shared" si="63"/>
        <v>-32.538815544812202</v>
      </c>
      <c r="AW26" s="165" t="s">
        <v>1</v>
      </c>
      <c r="AX26" s="165"/>
      <c r="AY26" s="166">
        <v>88097</v>
      </c>
      <c r="AZ26" s="166">
        <v>86048</v>
      </c>
      <c r="BA26" s="167">
        <f t="shared" si="83"/>
        <v>-2.3258453749843921</v>
      </c>
      <c r="BB26" s="166">
        <v>87854</v>
      </c>
      <c r="BC26" s="166">
        <v>86048</v>
      </c>
      <c r="BD26" s="167">
        <f t="shared" si="64"/>
        <v>-2.055683292735675</v>
      </c>
      <c r="BE26" s="165" t="s">
        <v>1</v>
      </c>
      <c r="BF26" s="165"/>
      <c r="BG26" s="166">
        <v>84965</v>
      </c>
      <c r="BH26" s="166">
        <v>87854</v>
      </c>
      <c r="BI26" s="167">
        <f t="shared" si="84"/>
        <v>3.4002236214912025</v>
      </c>
      <c r="BJ26" s="166">
        <v>69798</v>
      </c>
      <c r="BK26" s="166">
        <v>87854</v>
      </c>
      <c r="BL26" s="167">
        <f t="shared" si="65"/>
        <v>25.868936072666838</v>
      </c>
      <c r="BM26" s="165" t="s">
        <v>1</v>
      </c>
      <c r="BN26" s="165"/>
      <c r="BO26" s="166">
        <v>84965</v>
      </c>
      <c r="BP26" s="166">
        <v>87854</v>
      </c>
      <c r="BQ26" s="167">
        <f t="shared" si="85"/>
        <v>3.4002236214912025</v>
      </c>
      <c r="BR26" s="166">
        <v>69798</v>
      </c>
      <c r="BS26" s="166">
        <v>87854</v>
      </c>
      <c r="BT26" s="167">
        <f t="shared" si="66"/>
        <v>25.868936072666838</v>
      </c>
      <c r="BU26" s="165" t="s">
        <v>1</v>
      </c>
      <c r="BV26" s="165"/>
      <c r="BW26" s="166">
        <v>66425</v>
      </c>
      <c r="BX26" s="166">
        <v>69798</v>
      </c>
      <c r="BY26" s="167">
        <f t="shared" si="86"/>
        <v>5.0779074143771172</v>
      </c>
      <c r="BZ26" s="166">
        <v>66049</v>
      </c>
      <c r="CA26" s="166">
        <v>69798</v>
      </c>
      <c r="CB26" s="167">
        <f t="shared" si="67"/>
        <v>5.676088964253811</v>
      </c>
      <c r="CC26" s="165" t="s">
        <v>1</v>
      </c>
      <c r="CD26" s="165"/>
      <c r="CE26" s="166">
        <v>66035</v>
      </c>
      <c r="CF26" s="166">
        <v>66049</v>
      </c>
      <c r="CG26" s="167">
        <f t="shared" si="87"/>
        <v>2.1200878322101914E-2</v>
      </c>
      <c r="CH26" s="166">
        <v>60322</v>
      </c>
      <c r="CI26" s="166">
        <v>66049</v>
      </c>
      <c r="CJ26" s="167">
        <f t="shared" si="68"/>
        <v>9.4940486058154576</v>
      </c>
      <c r="CK26" s="167"/>
      <c r="CL26" s="168"/>
      <c r="CM26" s="168" t="s">
        <v>51</v>
      </c>
      <c r="CN26" s="169">
        <v>23139</v>
      </c>
      <c r="CO26" s="169">
        <v>21283</v>
      </c>
      <c r="CP26" s="167">
        <f t="shared" si="88"/>
        <v>-8.0210899347422107</v>
      </c>
      <c r="CQ26" s="169">
        <v>32934</v>
      </c>
      <c r="CR26" s="169">
        <v>21283</v>
      </c>
      <c r="CS26" s="167">
        <f t="shared" si="50"/>
        <v>-35.376814234529661</v>
      </c>
      <c r="CU26" s="168"/>
      <c r="CV26" s="168" t="s">
        <v>51</v>
      </c>
      <c r="CW26" s="169">
        <v>29332</v>
      </c>
      <c r="CX26" s="169">
        <v>32934</v>
      </c>
      <c r="CY26" s="167">
        <f t="shared" si="89"/>
        <v>12.280103641074595</v>
      </c>
      <c r="CZ26" s="169">
        <v>49664</v>
      </c>
      <c r="DA26" s="169">
        <v>32934</v>
      </c>
      <c r="DB26" s="167">
        <f t="shared" si="51"/>
        <v>-33.686372422680414</v>
      </c>
      <c r="DC26" s="73"/>
      <c r="DD26" s="226"/>
      <c r="DE26" s="226" t="s">
        <v>51</v>
      </c>
      <c r="DF26" s="227">
        <v>51469</v>
      </c>
      <c r="DG26" s="227">
        <v>49664</v>
      </c>
      <c r="DH26" s="225">
        <f t="shared" si="69"/>
        <v>-3.5069653577881832</v>
      </c>
      <c r="DI26" s="227">
        <v>60373</v>
      </c>
      <c r="DJ26" s="227">
        <v>49664</v>
      </c>
      <c r="DK26" s="225">
        <f t="shared" si="70"/>
        <v>-17.738061716330147</v>
      </c>
      <c r="DL26" s="73"/>
      <c r="DM26" s="194"/>
      <c r="DN26" s="194" t="s">
        <v>51</v>
      </c>
      <c r="DO26" s="195">
        <v>55983</v>
      </c>
      <c r="DP26" s="195">
        <v>60373</v>
      </c>
      <c r="DQ26" s="193">
        <f t="shared" si="71"/>
        <v>7.8416662201025309</v>
      </c>
      <c r="DR26" s="195">
        <v>32775</v>
      </c>
      <c r="DS26" s="195">
        <v>60373</v>
      </c>
      <c r="DT26" s="193">
        <f t="shared" si="72"/>
        <v>84.204424103737608</v>
      </c>
      <c r="DU26" s="73"/>
      <c r="DV26" s="152"/>
      <c r="DW26" s="152" t="s">
        <v>51</v>
      </c>
      <c r="DX26" s="148">
        <v>23576</v>
      </c>
      <c r="DY26" s="148">
        <v>32775</v>
      </c>
      <c r="DZ26" s="151">
        <f t="shared" si="73"/>
        <v>39.018493383101458</v>
      </c>
      <c r="EA26" s="148">
        <v>32946</v>
      </c>
      <c r="EB26" s="148">
        <v>32775</v>
      </c>
      <c r="EC26" s="151">
        <f t="shared" si="74"/>
        <v>-0.51903114186851207</v>
      </c>
      <c r="ED26" s="155"/>
      <c r="EE26" s="89"/>
      <c r="EF26" s="89" t="s">
        <v>51</v>
      </c>
      <c r="EG26" s="90">
        <f>23977+2306+947+578</f>
        <v>27808</v>
      </c>
      <c r="EH26" s="90">
        <v>32946</v>
      </c>
      <c r="EI26" s="129">
        <f t="shared" si="75"/>
        <v>18.476697353279629</v>
      </c>
      <c r="EJ26" s="90">
        <v>18746</v>
      </c>
      <c r="EK26" s="90">
        <v>32946</v>
      </c>
      <c r="EL26" s="129">
        <f t="shared" si="76"/>
        <v>75.749493225221372</v>
      </c>
      <c r="EM26" s="130"/>
      <c r="EN26" s="42"/>
      <c r="EO26" s="42" t="s">
        <v>51</v>
      </c>
      <c r="EP26" s="43">
        <v>17361</v>
      </c>
      <c r="EQ26" s="43">
        <v>18746</v>
      </c>
      <c r="ER26" s="44">
        <f t="shared" si="52"/>
        <v>7.9776510569667645</v>
      </c>
      <c r="ES26" s="45">
        <v>20582</v>
      </c>
      <c r="ET26" s="43">
        <v>18746</v>
      </c>
      <c r="EU26" s="44">
        <f t="shared" si="53"/>
        <v>-8.9204158973860643</v>
      </c>
      <c r="EV26" s="61"/>
      <c r="EW26" s="89"/>
      <c r="EX26" s="89" t="s">
        <v>51</v>
      </c>
      <c r="EY26" s="90">
        <f>17680+2313+869+393</f>
        <v>21255</v>
      </c>
      <c r="EZ26" s="90">
        <v>20582</v>
      </c>
      <c r="FA26" s="91">
        <f t="shared" si="54"/>
        <v>-3.166313808515643</v>
      </c>
      <c r="FB26" s="92">
        <v>15914</v>
      </c>
      <c r="FC26" s="90">
        <v>20582</v>
      </c>
      <c r="FD26" s="91">
        <f t="shared" si="55"/>
        <v>29.332663063968834</v>
      </c>
      <c r="FE26" s="61"/>
      <c r="FF26" s="42"/>
      <c r="FG26" s="42" t="s">
        <v>51</v>
      </c>
      <c r="FH26" s="43">
        <v>16422</v>
      </c>
      <c r="FI26" s="43">
        <v>15914</v>
      </c>
      <c r="FJ26" s="44">
        <f t="shared" si="56"/>
        <v>-3.0934112775545</v>
      </c>
      <c r="FK26" s="45">
        <v>16030</v>
      </c>
      <c r="FL26" s="43">
        <v>15914</v>
      </c>
      <c r="FM26" s="44">
        <f t="shared" si="57"/>
        <v>-0.72364316905801618</v>
      </c>
      <c r="FN26" s="61"/>
    </row>
    <row r="27" spans="1:170" x14ac:dyDescent="0.5">
      <c r="A27" s="168"/>
      <c r="B27" s="168" t="s">
        <v>51</v>
      </c>
      <c r="C27" s="169">
        <v>21935</v>
      </c>
      <c r="D27" s="169">
        <f>D26-D28-D29-D30</f>
        <v>19398</v>
      </c>
      <c r="E27" s="167">
        <f t="shared" si="77"/>
        <v>-11.565990426259402</v>
      </c>
      <c r="F27" s="169">
        <v>17737</v>
      </c>
      <c r="G27" s="169">
        <v>19398</v>
      </c>
      <c r="H27" s="167">
        <f t="shared" si="58"/>
        <v>9.3646050628629425</v>
      </c>
      <c r="I27" s="168"/>
      <c r="J27" s="168" t="s">
        <v>51</v>
      </c>
      <c r="K27" s="169">
        <v>18686</v>
      </c>
      <c r="L27" s="169">
        <v>17737</v>
      </c>
      <c r="M27" s="167">
        <f t="shared" si="78"/>
        <v>-5.0786685218880443</v>
      </c>
      <c r="N27" s="169">
        <v>24333</v>
      </c>
      <c r="O27" s="169">
        <v>17737</v>
      </c>
      <c r="P27" s="167">
        <f t="shared" si="59"/>
        <v>-27.107220646858178</v>
      </c>
      <c r="Q27" s="168"/>
      <c r="R27" s="168" t="s">
        <v>51</v>
      </c>
      <c r="S27" s="169">
        <v>25985</v>
      </c>
      <c r="T27" s="169">
        <v>24333</v>
      </c>
      <c r="U27" s="167">
        <f t="shared" si="79"/>
        <v>-6.3575139503559752</v>
      </c>
      <c r="V27" s="169">
        <v>19591</v>
      </c>
      <c r="W27" s="169">
        <v>24333</v>
      </c>
      <c r="X27" s="167">
        <f t="shared" si="60"/>
        <v>24.204992088203767</v>
      </c>
      <c r="Y27" s="168"/>
      <c r="Z27" s="168" t="s">
        <v>51</v>
      </c>
      <c r="AA27" s="169">
        <v>20084</v>
      </c>
      <c r="AB27" s="169">
        <v>19591</v>
      </c>
      <c r="AC27" s="167">
        <f t="shared" si="80"/>
        <v>-2.454690300736905</v>
      </c>
      <c r="AD27" s="169">
        <v>19322</v>
      </c>
      <c r="AE27" s="169">
        <v>19591</v>
      </c>
      <c r="AF27" s="167">
        <f t="shared" si="61"/>
        <v>1.3921954249042543</v>
      </c>
      <c r="AG27" s="168"/>
      <c r="AH27" s="168" t="s">
        <v>51</v>
      </c>
      <c r="AI27" s="169">
        <v>15569</v>
      </c>
      <c r="AJ27" s="169">
        <v>19322</v>
      </c>
      <c r="AK27" s="167">
        <f t="shared" si="81"/>
        <v>24.10559445051063</v>
      </c>
      <c r="AL27" s="169">
        <f>20804-4377</f>
        <v>16427</v>
      </c>
      <c r="AM27" s="169">
        <v>19322</v>
      </c>
      <c r="AN27" s="167">
        <f t="shared" si="62"/>
        <v>17.623424849333414</v>
      </c>
      <c r="AO27" s="168"/>
      <c r="AP27" s="168" t="s">
        <v>51</v>
      </c>
      <c r="AQ27" s="169">
        <v>11733</v>
      </c>
      <c r="AR27" s="169">
        <v>20804</v>
      </c>
      <c r="AS27" s="167">
        <f t="shared" si="82"/>
        <v>77.311855450438941</v>
      </c>
      <c r="AT27" s="169">
        <v>35409</v>
      </c>
      <c r="AU27" s="169">
        <v>20804</v>
      </c>
      <c r="AV27" s="167">
        <f t="shared" si="63"/>
        <v>-41.246575729334353</v>
      </c>
      <c r="AW27" s="168"/>
      <c r="AX27" s="168" t="s">
        <v>51</v>
      </c>
      <c r="AY27" s="169">
        <v>33580</v>
      </c>
      <c r="AZ27" s="169">
        <v>35409</v>
      </c>
      <c r="BA27" s="167">
        <f t="shared" si="83"/>
        <v>5.4466944609886836</v>
      </c>
      <c r="BB27" s="169">
        <v>37131</v>
      </c>
      <c r="BC27" s="169">
        <v>35409</v>
      </c>
      <c r="BD27" s="167">
        <f t="shared" si="64"/>
        <v>-4.6376343217257814</v>
      </c>
      <c r="BE27" s="168"/>
      <c r="BF27" s="168" t="s">
        <v>51</v>
      </c>
      <c r="BG27" s="169">
        <v>33160</v>
      </c>
      <c r="BH27" s="169">
        <v>37131</v>
      </c>
      <c r="BI27" s="167">
        <f t="shared" si="84"/>
        <v>11.975271411338962</v>
      </c>
      <c r="BJ27" s="169">
        <v>29424</v>
      </c>
      <c r="BK27" s="169">
        <v>37131</v>
      </c>
      <c r="BL27" s="167">
        <f t="shared" si="65"/>
        <v>26.192903752039154</v>
      </c>
      <c r="BM27" s="168"/>
      <c r="BN27" s="168" t="s">
        <v>51</v>
      </c>
      <c r="BO27" s="169">
        <v>33160</v>
      </c>
      <c r="BP27" s="169">
        <v>37131</v>
      </c>
      <c r="BQ27" s="167">
        <f t="shared" si="85"/>
        <v>11.975271411338962</v>
      </c>
      <c r="BR27" s="169">
        <v>29424</v>
      </c>
      <c r="BS27" s="169">
        <v>37131</v>
      </c>
      <c r="BT27" s="167">
        <f t="shared" si="66"/>
        <v>26.192903752039154</v>
      </c>
      <c r="BU27" s="168"/>
      <c r="BV27" s="168" t="s">
        <v>51</v>
      </c>
      <c r="BW27" s="169">
        <v>26154</v>
      </c>
      <c r="BX27" s="169">
        <v>29424</v>
      </c>
      <c r="BY27" s="167">
        <f t="shared" si="86"/>
        <v>12.502867630190412</v>
      </c>
      <c r="BZ27" s="169">
        <v>25460</v>
      </c>
      <c r="CA27" s="169">
        <v>29424</v>
      </c>
      <c r="CB27" s="167">
        <f t="shared" si="67"/>
        <v>15.569520816967794</v>
      </c>
      <c r="CC27" s="168"/>
      <c r="CD27" s="168" t="s">
        <v>51</v>
      </c>
      <c r="CE27" s="169">
        <v>25050</v>
      </c>
      <c r="CF27" s="169">
        <v>25460</v>
      </c>
      <c r="CG27" s="167">
        <f t="shared" si="87"/>
        <v>1.6367265469061876</v>
      </c>
      <c r="CH27" s="169">
        <v>21283</v>
      </c>
      <c r="CI27" s="169">
        <v>25460</v>
      </c>
      <c r="CJ27" s="167">
        <f t="shared" si="68"/>
        <v>19.625992576234552</v>
      </c>
      <c r="CK27" s="167"/>
      <c r="CL27" s="168"/>
      <c r="CM27" s="168" t="s">
        <v>52</v>
      </c>
      <c r="CN27" s="169">
        <v>23267</v>
      </c>
      <c r="CO27" s="169">
        <v>27939</v>
      </c>
      <c r="CP27" s="167">
        <f t="shared" si="88"/>
        <v>20.079941548115357</v>
      </c>
      <c r="CQ27" s="169">
        <v>29739</v>
      </c>
      <c r="CR27" s="169">
        <v>27939</v>
      </c>
      <c r="CS27" s="167">
        <f t="shared" si="50"/>
        <v>-6.0526581256935339</v>
      </c>
      <c r="CU27" s="168"/>
      <c r="CV27" s="168" t="s">
        <v>52</v>
      </c>
      <c r="CW27" s="169">
        <v>28841</v>
      </c>
      <c r="CX27" s="169">
        <v>29739</v>
      </c>
      <c r="CY27" s="167">
        <f t="shared" si="89"/>
        <v>3.1136229673034914</v>
      </c>
      <c r="CZ27" s="169">
        <v>43436</v>
      </c>
      <c r="DA27" s="169">
        <v>29739</v>
      </c>
      <c r="DB27" s="167">
        <f t="shared" si="51"/>
        <v>-31.533750805783221</v>
      </c>
      <c r="DC27" s="73"/>
      <c r="DD27" s="226"/>
      <c r="DE27" s="226" t="s">
        <v>52</v>
      </c>
      <c r="DF27" s="227">
        <v>45128</v>
      </c>
      <c r="DG27" s="227">
        <v>43436</v>
      </c>
      <c r="DH27" s="225">
        <f t="shared" si="69"/>
        <v>-3.7493352242510194</v>
      </c>
      <c r="DI27" s="227">
        <v>49539</v>
      </c>
      <c r="DJ27" s="227">
        <v>43436</v>
      </c>
      <c r="DK27" s="225">
        <f t="shared" si="70"/>
        <v>-12.319586588344537</v>
      </c>
      <c r="DL27" s="73"/>
      <c r="DM27" s="194"/>
      <c r="DN27" s="194" t="s">
        <v>52</v>
      </c>
      <c r="DO27" s="195">
        <v>47445</v>
      </c>
      <c r="DP27" s="195">
        <v>49539</v>
      </c>
      <c r="DQ27" s="193">
        <f t="shared" si="71"/>
        <v>4.4135314574770792</v>
      </c>
      <c r="DR27" s="195">
        <v>29718</v>
      </c>
      <c r="DS27" s="195">
        <v>49539</v>
      </c>
      <c r="DT27" s="193">
        <f t="shared" si="72"/>
        <v>66.696951342620636</v>
      </c>
      <c r="DU27" s="73"/>
      <c r="DV27" s="152"/>
      <c r="DW27" s="152" t="s">
        <v>52</v>
      </c>
      <c r="DX27" s="148">
        <v>24442</v>
      </c>
      <c r="DY27" s="148">
        <v>29718</v>
      </c>
      <c r="DZ27" s="151">
        <f t="shared" si="73"/>
        <v>21.585794943130676</v>
      </c>
      <c r="EA27" s="148">
        <v>28866</v>
      </c>
      <c r="EB27" s="148">
        <v>29718</v>
      </c>
      <c r="EC27" s="151">
        <f t="shared" si="74"/>
        <v>2.9515693203076285</v>
      </c>
      <c r="ED27" s="155"/>
      <c r="EE27" s="89"/>
      <c r="EF27" s="89" t="s">
        <v>52</v>
      </c>
      <c r="EG27" s="90">
        <f>29119-3038</f>
        <v>26081</v>
      </c>
      <c r="EH27" s="90">
        <v>28866</v>
      </c>
      <c r="EI27" s="129">
        <f t="shared" si="75"/>
        <v>10.678271538667996</v>
      </c>
      <c r="EJ27" s="90">
        <v>19227</v>
      </c>
      <c r="EK27" s="90">
        <v>28866</v>
      </c>
      <c r="EL27" s="129">
        <f t="shared" si="76"/>
        <v>50.132625994694955</v>
      </c>
      <c r="EM27" s="130"/>
      <c r="EN27" s="42"/>
      <c r="EO27" s="42" t="s">
        <v>52</v>
      </c>
      <c r="EP27" s="43">
        <f>20209-2133</f>
        <v>18076</v>
      </c>
      <c r="EQ27" s="43">
        <v>19227</v>
      </c>
      <c r="ER27" s="44">
        <f t="shared" si="52"/>
        <v>6.3675591945120598</v>
      </c>
      <c r="ES27" s="45">
        <v>24040</v>
      </c>
      <c r="ET27" s="43">
        <v>19227</v>
      </c>
      <c r="EU27" s="44">
        <f t="shared" si="53"/>
        <v>-20.020798668885192</v>
      </c>
      <c r="EV27" s="61"/>
      <c r="EW27" s="89"/>
      <c r="EX27" s="89" t="s">
        <v>52</v>
      </c>
      <c r="EY27" s="90">
        <f>29133-2027</f>
        <v>27106</v>
      </c>
      <c r="EZ27" s="90">
        <v>24040</v>
      </c>
      <c r="FA27" s="91">
        <f t="shared" si="54"/>
        <v>-11.311148823138788</v>
      </c>
      <c r="FB27" s="92">
        <v>30952</v>
      </c>
      <c r="FC27" s="90">
        <v>24040</v>
      </c>
      <c r="FD27" s="91">
        <f t="shared" si="55"/>
        <v>-22.33135177048333</v>
      </c>
      <c r="FE27" s="61"/>
      <c r="FF27" s="42"/>
      <c r="FG27" s="42" t="s">
        <v>52</v>
      </c>
      <c r="FH27" s="43">
        <v>28711</v>
      </c>
      <c r="FI27" s="43">
        <v>30952</v>
      </c>
      <c r="FJ27" s="44">
        <f t="shared" si="56"/>
        <v>7.8053707638187459</v>
      </c>
      <c r="FK27" s="45">
        <v>34247</v>
      </c>
      <c r="FL27" s="43">
        <v>30952</v>
      </c>
      <c r="FM27" s="44">
        <f t="shared" si="57"/>
        <v>-9.6212806961193671</v>
      </c>
      <c r="FN27" s="61"/>
    </row>
    <row r="28" spans="1:170" x14ac:dyDescent="0.5">
      <c r="A28" s="168"/>
      <c r="B28" s="168" t="s">
        <v>52</v>
      </c>
      <c r="C28" s="169">
        <v>11234</v>
      </c>
      <c r="D28" s="169">
        <v>11275</v>
      </c>
      <c r="E28" s="167">
        <f t="shared" si="77"/>
        <v>0.36496350364963503</v>
      </c>
      <c r="F28" s="169">
        <v>14071</v>
      </c>
      <c r="G28" s="169">
        <v>11275</v>
      </c>
      <c r="H28" s="167">
        <f t="shared" si="58"/>
        <v>-19.870655959064742</v>
      </c>
      <c r="I28" s="168"/>
      <c r="J28" s="168" t="s">
        <v>52</v>
      </c>
      <c r="K28" s="169">
        <v>14832</v>
      </c>
      <c r="L28" s="169">
        <v>14071</v>
      </c>
      <c r="M28" s="167">
        <f t="shared" si="78"/>
        <v>-5.1307982740021574</v>
      </c>
      <c r="N28" s="169">
        <v>22139</v>
      </c>
      <c r="O28" s="169">
        <v>14071</v>
      </c>
      <c r="P28" s="167">
        <f t="shared" si="59"/>
        <v>-36.442477076652061</v>
      </c>
      <c r="Q28" s="168"/>
      <c r="R28" s="168" t="s">
        <v>52</v>
      </c>
      <c r="S28" s="169">
        <v>22427</v>
      </c>
      <c r="T28" s="169">
        <v>22139</v>
      </c>
      <c r="U28" s="167">
        <f t="shared" si="79"/>
        <v>-1.2841664065635172</v>
      </c>
      <c r="V28" s="169">
        <v>33433</v>
      </c>
      <c r="W28" s="169">
        <v>22139</v>
      </c>
      <c r="X28" s="167">
        <f t="shared" si="60"/>
        <v>-33.780994825471836</v>
      </c>
      <c r="Y28" s="168"/>
      <c r="Z28" s="168" t="s">
        <v>52</v>
      </c>
      <c r="AA28" s="169">
        <v>29237</v>
      </c>
      <c r="AB28" s="169">
        <v>33433</v>
      </c>
      <c r="AC28" s="167">
        <f t="shared" si="80"/>
        <v>14.35167766870746</v>
      </c>
      <c r="AD28" s="169">
        <v>25547</v>
      </c>
      <c r="AE28" s="169">
        <v>33433</v>
      </c>
      <c r="AF28" s="167">
        <f t="shared" si="61"/>
        <v>30.868595138372413</v>
      </c>
      <c r="AG28" s="168"/>
      <c r="AH28" s="168" t="s">
        <v>52</v>
      </c>
      <c r="AI28" s="169">
        <v>27739</v>
      </c>
      <c r="AJ28" s="169">
        <v>25547</v>
      </c>
      <c r="AK28" s="167">
        <f t="shared" si="81"/>
        <v>-7.9022315151952132</v>
      </c>
      <c r="AL28" s="169">
        <v>26584</v>
      </c>
      <c r="AM28" s="169">
        <v>25547</v>
      </c>
      <c r="AN28" s="167">
        <f t="shared" si="62"/>
        <v>-3.9008426120975019</v>
      </c>
      <c r="AO28" s="168"/>
      <c r="AP28" s="168" t="s">
        <v>52</v>
      </c>
      <c r="AQ28" s="169">
        <v>20567</v>
      </c>
      <c r="AR28" s="169">
        <v>26584</v>
      </c>
      <c r="AS28" s="167">
        <f t="shared" si="82"/>
        <v>29.255603636894051</v>
      </c>
      <c r="AT28" s="169">
        <v>35429</v>
      </c>
      <c r="AU28" s="169">
        <v>26584</v>
      </c>
      <c r="AV28" s="167">
        <f t="shared" si="63"/>
        <v>-24.965423805357194</v>
      </c>
      <c r="AW28" s="168"/>
      <c r="AX28" s="168" t="s">
        <v>52</v>
      </c>
      <c r="AY28" s="169">
        <v>38686</v>
      </c>
      <c r="AZ28" s="169">
        <v>35429</v>
      </c>
      <c r="BA28" s="167">
        <f t="shared" si="83"/>
        <v>-8.4190663289045133</v>
      </c>
      <c r="BB28" s="169">
        <v>35661</v>
      </c>
      <c r="BC28" s="169">
        <v>35429</v>
      </c>
      <c r="BD28" s="167">
        <f t="shared" si="64"/>
        <v>-0.65057065141190662</v>
      </c>
      <c r="BE28" s="168"/>
      <c r="BF28" s="168" t="s">
        <v>52</v>
      </c>
      <c r="BG28" s="169">
        <v>35647</v>
      </c>
      <c r="BH28" s="169">
        <v>35661</v>
      </c>
      <c r="BI28" s="167">
        <f t="shared" si="84"/>
        <v>3.9273992201307263E-2</v>
      </c>
      <c r="BJ28" s="169">
        <v>26207</v>
      </c>
      <c r="BK28" s="169">
        <v>35661</v>
      </c>
      <c r="BL28" s="167">
        <f t="shared" si="65"/>
        <v>36.074331285534399</v>
      </c>
      <c r="BM28" s="168"/>
      <c r="BN28" s="168" t="s">
        <v>52</v>
      </c>
      <c r="BO28" s="169">
        <v>35647</v>
      </c>
      <c r="BP28" s="169">
        <v>35661</v>
      </c>
      <c r="BQ28" s="167">
        <f t="shared" si="85"/>
        <v>3.9273992201307263E-2</v>
      </c>
      <c r="BR28" s="169">
        <v>26207</v>
      </c>
      <c r="BS28" s="169">
        <v>35661</v>
      </c>
      <c r="BT28" s="167">
        <f t="shared" si="66"/>
        <v>36.074331285534399</v>
      </c>
      <c r="BU28" s="168"/>
      <c r="BV28" s="168" t="s">
        <v>52</v>
      </c>
      <c r="BW28" s="169">
        <v>27688</v>
      </c>
      <c r="BX28" s="169">
        <v>26207</v>
      </c>
      <c r="BY28" s="167">
        <f t="shared" si="86"/>
        <v>-5.3488876047385148</v>
      </c>
      <c r="BZ28" s="169">
        <v>27097</v>
      </c>
      <c r="CA28" s="169">
        <v>26207</v>
      </c>
      <c r="CB28" s="167">
        <f t="shared" si="67"/>
        <v>-3.2844964387201534</v>
      </c>
      <c r="CC28" s="168"/>
      <c r="CD28" s="168" t="s">
        <v>52</v>
      </c>
      <c r="CE28" s="169">
        <v>28904</v>
      </c>
      <c r="CF28" s="169">
        <v>27097</v>
      </c>
      <c r="CG28" s="167">
        <f t="shared" si="87"/>
        <v>-6.2517298643786328</v>
      </c>
      <c r="CH28" s="169">
        <v>27939</v>
      </c>
      <c r="CI28" s="169">
        <v>27097</v>
      </c>
      <c r="CJ28" s="167">
        <f t="shared" si="68"/>
        <v>-3.0137084362360858</v>
      </c>
      <c r="CK28" s="167"/>
      <c r="CL28" s="168"/>
      <c r="CM28" s="168" t="s">
        <v>53</v>
      </c>
      <c r="CN28" s="169">
        <v>3804</v>
      </c>
      <c r="CO28" s="169">
        <v>4296</v>
      </c>
      <c r="CP28" s="167">
        <f t="shared" si="88"/>
        <v>12.933753943217665</v>
      </c>
      <c r="CQ28" s="169">
        <v>4034</v>
      </c>
      <c r="CR28" s="169">
        <v>4296</v>
      </c>
      <c r="CS28" s="167">
        <f t="shared" si="50"/>
        <v>6.4947942488844816</v>
      </c>
      <c r="CU28" s="168"/>
      <c r="CV28" s="168" t="s">
        <v>53</v>
      </c>
      <c r="CW28" s="169">
        <v>3816</v>
      </c>
      <c r="CX28" s="169">
        <v>4034</v>
      </c>
      <c r="CY28" s="167">
        <f t="shared" si="89"/>
        <v>5.7127882599580708</v>
      </c>
      <c r="CZ28" s="169">
        <v>7201</v>
      </c>
      <c r="DA28" s="169">
        <v>4034</v>
      </c>
      <c r="DB28" s="167">
        <f t="shared" si="51"/>
        <v>-43.980002777392031</v>
      </c>
      <c r="DC28" s="73"/>
      <c r="DD28" s="226"/>
      <c r="DE28" s="226" t="s">
        <v>53</v>
      </c>
      <c r="DF28" s="227">
        <v>6530</v>
      </c>
      <c r="DG28" s="227">
        <v>7201</v>
      </c>
      <c r="DH28" s="225">
        <f t="shared" si="69"/>
        <v>10.275650842266462</v>
      </c>
      <c r="DI28" s="227">
        <v>6345</v>
      </c>
      <c r="DJ28" s="227">
        <v>7201</v>
      </c>
      <c r="DK28" s="225">
        <f t="shared" si="70"/>
        <v>13.490937746256895</v>
      </c>
      <c r="DL28" s="73"/>
      <c r="DM28" s="194"/>
      <c r="DN28" s="194" t="s">
        <v>53</v>
      </c>
      <c r="DO28" s="195">
        <v>5939</v>
      </c>
      <c r="DP28" s="195">
        <v>6345</v>
      </c>
      <c r="DQ28" s="193">
        <f t="shared" si="71"/>
        <v>6.8361677050008423</v>
      </c>
      <c r="DR28" s="195">
        <v>4151</v>
      </c>
      <c r="DS28" s="195">
        <v>6345</v>
      </c>
      <c r="DT28" s="193">
        <f t="shared" si="72"/>
        <v>52.854733799084563</v>
      </c>
      <c r="DU28" s="73"/>
      <c r="DV28" s="152"/>
      <c r="DW28" s="152" t="s">
        <v>53</v>
      </c>
      <c r="DX28" s="148">
        <v>3839</v>
      </c>
      <c r="DY28" s="148">
        <v>4151</v>
      </c>
      <c r="DZ28" s="151">
        <f t="shared" si="73"/>
        <v>8.1271164365720239</v>
      </c>
      <c r="EA28" s="148">
        <v>4398</v>
      </c>
      <c r="EB28" s="148">
        <v>4151</v>
      </c>
      <c r="EC28" s="151">
        <f t="shared" si="74"/>
        <v>-5.6161891768985903</v>
      </c>
      <c r="ED28" s="155"/>
      <c r="EE28" s="89"/>
      <c r="EF28" s="89" t="s">
        <v>53</v>
      </c>
      <c r="EG28" s="90">
        <f>1885+313+656+1089+35</f>
        <v>3978</v>
      </c>
      <c r="EH28" s="90">
        <v>4398</v>
      </c>
      <c r="EI28" s="129">
        <f t="shared" si="75"/>
        <v>10.558069381598793</v>
      </c>
      <c r="EJ28" s="90">
        <v>2564</v>
      </c>
      <c r="EK28" s="90">
        <v>4398</v>
      </c>
      <c r="EL28" s="129">
        <f t="shared" si="76"/>
        <v>71.528861154446176</v>
      </c>
      <c r="EM28" s="130"/>
      <c r="EN28" s="42"/>
      <c r="EO28" s="42" t="s">
        <v>53</v>
      </c>
      <c r="EP28" s="43">
        <f>1063+166+426+729+19</f>
        <v>2403</v>
      </c>
      <c r="EQ28" s="43">
        <v>2564</v>
      </c>
      <c r="ER28" s="44">
        <f t="shared" si="52"/>
        <v>6.6999583853516436</v>
      </c>
      <c r="ES28" s="45">
        <v>3322</v>
      </c>
      <c r="ET28" s="43">
        <v>2564</v>
      </c>
      <c r="EU28" s="44">
        <f t="shared" si="53"/>
        <v>-22.817579771222153</v>
      </c>
      <c r="EV28" s="61"/>
      <c r="EW28" s="89"/>
      <c r="EX28" s="89" t="s">
        <v>53</v>
      </c>
      <c r="EY28" s="90">
        <f>1408+701+501+693+58</f>
        <v>3361</v>
      </c>
      <c r="EZ28" s="90">
        <v>3322</v>
      </c>
      <c r="FA28" s="91">
        <f t="shared" si="54"/>
        <v>-1.1603689378161262</v>
      </c>
      <c r="FB28" s="92">
        <v>3322</v>
      </c>
      <c r="FC28" s="90">
        <v>3322</v>
      </c>
      <c r="FD28" s="91">
        <f t="shared" si="55"/>
        <v>0</v>
      </c>
      <c r="FE28" s="61"/>
      <c r="FF28" s="42"/>
      <c r="FG28" s="42" t="s">
        <v>53</v>
      </c>
      <c r="FH28" s="43">
        <v>3136</v>
      </c>
      <c r="FI28" s="43">
        <v>3322</v>
      </c>
      <c r="FJ28" s="44">
        <f t="shared" si="56"/>
        <v>5.9311224489795924</v>
      </c>
      <c r="FK28" s="45">
        <v>3164</v>
      </c>
      <c r="FL28" s="43">
        <v>3322</v>
      </c>
      <c r="FM28" s="44">
        <f t="shared" si="57"/>
        <v>4.9936788874841973</v>
      </c>
      <c r="FN28" s="61"/>
    </row>
    <row r="29" spans="1:170" x14ac:dyDescent="0.5">
      <c r="A29" s="168"/>
      <c r="B29" s="168" t="s">
        <v>53</v>
      </c>
      <c r="C29" s="169">
        <v>2336</v>
      </c>
      <c r="D29" s="169">
        <v>2519</v>
      </c>
      <c r="E29" s="167">
        <f>((D29-C29)/C29)*100</f>
        <v>7.8339041095890405</v>
      </c>
      <c r="F29" s="169">
        <v>2895</v>
      </c>
      <c r="G29" s="169">
        <v>2519</v>
      </c>
      <c r="H29" s="167">
        <f t="shared" si="58"/>
        <v>-12.987910189982729</v>
      </c>
      <c r="I29" s="168"/>
      <c r="J29" s="168" t="s">
        <v>53</v>
      </c>
      <c r="K29" s="169">
        <v>2541</v>
      </c>
      <c r="L29" s="169">
        <v>2895</v>
      </c>
      <c r="M29" s="167">
        <f>((L29-K29)/K29)*100</f>
        <v>13.931523022432113</v>
      </c>
      <c r="N29" s="169">
        <v>4048</v>
      </c>
      <c r="O29" s="169">
        <v>2895</v>
      </c>
      <c r="P29" s="167">
        <f t="shared" si="59"/>
        <v>-28.483201581027668</v>
      </c>
      <c r="Q29" s="168"/>
      <c r="R29" s="168" t="s">
        <v>53</v>
      </c>
      <c r="S29" s="169">
        <v>3369</v>
      </c>
      <c r="T29" s="169">
        <v>4048</v>
      </c>
      <c r="U29" s="167">
        <f>((T29-S29)/S29)*100</f>
        <v>20.154348471356485</v>
      </c>
      <c r="V29" s="169">
        <v>3865</v>
      </c>
      <c r="W29" s="169">
        <v>4048</v>
      </c>
      <c r="X29" s="167">
        <f t="shared" si="60"/>
        <v>4.7347994825355757</v>
      </c>
      <c r="Y29" s="168"/>
      <c r="Z29" s="168" t="s">
        <v>53</v>
      </c>
      <c r="AA29" s="169">
        <v>3903</v>
      </c>
      <c r="AB29" s="169">
        <v>3865</v>
      </c>
      <c r="AC29" s="167">
        <f>((AB29-AA29)/AA29)*100</f>
        <v>-0.9736100435562387</v>
      </c>
      <c r="AD29" s="169">
        <v>7508</v>
      </c>
      <c r="AE29" s="169">
        <v>3865</v>
      </c>
      <c r="AF29" s="167">
        <f t="shared" si="61"/>
        <v>-48.52157698454981</v>
      </c>
      <c r="AG29" s="168"/>
      <c r="AH29" s="168" t="s">
        <v>53</v>
      </c>
      <c r="AI29" s="169">
        <v>3323</v>
      </c>
      <c r="AJ29" s="169">
        <v>7508</v>
      </c>
      <c r="AK29" s="167">
        <f>((AJ29-AI29)/AI29)*100</f>
        <v>125.94041528739091</v>
      </c>
      <c r="AL29" s="169">
        <v>3456</v>
      </c>
      <c r="AM29" s="169">
        <v>7508</v>
      </c>
      <c r="AN29" s="167">
        <f t="shared" si="62"/>
        <v>117.24537037037037</v>
      </c>
      <c r="AO29" s="168"/>
      <c r="AP29" s="168" t="s">
        <v>53</v>
      </c>
      <c r="AQ29" s="169">
        <v>2466</v>
      </c>
      <c r="AR29" s="169">
        <v>3456</v>
      </c>
      <c r="AS29" s="167">
        <f>((AR29-AQ29)/AQ29)*100</f>
        <v>40.145985401459853</v>
      </c>
      <c r="AT29" s="169">
        <v>3908</v>
      </c>
      <c r="AU29" s="169">
        <v>3456</v>
      </c>
      <c r="AV29" s="167">
        <f t="shared" si="63"/>
        <v>-11.566018423746161</v>
      </c>
      <c r="AW29" s="168"/>
      <c r="AX29" s="168" t="s">
        <v>53</v>
      </c>
      <c r="AY29" s="169">
        <v>4290</v>
      </c>
      <c r="AZ29" s="169">
        <v>3908</v>
      </c>
      <c r="BA29" s="167">
        <f>((AZ29-AY29)/AY29)*100</f>
        <v>-8.9044289044289044</v>
      </c>
      <c r="BB29" s="169">
        <v>3808</v>
      </c>
      <c r="BC29" s="169">
        <v>3908</v>
      </c>
      <c r="BD29" s="167">
        <f t="shared" si="64"/>
        <v>2.6260504201680672</v>
      </c>
      <c r="BE29" s="168"/>
      <c r="BF29" s="168" t="s">
        <v>53</v>
      </c>
      <c r="BG29" s="169">
        <v>3828</v>
      </c>
      <c r="BH29" s="169">
        <v>3808</v>
      </c>
      <c r="BI29" s="167">
        <f t="shared" si="84"/>
        <v>-0.52246603970741901</v>
      </c>
      <c r="BJ29" s="169">
        <v>3811</v>
      </c>
      <c r="BK29" s="169">
        <v>3808</v>
      </c>
      <c r="BL29" s="167">
        <f t="shared" si="65"/>
        <v>-7.871949619522435E-2</v>
      </c>
      <c r="BM29" s="168"/>
      <c r="BN29" s="168" t="s">
        <v>53</v>
      </c>
      <c r="BO29" s="169">
        <v>3828</v>
      </c>
      <c r="BP29" s="169">
        <v>3808</v>
      </c>
      <c r="BQ29" s="167">
        <f t="shared" si="85"/>
        <v>-0.52246603970741901</v>
      </c>
      <c r="BR29" s="169">
        <v>3811</v>
      </c>
      <c r="BS29" s="169">
        <v>3808</v>
      </c>
      <c r="BT29" s="167">
        <f t="shared" si="66"/>
        <v>-7.871949619522435E-2</v>
      </c>
      <c r="BU29" s="168"/>
      <c r="BV29" s="168" t="s">
        <v>53</v>
      </c>
      <c r="BW29" s="169">
        <v>3457</v>
      </c>
      <c r="BX29" s="169">
        <v>3811</v>
      </c>
      <c r="BY29" s="167">
        <f t="shared" si="86"/>
        <v>10.240092565808505</v>
      </c>
      <c r="BZ29" s="169">
        <v>4078</v>
      </c>
      <c r="CA29" s="169">
        <v>3811</v>
      </c>
      <c r="CB29" s="167">
        <f t="shared" si="67"/>
        <v>-6.5473271211378119</v>
      </c>
      <c r="CC29" s="168"/>
      <c r="CD29" s="168" t="s">
        <v>53</v>
      </c>
      <c r="CE29" s="169">
        <v>3210</v>
      </c>
      <c r="CF29" s="169">
        <v>4078</v>
      </c>
      <c r="CG29" s="167">
        <f t="shared" si="87"/>
        <v>27.0404984423676</v>
      </c>
      <c r="CH29" s="169">
        <v>4296</v>
      </c>
      <c r="CI29" s="169">
        <v>4078</v>
      </c>
      <c r="CJ29" s="167">
        <f t="shared" si="68"/>
        <v>-5.0744878957169464</v>
      </c>
      <c r="CK29" s="167"/>
      <c r="CL29" s="168"/>
      <c r="CM29" s="168" t="s">
        <v>54</v>
      </c>
      <c r="CN29" s="169">
        <v>6732</v>
      </c>
      <c r="CO29" s="169">
        <v>6804</v>
      </c>
      <c r="CP29" s="167">
        <f t="shared" si="88"/>
        <v>1.0695187165775399</v>
      </c>
      <c r="CQ29" s="169">
        <v>7092</v>
      </c>
      <c r="CR29" s="169">
        <v>6804</v>
      </c>
      <c r="CS29" s="167">
        <f t="shared" si="50"/>
        <v>-4.0609137055837561</v>
      </c>
      <c r="CU29" s="168"/>
      <c r="CV29" s="168" t="s">
        <v>54</v>
      </c>
      <c r="CW29" s="169">
        <v>7692</v>
      </c>
      <c r="CX29" s="169">
        <v>7092</v>
      </c>
      <c r="CY29" s="167">
        <f t="shared" si="89"/>
        <v>-7.8003120124804992</v>
      </c>
      <c r="CZ29" s="169">
        <v>5717</v>
      </c>
      <c r="DA29" s="169">
        <v>7092</v>
      </c>
      <c r="DB29" s="167">
        <f t="shared" si="51"/>
        <v>24.051075739023965</v>
      </c>
      <c r="DC29" s="73"/>
      <c r="DD29" s="226"/>
      <c r="DE29" s="226" t="s">
        <v>54</v>
      </c>
      <c r="DF29" s="227">
        <v>7140</v>
      </c>
      <c r="DG29" s="227">
        <v>5717</v>
      </c>
      <c r="DH29" s="225">
        <f t="shared" si="69"/>
        <v>-19.929971988795518</v>
      </c>
      <c r="DI29" s="227">
        <v>7214</v>
      </c>
      <c r="DJ29" s="227">
        <v>5717</v>
      </c>
      <c r="DK29" s="225">
        <f t="shared" si="70"/>
        <v>-20.751316883836985</v>
      </c>
      <c r="DL29" s="73"/>
      <c r="DM29" s="194"/>
      <c r="DN29" s="194" t="s">
        <v>54</v>
      </c>
      <c r="DO29" s="195">
        <v>6576</v>
      </c>
      <c r="DP29" s="195">
        <v>7214</v>
      </c>
      <c r="DQ29" s="193">
        <f t="shared" si="71"/>
        <v>9.7019464720194648</v>
      </c>
      <c r="DR29" s="195">
        <v>3615</v>
      </c>
      <c r="DS29" s="195">
        <v>7214</v>
      </c>
      <c r="DT29" s="193">
        <f t="shared" si="72"/>
        <v>99.557399723374829</v>
      </c>
      <c r="DU29" s="73"/>
      <c r="DV29" s="152"/>
      <c r="DW29" s="152" t="s">
        <v>54</v>
      </c>
      <c r="DX29" s="148">
        <v>3994</v>
      </c>
      <c r="DY29" s="148">
        <v>3615</v>
      </c>
      <c r="DZ29" s="151">
        <f t="shared" si="73"/>
        <v>-9.4892338507761647</v>
      </c>
      <c r="EA29" s="148">
        <v>4347</v>
      </c>
      <c r="EB29" s="148">
        <v>3615</v>
      </c>
      <c r="EC29" s="151">
        <f t="shared" si="74"/>
        <v>-16.839199447895101</v>
      </c>
      <c r="ED29" s="155"/>
      <c r="EE29" s="89"/>
      <c r="EF29" s="89" t="s">
        <v>54</v>
      </c>
      <c r="EG29" s="90">
        <f>3038+1300</f>
        <v>4338</v>
      </c>
      <c r="EH29" s="90">
        <v>4347</v>
      </c>
      <c r="EI29" s="129">
        <f t="shared" si="75"/>
        <v>0.2074688796680498</v>
      </c>
      <c r="EJ29" s="90">
        <v>2865</v>
      </c>
      <c r="EK29" s="90">
        <v>4347</v>
      </c>
      <c r="EL29" s="129">
        <f t="shared" si="76"/>
        <v>51.727748691099471</v>
      </c>
      <c r="EM29" s="130"/>
      <c r="EN29" s="42"/>
      <c r="EO29" s="42" t="s">
        <v>54</v>
      </c>
      <c r="EP29" s="43">
        <f>2133+566</f>
        <v>2699</v>
      </c>
      <c r="EQ29" s="43">
        <v>2865</v>
      </c>
      <c r="ER29" s="44">
        <f t="shared" si="52"/>
        <v>6.1504260837347164</v>
      </c>
      <c r="ES29" s="45">
        <v>2164</v>
      </c>
      <c r="ET29" s="43">
        <v>2865</v>
      </c>
      <c r="EU29" s="44">
        <f t="shared" si="53"/>
        <v>32.393715341959336</v>
      </c>
      <c r="EV29" s="61"/>
      <c r="EW29" s="89"/>
      <c r="EX29" s="89" t="s">
        <v>54</v>
      </c>
      <c r="EY29" s="90">
        <f>2027+1161</f>
        <v>3188</v>
      </c>
      <c r="EZ29" s="90">
        <v>2164</v>
      </c>
      <c r="FA29" s="91">
        <f t="shared" si="54"/>
        <v>-32.12045169385194</v>
      </c>
      <c r="FB29" s="92">
        <v>3034</v>
      </c>
      <c r="FC29" s="90">
        <v>2164</v>
      </c>
      <c r="FD29" s="91">
        <f t="shared" si="55"/>
        <v>-28.675016479894527</v>
      </c>
      <c r="FE29" s="61"/>
      <c r="FF29" s="42"/>
      <c r="FG29" s="42" t="s">
        <v>54</v>
      </c>
      <c r="FH29" s="43">
        <v>3095</v>
      </c>
      <c r="FI29" s="43">
        <v>3034</v>
      </c>
      <c r="FJ29" s="44">
        <f t="shared" si="56"/>
        <v>-1.9709208400646203</v>
      </c>
      <c r="FK29" s="45">
        <v>2091</v>
      </c>
      <c r="FL29" s="43">
        <v>3034</v>
      </c>
      <c r="FM29" s="44">
        <f t="shared" si="57"/>
        <v>45.098039215686278</v>
      </c>
      <c r="FN29" s="61"/>
    </row>
    <row r="30" spans="1:170" x14ac:dyDescent="0.5">
      <c r="A30" s="168"/>
      <c r="B30" s="168" t="s">
        <v>54</v>
      </c>
      <c r="C30" s="169">
        <v>16724</v>
      </c>
      <c r="D30" s="169">
        <f>12855+4032</f>
        <v>16887</v>
      </c>
      <c r="E30" s="167">
        <f t="shared" ref="E30:E32" si="90">((D30-C30)/C30)*100</f>
        <v>0.97464721358526663</v>
      </c>
      <c r="F30" s="169">
        <v>12959</v>
      </c>
      <c r="G30" s="169">
        <v>16887</v>
      </c>
      <c r="H30" s="167">
        <f t="shared" si="58"/>
        <v>30.310980785554442</v>
      </c>
      <c r="I30" s="168"/>
      <c r="J30" s="168" t="s">
        <v>54</v>
      </c>
      <c r="K30" s="169">
        <v>13812</v>
      </c>
      <c r="L30" s="169">
        <v>12959</v>
      </c>
      <c r="M30" s="167">
        <f t="shared" ref="M30:M32" si="91">((L30-K30)/K30)*100</f>
        <v>-6.1757891688386914</v>
      </c>
      <c r="N30" s="169">
        <v>13920</v>
      </c>
      <c r="O30" s="169">
        <v>12959</v>
      </c>
      <c r="P30" s="167">
        <f t="shared" si="59"/>
        <v>-6.9037356321839081</v>
      </c>
      <c r="Q30" s="168"/>
      <c r="R30" s="168" t="s">
        <v>54</v>
      </c>
      <c r="S30" s="169">
        <v>13307</v>
      </c>
      <c r="T30" s="169">
        <v>13920</v>
      </c>
      <c r="U30" s="167">
        <f t="shared" ref="U30:U32" si="92">((T30-S30)/S30)*100</f>
        <v>4.6065980311114449</v>
      </c>
      <c r="V30" s="169">
        <v>11056</v>
      </c>
      <c r="W30" s="169">
        <v>13920</v>
      </c>
      <c r="X30" s="167">
        <f t="shared" si="60"/>
        <v>25.904486251808972</v>
      </c>
      <c r="Y30" s="168"/>
      <c r="Z30" s="168" t="s">
        <v>54</v>
      </c>
      <c r="AA30" s="169">
        <v>11511</v>
      </c>
      <c r="AB30" s="169">
        <v>11056</v>
      </c>
      <c r="AC30" s="167">
        <f t="shared" ref="AC30:AC32" si="93">((AB30-AA30)/AA30)*100</f>
        <v>-3.952740856571975</v>
      </c>
      <c r="AD30" s="169">
        <v>9381</v>
      </c>
      <c r="AE30" s="169">
        <v>11056</v>
      </c>
      <c r="AF30" s="167">
        <f t="shared" si="61"/>
        <v>17.855239313506022</v>
      </c>
      <c r="AG30" s="168"/>
      <c r="AH30" s="168" t="s">
        <v>54</v>
      </c>
      <c r="AI30" s="169">
        <v>9317</v>
      </c>
      <c r="AJ30" s="169">
        <v>9381</v>
      </c>
      <c r="AK30" s="167">
        <f t="shared" ref="AK30:AK32" si="94">((AJ30-AI30)/AI30)*100</f>
        <v>0.6869163893957283</v>
      </c>
      <c r="AL30" s="169">
        <v>7205</v>
      </c>
      <c r="AM30" s="169">
        <v>9381</v>
      </c>
      <c r="AN30" s="167">
        <f t="shared" si="62"/>
        <v>30.201249132546842</v>
      </c>
      <c r="AO30" s="168"/>
      <c r="AP30" s="168" t="s">
        <v>54</v>
      </c>
      <c r="AQ30" s="169">
        <v>5652</v>
      </c>
      <c r="AR30" s="169">
        <v>7205</v>
      </c>
      <c r="AS30" s="167">
        <f t="shared" ref="AS30:AS32" si="95">((AR30-AQ30)/AQ30)*100</f>
        <v>27.476999292285914</v>
      </c>
      <c r="AT30" s="169">
        <v>11302</v>
      </c>
      <c r="AU30" s="169">
        <v>7205</v>
      </c>
      <c r="AV30" s="167">
        <f t="shared" si="63"/>
        <v>-36.250221199787646</v>
      </c>
      <c r="AW30" s="168"/>
      <c r="AX30" s="168" t="s">
        <v>54</v>
      </c>
      <c r="AY30" s="169">
        <v>11541</v>
      </c>
      <c r="AZ30" s="169">
        <v>11302</v>
      </c>
      <c r="BA30" s="167">
        <f t="shared" si="83"/>
        <v>-2.0708777402304825</v>
      </c>
      <c r="BB30" s="169">
        <v>11254</v>
      </c>
      <c r="BC30" s="169">
        <v>11302</v>
      </c>
      <c r="BD30" s="167">
        <f t="shared" si="64"/>
        <v>0.42651501688288612</v>
      </c>
      <c r="BE30" s="168"/>
      <c r="BF30" s="168" t="s">
        <v>54</v>
      </c>
      <c r="BG30" s="169">
        <v>12330</v>
      </c>
      <c r="BH30" s="169">
        <v>11254</v>
      </c>
      <c r="BI30" s="167">
        <f t="shared" si="84"/>
        <v>-8.7266828872668292</v>
      </c>
      <c r="BJ30" s="169">
        <v>10356</v>
      </c>
      <c r="BK30" s="169">
        <v>11254</v>
      </c>
      <c r="BL30" s="167">
        <f t="shared" si="65"/>
        <v>8.6713016608729241</v>
      </c>
      <c r="BM30" s="168"/>
      <c r="BN30" s="168" t="s">
        <v>54</v>
      </c>
      <c r="BO30" s="169">
        <v>12330</v>
      </c>
      <c r="BP30" s="169">
        <v>11254</v>
      </c>
      <c r="BQ30" s="167">
        <f t="shared" si="85"/>
        <v>-8.7266828872668292</v>
      </c>
      <c r="BR30" s="169">
        <v>10356</v>
      </c>
      <c r="BS30" s="169">
        <v>11254</v>
      </c>
      <c r="BT30" s="167">
        <f t="shared" si="66"/>
        <v>8.6713016608729241</v>
      </c>
      <c r="BU30" s="168"/>
      <c r="BV30" s="168" t="s">
        <v>54</v>
      </c>
      <c r="BW30" s="169">
        <v>9126</v>
      </c>
      <c r="BX30" s="169">
        <v>10356</v>
      </c>
      <c r="BY30" s="167">
        <f t="shared" si="86"/>
        <v>13.477975016436556</v>
      </c>
      <c r="BZ30" s="169">
        <v>9414</v>
      </c>
      <c r="CA30" s="169">
        <v>10356</v>
      </c>
      <c r="CB30" s="167">
        <f t="shared" si="67"/>
        <v>10.006373486297004</v>
      </c>
      <c r="CC30" s="168"/>
      <c r="CD30" s="168" t="s">
        <v>54</v>
      </c>
      <c r="CE30" s="169">
        <v>8871</v>
      </c>
      <c r="CF30" s="169">
        <v>9414</v>
      </c>
      <c r="CG30" s="167">
        <f t="shared" si="87"/>
        <v>6.1210686506594527</v>
      </c>
      <c r="CH30" s="169">
        <v>6804</v>
      </c>
      <c r="CI30" s="169">
        <v>9414</v>
      </c>
      <c r="CJ30" s="167">
        <f t="shared" si="68"/>
        <v>38.359788359788361</v>
      </c>
      <c r="CK30" s="167"/>
      <c r="CL30" s="165" t="s">
        <v>2</v>
      </c>
      <c r="CM30" s="165" t="s">
        <v>55</v>
      </c>
      <c r="CN30" s="166">
        <v>88937</v>
      </c>
      <c r="CO30" s="166">
        <v>76774</v>
      </c>
      <c r="CP30" s="167">
        <f t="shared" si="88"/>
        <v>-13.675972879678874</v>
      </c>
      <c r="CQ30" s="166">
        <v>103946</v>
      </c>
      <c r="CR30" s="166">
        <v>76774</v>
      </c>
      <c r="CS30" s="167">
        <f t="shared" si="50"/>
        <v>-26.14049602678314</v>
      </c>
      <c r="CU30" s="165" t="s">
        <v>2</v>
      </c>
      <c r="CV30" s="165" t="s">
        <v>55</v>
      </c>
      <c r="CW30" s="166">
        <v>94788</v>
      </c>
      <c r="CX30" s="166">
        <v>103946</v>
      </c>
      <c r="CY30" s="167">
        <f t="shared" si="89"/>
        <v>9.6615605350888298</v>
      </c>
      <c r="CZ30" s="166">
        <v>97534</v>
      </c>
      <c r="DA30" s="166">
        <v>103946</v>
      </c>
      <c r="DB30" s="167">
        <f t="shared" si="51"/>
        <v>6.5741177435560934</v>
      </c>
      <c r="DC30" s="73"/>
      <c r="DD30" s="224" t="s">
        <v>2</v>
      </c>
      <c r="DE30" s="224" t="s">
        <v>55</v>
      </c>
      <c r="DF30" s="238">
        <v>86577</v>
      </c>
      <c r="DG30" s="238">
        <v>96182</v>
      </c>
      <c r="DH30" s="225">
        <f t="shared" si="69"/>
        <v>11.094170507178582</v>
      </c>
      <c r="DI30" s="238">
        <v>94907</v>
      </c>
      <c r="DJ30" s="238">
        <v>96182</v>
      </c>
      <c r="DK30" s="225">
        <f t="shared" si="70"/>
        <v>1.3434204010241604</v>
      </c>
      <c r="DL30" s="73"/>
      <c r="DM30" s="191" t="s">
        <v>2</v>
      </c>
      <c r="DN30" s="191" t="s">
        <v>55</v>
      </c>
      <c r="DO30" s="192">
        <v>85988</v>
      </c>
      <c r="DP30" s="192">
        <v>94727</v>
      </c>
      <c r="DQ30" s="193">
        <f t="shared" si="71"/>
        <v>10.163046006419501</v>
      </c>
      <c r="DR30" s="192">
        <v>75651</v>
      </c>
      <c r="DS30" s="192">
        <v>94727</v>
      </c>
      <c r="DT30" s="193">
        <f t="shared" si="72"/>
        <v>25.215793578406103</v>
      </c>
      <c r="DU30" s="73"/>
      <c r="DV30" s="150" t="s">
        <v>2</v>
      </c>
      <c r="DW30" s="150" t="s">
        <v>55</v>
      </c>
      <c r="DX30" s="147">
        <v>38656</v>
      </c>
      <c r="DY30" s="147">
        <v>75651</v>
      </c>
      <c r="DZ30" s="151">
        <f t="shared" si="73"/>
        <v>95.703125</v>
      </c>
      <c r="EA30" s="147">
        <v>69279</v>
      </c>
      <c r="EB30" s="147">
        <v>75651</v>
      </c>
      <c r="EC30" s="151">
        <f t="shared" si="74"/>
        <v>9.1975923440003466</v>
      </c>
      <c r="ED30" s="155"/>
      <c r="EE30" s="86" t="s">
        <v>2</v>
      </c>
      <c r="EF30" s="86" t="s">
        <v>55</v>
      </c>
      <c r="EG30" s="87">
        <v>75075</v>
      </c>
      <c r="EH30" s="87">
        <v>69279</v>
      </c>
      <c r="EI30" s="126">
        <f t="shared" si="75"/>
        <v>-7.72027972027972</v>
      </c>
      <c r="EJ30" s="87">
        <v>35403</v>
      </c>
      <c r="EK30" s="87">
        <v>69279</v>
      </c>
      <c r="EL30" s="126">
        <f t="shared" si="76"/>
        <v>95.686806202864162</v>
      </c>
      <c r="EM30" s="127"/>
      <c r="EN30" s="63" t="s">
        <v>2</v>
      </c>
      <c r="EO30" s="63" t="s">
        <v>55</v>
      </c>
      <c r="EP30" s="68">
        <v>31913</v>
      </c>
      <c r="EQ30" s="68">
        <v>35403</v>
      </c>
      <c r="ER30" s="65">
        <f t="shared" si="52"/>
        <v>10.93598220161063</v>
      </c>
      <c r="ES30" s="68">
        <v>64990</v>
      </c>
      <c r="ET30" s="68">
        <v>35403</v>
      </c>
      <c r="EU30" s="65">
        <f t="shared" si="53"/>
        <v>-45.525465456224033</v>
      </c>
      <c r="EV30" s="73"/>
      <c r="EW30" s="86" t="s">
        <v>2</v>
      </c>
      <c r="EX30" s="86" t="s">
        <v>55</v>
      </c>
      <c r="EY30" s="87">
        <v>69930</v>
      </c>
      <c r="EZ30" s="87">
        <v>64990</v>
      </c>
      <c r="FA30" s="88">
        <f t="shared" si="54"/>
        <v>-7.0642070642070651</v>
      </c>
      <c r="FB30" s="87">
        <v>55603</v>
      </c>
      <c r="FC30" s="87">
        <v>64990</v>
      </c>
      <c r="FD30" s="88">
        <f t="shared" si="55"/>
        <v>16.882182616045895</v>
      </c>
      <c r="FE30" s="73"/>
      <c r="FF30" s="63" t="s">
        <v>2</v>
      </c>
      <c r="FG30" s="63" t="s">
        <v>55</v>
      </c>
      <c r="FH30" s="68">
        <v>54035</v>
      </c>
      <c r="FI30" s="68">
        <v>55603</v>
      </c>
      <c r="FJ30" s="65">
        <f t="shared" si="56"/>
        <v>2.9018228925696308</v>
      </c>
      <c r="FK30" s="68">
        <v>45780</v>
      </c>
      <c r="FL30" s="68">
        <v>55603</v>
      </c>
      <c r="FM30" s="65">
        <f t="shared" si="57"/>
        <v>21.456968108344256</v>
      </c>
      <c r="FN30" s="73"/>
    </row>
    <row r="31" spans="1:170" x14ac:dyDescent="0.5">
      <c r="A31" s="165" t="s">
        <v>2</v>
      </c>
      <c r="B31" s="165" t="s">
        <v>55</v>
      </c>
      <c r="C31" s="166">
        <v>81071</v>
      </c>
      <c r="D31" s="166">
        <v>88085</v>
      </c>
      <c r="E31" s="167">
        <f t="shared" si="90"/>
        <v>8.6516756916776654</v>
      </c>
      <c r="F31" s="166">
        <v>89071</v>
      </c>
      <c r="G31" s="166">
        <v>88085</v>
      </c>
      <c r="H31" s="167">
        <f t="shared" si="58"/>
        <v>-1.1069820704830977</v>
      </c>
      <c r="I31" s="165" t="s">
        <v>2</v>
      </c>
      <c r="J31" s="165" t="s">
        <v>55</v>
      </c>
      <c r="K31" s="166">
        <v>89284</v>
      </c>
      <c r="L31" s="166">
        <v>89071</v>
      </c>
      <c r="M31" s="167">
        <f t="shared" si="91"/>
        <v>-0.23856458043994447</v>
      </c>
      <c r="N31" s="166">
        <v>88826</v>
      </c>
      <c r="O31" s="166">
        <v>89071</v>
      </c>
      <c r="P31" s="167">
        <f t="shared" si="59"/>
        <v>0.27582014275099631</v>
      </c>
      <c r="Q31" s="165" t="s">
        <v>2</v>
      </c>
      <c r="R31" s="165" t="s">
        <v>55</v>
      </c>
      <c r="S31" s="166">
        <v>86358</v>
      </c>
      <c r="T31" s="166">
        <v>88826</v>
      </c>
      <c r="U31" s="167">
        <f t="shared" si="92"/>
        <v>2.8578707241946315</v>
      </c>
      <c r="V31" s="166">
        <v>73887</v>
      </c>
      <c r="W31" s="166">
        <v>88826</v>
      </c>
      <c r="X31" s="167">
        <f t="shared" si="60"/>
        <v>20.21871235806028</v>
      </c>
      <c r="Y31" s="165" t="s">
        <v>2</v>
      </c>
      <c r="Z31" s="165" t="s">
        <v>55</v>
      </c>
      <c r="AA31" s="166">
        <v>76937</v>
      </c>
      <c r="AB31" s="166">
        <v>73887</v>
      </c>
      <c r="AC31" s="167">
        <f t="shared" si="93"/>
        <v>-3.9642824648738575</v>
      </c>
      <c r="AD31" s="166">
        <v>83022</v>
      </c>
      <c r="AE31" s="166">
        <v>73887</v>
      </c>
      <c r="AF31" s="167">
        <f t="shared" si="61"/>
        <v>-11.003107610031076</v>
      </c>
      <c r="AG31" s="165" t="s">
        <v>2</v>
      </c>
      <c r="AH31" s="165" t="s">
        <v>55</v>
      </c>
      <c r="AI31" s="166">
        <v>79479</v>
      </c>
      <c r="AJ31" s="166">
        <v>83022</v>
      </c>
      <c r="AK31" s="167">
        <f t="shared" si="94"/>
        <v>4.4577813007209448</v>
      </c>
      <c r="AL31" s="166">
        <v>50049</v>
      </c>
      <c r="AM31" s="166">
        <v>83022</v>
      </c>
      <c r="AN31" s="167">
        <f t="shared" si="62"/>
        <v>65.881436192531311</v>
      </c>
      <c r="AO31" s="165" t="s">
        <v>2</v>
      </c>
      <c r="AP31" s="165" t="s">
        <v>55</v>
      </c>
      <c r="AQ31" s="166">
        <v>29894</v>
      </c>
      <c r="AR31" s="166">
        <v>50049</v>
      </c>
      <c r="AS31" s="167">
        <f t="shared" si="95"/>
        <v>67.421556165116741</v>
      </c>
      <c r="AT31" s="166">
        <v>97575</v>
      </c>
      <c r="AU31" s="166">
        <v>50049</v>
      </c>
      <c r="AV31" s="167">
        <f t="shared" si="63"/>
        <v>-48.707148347425054</v>
      </c>
      <c r="AW31" s="165" t="s">
        <v>2</v>
      </c>
      <c r="AX31" s="165" t="s">
        <v>55</v>
      </c>
      <c r="AY31" s="166">
        <v>95331</v>
      </c>
      <c r="AZ31" s="166">
        <v>97575</v>
      </c>
      <c r="BA31" s="167">
        <f t="shared" si="83"/>
        <v>2.3539037668754133</v>
      </c>
      <c r="BB31" s="166">
        <v>95284</v>
      </c>
      <c r="BC31" s="166">
        <v>97575</v>
      </c>
      <c r="BD31" s="167">
        <f t="shared" si="64"/>
        <v>2.404391083497754</v>
      </c>
      <c r="BE31" s="165" t="s">
        <v>2</v>
      </c>
      <c r="BF31" s="165" t="s">
        <v>55</v>
      </c>
      <c r="BG31" s="166">
        <v>98875</v>
      </c>
      <c r="BH31" s="166">
        <v>95284</v>
      </c>
      <c r="BI31" s="167">
        <f t="shared" si="84"/>
        <v>-3.6318584070796458</v>
      </c>
      <c r="BJ31" s="166">
        <v>93086</v>
      </c>
      <c r="BK31" s="166">
        <v>95284</v>
      </c>
      <c r="BL31" s="167">
        <f t="shared" si="65"/>
        <v>2.3612573319296137</v>
      </c>
      <c r="BM31" s="165" t="s">
        <v>2</v>
      </c>
      <c r="BN31" s="165" t="s">
        <v>55</v>
      </c>
      <c r="BO31" s="166">
        <v>98875</v>
      </c>
      <c r="BP31" s="166">
        <v>95284</v>
      </c>
      <c r="BQ31" s="167">
        <f t="shared" si="85"/>
        <v>-3.6318584070796458</v>
      </c>
      <c r="BR31" s="166">
        <v>93086</v>
      </c>
      <c r="BS31" s="166">
        <v>95284</v>
      </c>
      <c r="BT31" s="167">
        <f t="shared" si="66"/>
        <v>2.3612573319296137</v>
      </c>
      <c r="BU31" s="165" t="s">
        <v>2</v>
      </c>
      <c r="BV31" s="165" t="s">
        <v>55</v>
      </c>
      <c r="BW31" s="166">
        <v>90092</v>
      </c>
      <c r="BX31" s="166">
        <v>93086</v>
      </c>
      <c r="BY31" s="167">
        <f t="shared" si="86"/>
        <v>3.3232695466856104</v>
      </c>
      <c r="BZ31" s="166">
        <v>107025</v>
      </c>
      <c r="CA31" s="166">
        <v>93086</v>
      </c>
      <c r="CB31" s="167">
        <f t="shared" si="67"/>
        <v>-13.024059799112356</v>
      </c>
      <c r="CC31" s="165" t="s">
        <v>2</v>
      </c>
      <c r="CD31" s="165" t="s">
        <v>55</v>
      </c>
      <c r="CE31" s="166">
        <v>99547</v>
      </c>
      <c r="CF31" s="166">
        <v>107025</v>
      </c>
      <c r="CG31" s="167">
        <f t="shared" si="87"/>
        <v>7.5120294936060361</v>
      </c>
      <c r="CH31" s="166">
        <v>76774</v>
      </c>
      <c r="CI31" s="166">
        <v>107025</v>
      </c>
      <c r="CJ31" s="167">
        <f t="shared" si="68"/>
        <v>39.402662359653007</v>
      </c>
      <c r="CK31" s="167"/>
      <c r="CL31" s="168"/>
      <c r="CM31" s="168" t="s">
        <v>56</v>
      </c>
      <c r="CN31" s="170">
        <v>43548.7</v>
      </c>
      <c r="CO31" s="170">
        <v>35150.22</v>
      </c>
      <c r="CP31" s="167">
        <f t="shared" si="88"/>
        <v>-19.285259950354423</v>
      </c>
      <c r="CQ31" s="170">
        <v>49654.59</v>
      </c>
      <c r="CR31" s="170">
        <v>35150.22</v>
      </c>
      <c r="CS31" s="167">
        <f t="shared" si="50"/>
        <v>-29.210532198533905</v>
      </c>
      <c r="CU31" s="168"/>
      <c r="CV31" s="168" t="s">
        <v>56</v>
      </c>
      <c r="CW31" s="170">
        <v>45549.38</v>
      </c>
      <c r="CX31" s="170">
        <v>49654.59</v>
      </c>
      <c r="CY31" s="167">
        <f t="shared" si="89"/>
        <v>9.0126583501246333</v>
      </c>
      <c r="CZ31" s="170">
        <v>45169.279999999999</v>
      </c>
      <c r="DA31" s="170">
        <v>49654.59</v>
      </c>
      <c r="DB31" s="167">
        <f t="shared" si="51"/>
        <v>9.9300010980914415</v>
      </c>
      <c r="DC31" s="73"/>
      <c r="DD31" s="226"/>
      <c r="DE31" s="226" t="s">
        <v>56</v>
      </c>
      <c r="DF31" s="228">
        <v>39890.28</v>
      </c>
      <c r="DG31" s="228">
        <v>44675.22</v>
      </c>
      <c r="DH31" s="225">
        <f t="shared" si="69"/>
        <v>11.995252978921187</v>
      </c>
      <c r="DI31" s="228">
        <v>46457.54</v>
      </c>
      <c r="DJ31" s="228">
        <v>44675.22</v>
      </c>
      <c r="DK31" s="225">
        <f t="shared" si="70"/>
        <v>-3.836449368606258</v>
      </c>
      <c r="DL31" s="73"/>
      <c r="DM31" s="194"/>
      <c r="DN31" s="194" t="s">
        <v>56</v>
      </c>
      <c r="DO31" s="196">
        <v>41446.11</v>
      </c>
      <c r="DP31" s="196">
        <v>46356.92</v>
      </c>
      <c r="DQ31" s="193">
        <f t="shared" si="71"/>
        <v>11.848663240048337</v>
      </c>
      <c r="DR31" s="196">
        <v>33602.449999999997</v>
      </c>
      <c r="DS31" s="196">
        <v>46356.92</v>
      </c>
      <c r="DT31" s="193">
        <f t="shared" si="72"/>
        <v>37.956964447532847</v>
      </c>
      <c r="DU31" s="73"/>
      <c r="DV31" s="152"/>
      <c r="DW31" s="152" t="s">
        <v>56</v>
      </c>
      <c r="DX31" s="149">
        <v>17363.62</v>
      </c>
      <c r="DY31" s="149">
        <v>33602.449999999997</v>
      </c>
      <c r="DZ31" s="151">
        <f t="shared" si="73"/>
        <v>93.522145727676602</v>
      </c>
      <c r="EA31" s="149">
        <v>31247.18</v>
      </c>
      <c r="EB31" s="149">
        <v>33602.449999999997</v>
      </c>
      <c r="EC31" s="151">
        <f t="shared" si="74"/>
        <v>7.5375441879875131</v>
      </c>
      <c r="ED31" s="155"/>
      <c r="EE31" s="89"/>
      <c r="EF31" s="89" t="s">
        <v>56</v>
      </c>
      <c r="EG31" s="93">
        <v>35326.54</v>
      </c>
      <c r="EH31" s="93">
        <v>31247.18</v>
      </c>
      <c r="EI31" s="129">
        <f t="shared" si="75"/>
        <v>-11.547578675975629</v>
      </c>
      <c r="EJ31" s="93">
        <v>16497.060000000001</v>
      </c>
      <c r="EK31" s="93">
        <v>31247.18</v>
      </c>
      <c r="EL31" s="129">
        <f t="shared" si="76"/>
        <v>89.410598009584731</v>
      </c>
      <c r="EM31" s="130"/>
      <c r="EN31" s="42"/>
      <c r="EO31" s="42" t="s">
        <v>56</v>
      </c>
      <c r="EP31" s="66">
        <v>15171.98</v>
      </c>
      <c r="EQ31" s="66">
        <v>16497.060000000001</v>
      </c>
      <c r="ER31" s="44">
        <f t="shared" si="52"/>
        <v>8.7337315235058437</v>
      </c>
      <c r="ES31" s="67">
        <v>31024.51</v>
      </c>
      <c r="ET31" s="66">
        <v>16497.060000000001</v>
      </c>
      <c r="EU31" s="44">
        <f t="shared" si="53"/>
        <v>-46.825719407010773</v>
      </c>
      <c r="EV31" s="61"/>
      <c r="EW31" s="89"/>
      <c r="EX31" s="89" t="s">
        <v>56</v>
      </c>
      <c r="EY31" s="93">
        <v>32145.75</v>
      </c>
      <c r="EZ31" s="93">
        <v>31024.51</v>
      </c>
      <c r="FA31" s="91">
        <f t="shared" si="54"/>
        <v>-3.4879883032749324</v>
      </c>
      <c r="FB31" s="94">
        <v>24420.97</v>
      </c>
      <c r="FC31" s="93">
        <v>31024.51</v>
      </c>
      <c r="FD31" s="91">
        <f t="shared" si="55"/>
        <v>27.040449253244226</v>
      </c>
      <c r="FE31" s="61"/>
      <c r="FF31" s="42"/>
      <c r="FG31" s="42" t="s">
        <v>56</v>
      </c>
      <c r="FH31" s="66">
        <v>23567.27</v>
      </c>
      <c r="FI31" s="66">
        <v>24420.97</v>
      </c>
      <c r="FJ31" s="44">
        <f t="shared" si="56"/>
        <v>3.6223966543430812</v>
      </c>
      <c r="FK31" s="67">
        <v>20398.259999999998</v>
      </c>
      <c r="FL31" s="66">
        <v>24420.97</v>
      </c>
      <c r="FM31" s="44">
        <f t="shared" si="57"/>
        <v>19.720848739059129</v>
      </c>
      <c r="FN31" s="61"/>
    </row>
    <row r="32" spans="1:170" x14ac:dyDescent="0.5">
      <c r="A32" s="168"/>
      <c r="B32" s="168" t="s">
        <v>56</v>
      </c>
      <c r="C32" s="170">
        <v>55163.351905351898</v>
      </c>
      <c r="D32" s="170">
        <v>57439.522825685199</v>
      </c>
      <c r="E32" s="167">
        <f t="shared" si="90"/>
        <v>4.1262375140631535</v>
      </c>
      <c r="F32" s="170">
        <v>63099.324863828391</v>
      </c>
      <c r="G32" s="170">
        <v>57439.522825685199</v>
      </c>
      <c r="H32" s="167">
        <f t="shared" si="58"/>
        <v>-8.9696713084606507</v>
      </c>
      <c r="I32" s="168"/>
      <c r="J32" s="168" t="s">
        <v>56</v>
      </c>
      <c r="K32" s="170">
        <v>63073.519367342989</v>
      </c>
      <c r="L32" s="170">
        <v>63099.324863828391</v>
      </c>
      <c r="M32" s="167">
        <f t="shared" si="91"/>
        <v>4.0913360700723635E-2</v>
      </c>
      <c r="N32" s="170">
        <v>55925.625372900526</v>
      </c>
      <c r="O32" s="170">
        <v>63099.324863828391</v>
      </c>
      <c r="P32" s="167">
        <f t="shared" si="59"/>
        <v>12.82721372017768</v>
      </c>
      <c r="Q32" s="168"/>
      <c r="R32" s="168" t="s">
        <v>56</v>
      </c>
      <c r="S32" s="170">
        <v>54969.768235850897</v>
      </c>
      <c r="T32" s="170">
        <v>55925.625372900526</v>
      </c>
      <c r="U32" s="167">
        <f t="shared" si="92"/>
        <v>1.738877873649511</v>
      </c>
      <c r="V32" s="170">
        <v>42781.173848925908</v>
      </c>
      <c r="W32" s="170">
        <v>55925.625372900526</v>
      </c>
      <c r="X32" s="167">
        <f t="shared" si="60"/>
        <v>30.724850071650454</v>
      </c>
      <c r="Y32" s="168"/>
      <c r="Z32" s="168" t="s">
        <v>56</v>
      </c>
      <c r="AA32" s="170">
        <v>46226.522286224303</v>
      </c>
      <c r="AB32" s="170">
        <v>42781.173848925908</v>
      </c>
      <c r="AC32" s="167">
        <f t="shared" si="93"/>
        <v>-7.4531854591300783</v>
      </c>
      <c r="AD32" s="170">
        <v>49278.488803167937</v>
      </c>
      <c r="AE32" s="170">
        <v>42781.173848925908</v>
      </c>
      <c r="AF32" s="167">
        <f t="shared" si="61"/>
        <v>-13.184890835825183</v>
      </c>
      <c r="AG32" s="168"/>
      <c r="AH32" s="168" t="s">
        <v>56</v>
      </c>
      <c r="AI32" s="170">
        <v>48416.836261980236</v>
      </c>
      <c r="AJ32" s="170">
        <v>49278.488803167937</v>
      </c>
      <c r="AK32" s="167">
        <f t="shared" si="94"/>
        <v>1.7796547806745513</v>
      </c>
      <c r="AL32" s="170">
        <v>29238.828517460901</v>
      </c>
      <c r="AM32" s="170">
        <v>49278.488803167937</v>
      </c>
      <c r="AN32" s="167">
        <f t="shared" si="62"/>
        <v>68.537835822456813</v>
      </c>
      <c r="AO32" s="168"/>
      <c r="AP32" s="168" t="s">
        <v>56</v>
      </c>
      <c r="AQ32" s="170">
        <v>17503.119706691399</v>
      </c>
      <c r="AR32" s="170">
        <v>29238.828517460901</v>
      </c>
      <c r="AS32" s="167">
        <f t="shared" si="95"/>
        <v>67.049240406457201</v>
      </c>
      <c r="AT32" s="170">
        <v>51353.578797824499</v>
      </c>
      <c r="AU32" s="170">
        <v>29238.828517460901</v>
      </c>
      <c r="AV32" s="167">
        <f t="shared" si="63"/>
        <v>-43.063698379090283</v>
      </c>
      <c r="AW32" s="168"/>
      <c r="AX32" s="168" t="s">
        <v>56</v>
      </c>
      <c r="AY32" s="170">
        <v>48649.820535691797</v>
      </c>
      <c r="AZ32" s="170">
        <v>51353.578797824499</v>
      </c>
      <c r="BA32" s="167">
        <f t="shared" si="83"/>
        <v>5.5575914409573155</v>
      </c>
      <c r="BB32" s="170">
        <v>49147.73</v>
      </c>
      <c r="BC32" s="170">
        <v>51353.578797824499</v>
      </c>
      <c r="BD32" s="167">
        <f t="shared" si="64"/>
        <v>4.4882007731069073</v>
      </c>
      <c r="BE32" s="168"/>
      <c r="BF32" s="168" t="s">
        <v>56</v>
      </c>
      <c r="BG32" s="170">
        <v>51877.43</v>
      </c>
      <c r="BH32" s="170">
        <v>49147.73</v>
      </c>
      <c r="BI32" s="167">
        <f t="shared" si="84"/>
        <v>-5.261825807485061</v>
      </c>
      <c r="BJ32" s="170">
        <v>49659.88</v>
      </c>
      <c r="BK32" s="170">
        <v>49147.73</v>
      </c>
      <c r="BL32" s="167">
        <f t="shared" si="65"/>
        <v>-1.0313154200130854</v>
      </c>
      <c r="BM32" s="168"/>
      <c r="BN32" s="168" t="s">
        <v>56</v>
      </c>
      <c r="BO32" s="170">
        <v>51877.43</v>
      </c>
      <c r="BP32" s="170">
        <v>49147.73</v>
      </c>
      <c r="BQ32" s="167">
        <f t="shared" si="85"/>
        <v>-5.261825807485061</v>
      </c>
      <c r="BR32" s="170">
        <v>49659.88</v>
      </c>
      <c r="BS32" s="170">
        <v>49147.73</v>
      </c>
      <c r="BT32" s="167">
        <f t="shared" si="66"/>
        <v>-1.0313154200130854</v>
      </c>
      <c r="BU32" s="168"/>
      <c r="BV32" s="168" t="s">
        <v>56</v>
      </c>
      <c r="BW32" s="170">
        <v>48014.47</v>
      </c>
      <c r="BX32" s="170">
        <v>49659.88</v>
      </c>
      <c r="BY32" s="167">
        <f t="shared" si="86"/>
        <v>3.4269044311016996</v>
      </c>
      <c r="BZ32" s="170">
        <v>57461.96</v>
      </c>
      <c r="CA32" s="170">
        <v>49659.88</v>
      </c>
      <c r="CB32" s="167">
        <f t="shared" si="67"/>
        <v>-13.577817394324876</v>
      </c>
      <c r="CC32" s="168"/>
      <c r="CD32" s="168" t="s">
        <v>56</v>
      </c>
      <c r="CE32" s="170">
        <v>54990.82</v>
      </c>
      <c r="CF32" s="170">
        <v>57461.96</v>
      </c>
      <c r="CG32" s="167">
        <f t="shared" si="87"/>
        <v>4.4937318628818401</v>
      </c>
      <c r="CH32" s="170">
        <v>35127.03</v>
      </c>
      <c r="CI32" s="170">
        <v>57461.96</v>
      </c>
      <c r="CJ32" s="167">
        <f t="shared" si="68"/>
        <v>63.583314615553896</v>
      </c>
      <c r="CK32" s="167"/>
      <c r="DN32"/>
      <c r="ED32" s="153"/>
      <c r="ES32" s="97"/>
      <c r="FB32" s="97"/>
    </row>
  </sheetData>
  <phoneticPr fontId="10" type="noConversion"/>
  <pageMargins left="0.35433070866141736" right="0.35433070866141736" top="0.78740157480314965" bottom="0.59055118110236227" header="0.51181102362204722" footer="0.51181102362204722"/>
  <pageSetup paperSize="9" scale="113" orientation="portrait" r:id="rId1"/>
  <headerFooter alignWithMargins="0"/>
  <colBreaks count="1" manualBreakCount="1">
    <brk id="81" max="2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U33"/>
  <sheetViews>
    <sheetView view="pageBreakPreview" zoomScaleSheetLayoutView="100" workbookViewId="0">
      <selection activeCell="D22" sqref="D22:D32"/>
    </sheetView>
  </sheetViews>
  <sheetFormatPr defaultRowHeight="21.75" x14ac:dyDescent="0.5"/>
  <cols>
    <col min="2" max="2" width="19.42578125" customWidth="1"/>
    <col min="10" max="10" width="19.42578125" customWidth="1"/>
    <col min="13" max="17" width="9.140625" customWidth="1"/>
    <col min="18" max="18" width="26" customWidth="1"/>
    <col min="25" max="25" width="9.140625" customWidth="1"/>
    <col min="26" max="26" width="22.85546875" customWidth="1"/>
    <col min="27" max="32" width="9.140625" customWidth="1"/>
    <col min="34" max="34" width="24.7109375" customWidth="1"/>
    <col min="42" max="42" width="23.28515625" customWidth="1"/>
    <col min="50" max="50" width="23.28515625" customWidth="1"/>
    <col min="58" max="58" width="23.7109375" customWidth="1"/>
    <col min="66" max="66" width="23.140625" customWidth="1"/>
    <col min="69" max="69" width="10.140625" customWidth="1"/>
    <col min="74" max="74" width="9.140625" customWidth="1"/>
    <col min="75" max="75" width="12.42578125" customWidth="1"/>
    <col min="76" max="76" width="9.140625" customWidth="1"/>
    <col min="77" max="77" width="10.28515625" customWidth="1"/>
    <col min="78" max="78" width="9.140625" customWidth="1"/>
    <col min="79" max="79" width="11" customWidth="1"/>
    <col min="80" max="80" width="11.28515625" customWidth="1"/>
    <col min="81" max="83" width="9.140625" customWidth="1"/>
    <col min="84" max="84" width="12.42578125" customWidth="1"/>
    <col min="85" max="85" width="9.140625" customWidth="1"/>
    <col min="86" max="86" width="10.28515625" customWidth="1"/>
    <col min="87" max="87" width="9.140625" customWidth="1"/>
    <col min="88" max="88" width="11" customWidth="1"/>
    <col min="89" max="89" width="11.28515625" customWidth="1"/>
    <col min="90" max="91" width="9.140625" customWidth="1"/>
    <col min="93" max="93" width="12.42578125" customWidth="1"/>
    <col min="100" max="100" width="9.140625" customWidth="1"/>
    <col min="102" max="102" width="12.42578125" customWidth="1"/>
    <col min="109" max="109" width="9.140625" customWidth="1"/>
    <col min="111" max="111" width="12.42578125" customWidth="1"/>
    <col min="118" max="118" width="9.140625" customWidth="1"/>
    <col min="120" max="120" width="12.42578125" customWidth="1"/>
    <col min="127" max="127" width="9.140625" customWidth="1"/>
    <col min="129" max="129" width="12.42578125" customWidth="1"/>
    <col min="136" max="136" width="9.140625" customWidth="1"/>
    <col min="138" max="138" width="12.42578125" customWidth="1"/>
    <col min="145" max="145" width="9.140625" customWidth="1"/>
    <col min="147" max="147" width="12.42578125" customWidth="1"/>
    <col min="154" max="154" width="9.140625" customWidth="1"/>
    <col min="155" max="169" width="0" hidden="1" customWidth="1"/>
  </cols>
  <sheetData>
    <row r="1" spans="1:177" x14ac:dyDescent="0.5">
      <c r="C1" s="62" t="s">
        <v>869</v>
      </c>
      <c r="K1" s="62" t="s">
        <v>828</v>
      </c>
      <c r="S1" s="62" t="s">
        <v>775</v>
      </c>
      <c r="AA1" s="62" t="s">
        <v>773</v>
      </c>
      <c r="AI1" s="62" t="s">
        <v>688</v>
      </c>
      <c r="AQ1" s="62" t="s">
        <v>636</v>
      </c>
      <c r="AY1" s="62" t="s">
        <v>591</v>
      </c>
      <c r="BG1" s="62" t="s">
        <v>549</v>
      </c>
      <c r="BO1" t="s">
        <v>500</v>
      </c>
      <c r="BW1" t="s">
        <v>439</v>
      </c>
      <c r="CF1" t="s">
        <v>390</v>
      </c>
      <c r="CO1" t="s">
        <v>348</v>
      </c>
      <c r="CX1" t="s">
        <v>259</v>
      </c>
      <c r="DG1" s="171" t="s">
        <v>259</v>
      </c>
      <c r="DP1" t="s">
        <v>218</v>
      </c>
      <c r="DY1" t="s">
        <v>181</v>
      </c>
      <c r="EH1" t="s">
        <v>145</v>
      </c>
      <c r="EQ1" t="s">
        <v>102</v>
      </c>
      <c r="EZ1" t="s">
        <v>64</v>
      </c>
      <c r="FH1" s="33" t="s">
        <v>13</v>
      </c>
      <c r="FO1" s="33" t="s">
        <v>16</v>
      </c>
    </row>
    <row r="2" spans="1:177" x14ac:dyDescent="0.5">
      <c r="A2" s="257"/>
      <c r="B2" s="257"/>
      <c r="C2" s="323" t="s">
        <v>868</v>
      </c>
      <c r="D2" s="323" t="s">
        <v>870</v>
      </c>
      <c r="E2" s="262" t="s">
        <v>3</v>
      </c>
      <c r="F2" s="323" t="s">
        <v>831</v>
      </c>
      <c r="G2" s="323" t="s">
        <v>870</v>
      </c>
      <c r="H2" s="262" t="s">
        <v>3</v>
      </c>
      <c r="I2" s="257"/>
      <c r="J2" s="257"/>
      <c r="K2" s="323" t="s">
        <v>830</v>
      </c>
      <c r="L2" s="323" t="s">
        <v>831</v>
      </c>
      <c r="M2" s="262" t="s">
        <v>3</v>
      </c>
      <c r="N2" s="323" t="s">
        <v>778</v>
      </c>
      <c r="O2" s="323" t="s">
        <v>831</v>
      </c>
      <c r="P2" s="262" t="s">
        <v>3</v>
      </c>
      <c r="Q2" s="257"/>
      <c r="R2" s="257"/>
      <c r="S2" s="323" t="s">
        <v>777</v>
      </c>
      <c r="T2" s="323" t="s">
        <v>778</v>
      </c>
      <c r="U2" s="262" t="s">
        <v>3</v>
      </c>
      <c r="V2" s="323" t="s">
        <v>735</v>
      </c>
      <c r="W2" s="323" t="s">
        <v>778</v>
      </c>
      <c r="X2" s="262" t="s">
        <v>3</v>
      </c>
      <c r="Y2" s="257"/>
      <c r="Z2" s="257"/>
      <c r="AA2" s="323" t="s">
        <v>734</v>
      </c>
      <c r="AB2" s="323" t="s">
        <v>735</v>
      </c>
      <c r="AC2" s="262" t="s">
        <v>3</v>
      </c>
      <c r="AD2" s="323" t="s">
        <v>687</v>
      </c>
      <c r="AE2" s="323" t="s">
        <v>735</v>
      </c>
      <c r="AF2" s="262" t="s">
        <v>3</v>
      </c>
      <c r="AG2" s="257"/>
      <c r="AH2" s="257"/>
      <c r="AI2" s="323" t="s">
        <v>686</v>
      </c>
      <c r="AJ2" s="323" t="s">
        <v>687</v>
      </c>
      <c r="AK2" s="262" t="s">
        <v>3</v>
      </c>
      <c r="AL2" s="323" t="s">
        <v>639</v>
      </c>
      <c r="AM2" s="323" t="s">
        <v>639</v>
      </c>
      <c r="AN2" s="262" t="s">
        <v>3</v>
      </c>
      <c r="AO2" s="257"/>
      <c r="AP2" s="257"/>
      <c r="AQ2" s="323" t="s">
        <v>638</v>
      </c>
      <c r="AR2" s="323" t="s">
        <v>639</v>
      </c>
      <c r="AS2" s="262" t="s">
        <v>3</v>
      </c>
      <c r="AT2" s="323" t="s">
        <v>593</v>
      </c>
      <c r="AU2" s="323" t="s">
        <v>639</v>
      </c>
      <c r="AV2" s="262" t="s">
        <v>3</v>
      </c>
      <c r="AW2" s="257"/>
      <c r="AX2" s="257"/>
      <c r="AY2" s="323" t="s">
        <v>592</v>
      </c>
      <c r="AZ2" s="323" t="s">
        <v>593</v>
      </c>
      <c r="BA2" s="262" t="s">
        <v>3</v>
      </c>
      <c r="BB2" s="323" t="s">
        <v>551</v>
      </c>
      <c r="BC2" s="323" t="s">
        <v>593</v>
      </c>
      <c r="BD2" s="262" t="s">
        <v>3</v>
      </c>
      <c r="BE2" s="257"/>
      <c r="BF2" s="257"/>
      <c r="BG2" s="323" t="s">
        <v>550</v>
      </c>
      <c r="BH2" s="323" t="s">
        <v>551</v>
      </c>
      <c r="BI2" s="262" t="s">
        <v>3</v>
      </c>
      <c r="BJ2" s="323" t="s">
        <v>502</v>
      </c>
      <c r="BK2" s="323" t="s">
        <v>551</v>
      </c>
      <c r="BL2" s="262" t="s">
        <v>3</v>
      </c>
      <c r="BM2" s="257"/>
      <c r="BN2" s="257"/>
      <c r="BO2" s="322" t="s">
        <v>503</v>
      </c>
      <c r="BP2" s="322" t="s">
        <v>502</v>
      </c>
      <c r="BQ2" s="262" t="s">
        <v>3</v>
      </c>
      <c r="BR2" s="322" t="s">
        <v>442</v>
      </c>
      <c r="BS2" s="322" t="s">
        <v>502</v>
      </c>
      <c r="BT2" s="262" t="s">
        <v>3</v>
      </c>
      <c r="BU2" s="257"/>
      <c r="BV2" s="257"/>
      <c r="BW2" s="260" t="s">
        <v>441</v>
      </c>
      <c r="BX2" s="322" t="s">
        <v>442</v>
      </c>
      <c r="BY2" s="262" t="s">
        <v>3</v>
      </c>
      <c r="BZ2" s="322" t="s">
        <v>443</v>
      </c>
      <c r="CA2" s="322" t="s">
        <v>442</v>
      </c>
      <c r="CB2" s="262" t="s">
        <v>3</v>
      </c>
      <c r="CD2" s="257"/>
      <c r="CE2" s="257"/>
      <c r="CF2" s="259" t="s">
        <v>389</v>
      </c>
      <c r="CG2" s="259" t="s">
        <v>391</v>
      </c>
      <c r="CH2" s="257" t="s">
        <v>3</v>
      </c>
      <c r="CI2" s="259" t="s">
        <v>350</v>
      </c>
      <c r="CJ2" s="259" t="s">
        <v>391</v>
      </c>
      <c r="CK2" s="257" t="s">
        <v>3</v>
      </c>
      <c r="CM2" s="257"/>
      <c r="CN2" s="257"/>
      <c r="CO2" s="259" t="s">
        <v>343</v>
      </c>
      <c r="CP2" s="259" t="s">
        <v>352</v>
      </c>
      <c r="CQ2" s="257" t="s">
        <v>3</v>
      </c>
      <c r="CR2" s="259" t="s">
        <v>299</v>
      </c>
      <c r="CS2" s="259" t="s">
        <v>352</v>
      </c>
      <c r="CT2" s="257" t="s">
        <v>3</v>
      </c>
      <c r="CU2" s="62"/>
      <c r="CV2" s="236"/>
      <c r="CW2" s="236"/>
      <c r="CX2" s="237" t="s">
        <v>297</v>
      </c>
      <c r="CY2" s="237" t="s">
        <v>298</v>
      </c>
      <c r="CZ2" s="236" t="s">
        <v>3</v>
      </c>
      <c r="DA2" s="237" t="s">
        <v>261</v>
      </c>
      <c r="DB2" s="237" t="s">
        <v>299</v>
      </c>
      <c r="DC2" s="236" t="s">
        <v>3</v>
      </c>
      <c r="DD2" s="62"/>
      <c r="DE2" s="179"/>
      <c r="DF2" s="179"/>
      <c r="DG2" s="180" t="s">
        <v>260</v>
      </c>
      <c r="DH2" s="180" t="s">
        <v>261</v>
      </c>
      <c r="DI2" s="179" t="s">
        <v>3</v>
      </c>
      <c r="DJ2" s="180" t="s">
        <v>261</v>
      </c>
      <c r="DK2" s="180" t="s">
        <v>261</v>
      </c>
      <c r="DL2" s="179" t="s">
        <v>3</v>
      </c>
      <c r="DM2" s="62"/>
      <c r="DN2" s="98"/>
      <c r="DO2" s="98"/>
      <c r="DP2" s="143" t="s">
        <v>216</v>
      </c>
      <c r="DQ2" s="143" t="s">
        <v>219</v>
      </c>
      <c r="DR2" s="98" t="s">
        <v>3</v>
      </c>
      <c r="DS2" s="145" t="s">
        <v>183</v>
      </c>
      <c r="DT2" s="143" t="s">
        <v>219</v>
      </c>
      <c r="DU2" s="98" t="s">
        <v>3</v>
      </c>
      <c r="DV2" s="62"/>
      <c r="DW2" s="118"/>
      <c r="DX2" s="118"/>
      <c r="DY2" s="119" t="s">
        <v>180</v>
      </c>
      <c r="DZ2" s="119" t="s">
        <v>183</v>
      </c>
      <c r="EA2" s="118" t="s">
        <v>3</v>
      </c>
      <c r="EB2" s="119" t="s">
        <v>146</v>
      </c>
      <c r="EC2" s="119" t="s">
        <v>183</v>
      </c>
      <c r="ED2" s="118" t="s">
        <v>3</v>
      </c>
      <c r="EE2" s="62"/>
      <c r="EF2" s="98"/>
      <c r="EG2" s="98"/>
      <c r="EH2" s="99" t="s">
        <v>143</v>
      </c>
      <c r="EI2" s="99" t="s">
        <v>146</v>
      </c>
      <c r="EJ2" s="98" t="s">
        <v>3</v>
      </c>
      <c r="EK2" s="99" t="s">
        <v>100</v>
      </c>
      <c r="EL2" s="99" t="s">
        <v>146</v>
      </c>
      <c r="EM2" s="98" t="s">
        <v>3</v>
      </c>
      <c r="EN2" s="62"/>
      <c r="EO2" s="84"/>
      <c r="EP2" s="84"/>
      <c r="EQ2" s="85" t="s">
        <v>96</v>
      </c>
      <c r="ER2" s="85" t="s">
        <v>100</v>
      </c>
      <c r="ES2" s="84" t="s">
        <v>3</v>
      </c>
      <c r="ET2" s="85" t="s">
        <v>101</v>
      </c>
      <c r="EU2" s="85" t="s">
        <v>100</v>
      </c>
      <c r="EV2" s="84" t="s">
        <v>3</v>
      </c>
      <c r="EW2" s="62"/>
      <c r="EX2" s="54"/>
      <c r="EY2" s="54"/>
      <c r="EZ2" s="55">
        <v>18354</v>
      </c>
      <c r="FA2" s="55">
        <v>18384</v>
      </c>
      <c r="FB2" s="54" t="s">
        <v>3</v>
      </c>
      <c r="FC2" s="55">
        <v>18019</v>
      </c>
      <c r="FD2" s="55">
        <v>18384</v>
      </c>
      <c r="FE2" s="54" t="s">
        <v>3</v>
      </c>
      <c r="FF2" s="62"/>
      <c r="FG2" s="29"/>
      <c r="FH2" s="30">
        <v>17989</v>
      </c>
      <c r="FI2" s="30">
        <v>18019</v>
      </c>
      <c r="FJ2" s="29" t="s">
        <v>3</v>
      </c>
      <c r="FK2" s="30">
        <v>17654</v>
      </c>
      <c r="FL2" s="30">
        <v>18019</v>
      </c>
      <c r="FM2" s="29" t="s">
        <v>3</v>
      </c>
      <c r="FO2" s="38"/>
      <c r="FP2" s="39">
        <v>17624</v>
      </c>
      <c r="FQ2" s="39">
        <v>17654</v>
      </c>
      <c r="FR2" s="38" t="s">
        <v>3</v>
      </c>
      <c r="FS2" s="39">
        <v>17288</v>
      </c>
      <c r="FT2" s="39">
        <v>17654</v>
      </c>
      <c r="FU2" s="38" t="s">
        <v>3</v>
      </c>
    </row>
    <row r="3" spans="1:177" x14ac:dyDescent="0.5">
      <c r="A3" s="247" t="s">
        <v>0</v>
      </c>
      <c r="B3" s="247"/>
      <c r="C3" s="248">
        <v>157091</v>
      </c>
      <c r="D3" s="248">
        <v>177309</v>
      </c>
      <c r="E3" s="249">
        <f>((D3-C3)/C3)*100</f>
        <v>12.870247181569919</v>
      </c>
      <c r="F3" s="248">
        <v>168190</v>
      </c>
      <c r="G3" s="248">
        <v>177309</v>
      </c>
      <c r="H3" s="249">
        <f t="shared" ref="H3:H8" si="0">((G3-F3)/F3)*100</f>
        <v>5.4218443427076517</v>
      </c>
      <c r="I3" s="247" t="s">
        <v>0</v>
      </c>
      <c r="J3" s="247"/>
      <c r="K3" s="248">
        <v>136387</v>
      </c>
      <c r="L3" s="248">
        <v>168190</v>
      </c>
      <c r="M3" s="249">
        <f>((L3-K3)/K3)*100</f>
        <v>23.318204814241827</v>
      </c>
      <c r="N3" s="248">
        <v>199316</v>
      </c>
      <c r="O3" s="248">
        <v>168190</v>
      </c>
      <c r="P3" s="249">
        <f t="shared" ref="P3:P8" si="1">((O3-N3)/N3)*100</f>
        <v>-15.616408115755886</v>
      </c>
      <c r="Q3" s="247" t="s">
        <v>0</v>
      </c>
      <c r="R3" s="247"/>
      <c r="S3" s="248">
        <v>140444</v>
      </c>
      <c r="T3" s="248">
        <v>199316</v>
      </c>
      <c r="U3" s="249">
        <f>((T3-S3)/S3)*100</f>
        <v>41.918487083819883</v>
      </c>
      <c r="V3" s="248">
        <v>157940</v>
      </c>
      <c r="W3" s="248">
        <v>199316</v>
      </c>
      <c r="X3" s="249">
        <f>((W3-V3)/V3)*100</f>
        <v>26.197290110168421</v>
      </c>
      <c r="Y3" s="247" t="s">
        <v>0</v>
      </c>
      <c r="Z3" s="247"/>
      <c r="AA3" s="248">
        <v>130737</v>
      </c>
      <c r="AB3" s="248">
        <v>157940</v>
      </c>
      <c r="AC3" s="249">
        <f>((AB3-AA3)/AA3)*100</f>
        <v>20.807422535318999</v>
      </c>
      <c r="AD3" s="248">
        <v>183760</v>
      </c>
      <c r="AE3" s="248">
        <v>157940</v>
      </c>
      <c r="AF3" s="249">
        <f>((AE3-AD3)/AD3)*100</f>
        <v>-14.050936003482803</v>
      </c>
      <c r="AG3" s="247" t="s">
        <v>0</v>
      </c>
      <c r="AH3" s="247"/>
      <c r="AI3" s="248">
        <v>131427</v>
      </c>
      <c r="AJ3" s="248">
        <v>183760</v>
      </c>
      <c r="AK3" s="249">
        <f>((AJ3-AI3)/AI3)*100</f>
        <v>39.819063054014777</v>
      </c>
      <c r="AL3" s="248">
        <v>66669</v>
      </c>
      <c r="AM3" s="248">
        <v>183760</v>
      </c>
      <c r="AN3" s="249">
        <f>((AM3-AL3)/AL3)*100</f>
        <v>175.63035293764716</v>
      </c>
      <c r="AO3" s="247" t="s">
        <v>0</v>
      </c>
      <c r="AP3" s="247"/>
      <c r="AQ3" s="248">
        <v>63517</v>
      </c>
      <c r="AR3" s="248">
        <v>66669</v>
      </c>
      <c r="AS3" s="249">
        <f>((AR3-AQ3)/AQ3)*100</f>
        <v>4.9624509973707829</v>
      </c>
      <c r="AT3" s="248">
        <v>169821</v>
      </c>
      <c r="AU3" s="248">
        <v>66669</v>
      </c>
      <c r="AV3" s="249">
        <f>((AU3-AT3)/AT3)*100</f>
        <v>-60.741604395216143</v>
      </c>
      <c r="AW3" s="247" t="s">
        <v>0</v>
      </c>
      <c r="AX3" s="247"/>
      <c r="AY3" s="248">
        <v>135386</v>
      </c>
      <c r="AZ3" s="248">
        <v>169821</v>
      </c>
      <c r="BA3" s="249">
        <f>((AZ3-AY3)/AY3)*100</f>
        <v>25.434683054377853</v>
      </c>
      <c r="BB3" s="248">
        <v>186157</v>
      </c>
      <c r="BC3" s="248">
        <v>169821</v>
      </c>
      <c r="BD3" s="249">
        <f>((BC3-BB3)/BB3)*100</f>
        <v>-8.7753885161449752</v>
      </c>
      <c r="BE3" s="247" t="s">
        <v>0</v>
      </c>
      <c r="BF3" s="247"/>
      <c r="BG3" s="248">
        <v>127830</v>
      </c>
      <c r="BH3" s="248">
        <v>186157</v>
      </c>
      <c r="BI3" s="249">
        <f>((BH3-BG3)/BG3)*100</f>
        <v>45.628569193460066</v>
      </c>
      <c r="BJ3" s="248">
        <v>191176</v>
      </c>
      <c r="BK3" s="248">
        <v>186157</v>
      </c>
      <c r="BL3" s="249">
        <f>((BK3-BJ3)/BJ3)*100</f>
        <v>-2.6253295392727121</v>
      </c>
      <c r="BM3" s="247" t="s">
        <v>0</v>
      </c>
      <c r="BN3" s="247"/>
      <c r="BO3" s="248">
        <v>138329</v>
      </c>
      <c r="BP3" s="248">
        <v>191176</v>
      </c>
      <c r="BQ3" s="249">
        <f>((BP3-BO3)/BO3)*100</f>
        <v>38.203847349435044</v>
      </c>
      <c r="BR3" s="248">
        <v>146767</v>
      </c>
      <c r="BS3" s="248">
        <v>191176</v>
      </c>
      <c r="BT3" s="249">
        <f>((BS3-BR3)/BR3)*100</f>
        <v>30.258164301239383</v>
      </c>
      <c r="BU3" s="247" t="s">
        <v>0</v>
      </c>
      <c r="BV3" s="247"/>
      <c r="BW3" s="248">
        <v>122101</v>
      </c>
      <c r="BX3" s="248">
        <v>146767</v>
      </c>
      <c r="BY3" s="249">
        <f>((BX3-BW3)/BW3)*100</f>
        <v>20.201308752590069</v>
      </c>
      <c r="BZ3" s="248">
        <v>150041</v>
      </c>
      <c r="CA3" s="248">
        <v>146767</v>
      </c>
      <c r="CB3" s="249">
        <f>((CA3-BZ3)/BZ3)*100</f>
        <v>-2.182070234136003</v>
      </c>
      <c r="CD3" s="247" t="s">
        <v>0</v>
      </c>
      <c r="CE3" s="247"/>
      <c r="CF3" s="248">
        <v>133134</v>
      </c>
      <c r="CG3" s="248">
        <v>150041</v>
      </c>
      <c r="CH3" s="249">
        <f>((CG3-CF3)/CF3)*100</f>
        <v>12.699235356858503</v>
      </c>
      <c r="CI3" s="248">
        <v>160898</v>
      </c>
      <c r="CJ3" s="248">
        <v>150041</v>
      </c>
      <c r="CK3" s="249">
        <f>((CJ3-CI3)/CI3)*100</f>
        <v>-6.7477532349687381</v>
      </c>
      <c r="CM3" s="247" t="s">
        <v>0</v>
      </c>
      <c r="CN3" s="247"/>
      <c r="CO3" s="248">
        <f>SUM(CO4:CO5)</f>
        <v>149616</v>
      </c>
      <c r="CP3" s="248">
        <f>SUM(CP4:CP5)</f>
        <v>160898</v>
      </c>
      <c r="CQ3" s="249">
        <f>((CP3-CO3)/CO3)*100</f>
        <v>7.5406373649877008</v>
      </c>
      <c r="CR3" s="248">
        <f>SUM(CR4:CR5)</f>
        <v>218276</v>
      </c>
      <c r="CS3" s="248">
        <v>160898</v>
      </c>
      <c r="CT3" s="249">
        <f>((CS3-CR3)/CR3)*100</f>
        <v>-26.286902820282577</v>
      </c>
      <c r="CU3" s="73"/>
      <c r="CV3" s="229" t="s">
        <v>0</v>
      </c>
      <c r="CW3" s="229"/>
      <c r="CX3" s="230">
        <f>SUM(CX4:CX5)</f>
        <v>178259</v>
      </c>
      <c r="CY3" s="230">
        <f>SUM(CY4:CY5)</f>
        <v>217076</v>
      </c>
      <c r="CZ3" s="231">
        <f>((CY3-CX3)/CX3)*100</f>
        <v>21.77561862234165</v>
      </c>
      <c r="DA3" s="230">
        <v>238574</v>
      </c>
      <c r="DB3" s="230">
        <v>217076</v>
      </c>
      <c r="DC3" s="231">
        <f>((DB3-DA3)/DA3)*100</f>
        <v>-9.011040599562401</v>
      </c>
      <c r="DD3" s="73"/>
      <c r="DE3" s="181" t="s">
        <v>0</v>
      </c>
      <c r="DF3" s="181"/>
      <c r="DG3" s="182">
        <f>SUM(DG4:DG5)</f>
        <v>189475</v>
      </c>
      <c r="DH3" s="182">
        <f>SUM(DH4:DH5)</f>
        <v>238574</v>
      </c>
      <c r="DI3" s="183">
        <f>((DH3-DG3)/DG3)*100</f>
        <v>25.913181158464177</v>
      </c>
      <c r="DJ3" s="182">
        <v>207262</v>
      </c>
      <c r="DK3" s="182">
        <f>SUM(DK4:DK5)</f>
        <v>238574</v>
      </c>
      <c r="DL3" s="183">
        <f>((DK3-DJ3)/DJ3)*100</f>
        <v>15.107448543389527</v>
      </c>
      <c r="DM3" s="73"/>
      <c r="DN3" s="100" t="s">
        <v>0</v>
      </c>
      <c r="DO3" s="100"/>
      <c r="DP3" s="101">
        <f>SUM(DP4:DP5)</f>
        <v>164523</v>
      </c>
      <c r="DQ3" s="101">
        <f>SUM(DQ4:DQ5)</f>
        <v>207262</v>
      </c>
      <c r="DR3" s="102">
        <f>((DQ3-DP3)/DP3)*100</f>
        <v>25.977522899533806</v>
      </c>
      <c r="DS3" s="101">
        <v>154290</v>
      </c>
      <c r="DT3" s="101">
        <v>207262</v>
      </c>
      <c r="DU3" s="102">
        <f>((DT3-DS3)/DS3)*100</f>
        <v>34.332750016203256</v>
      </c>
      <c r="DV3" s="73"/>
      <c r="DW3" s="120" t="s">
        <v>0</v>
      </c>
      <c r="DX3" s="120"/>
      <c r="DY3" s="121">
        <f>SUM(DY4:DY5)</f>
        <v>139880</v>
      </c>
      <c r="DZ3" s="121">
        <f>SUM(DZ4:DZ5)</f>
        <v>154290</v>
      </c>
      <c r="EA3" s="125">
        <f>((DZ3-DY3)/DY3)*100</f>
        <v>10.301687160423221</v>
      </c>
      <c r="EB3" s="121">
        <v>121704</v>
      </c>
      <c r="EC3" s="121">
        <v>154290</v>
      </c>
      <c r="ED3" s="125">
        <f>((EC3-EB3)/EB3)*100</f>
        <v>26.774797870242555</v>
      </c>
      <c r="EE3" s="127"/>
      <c r="EF3" s="100" t="s">
        <v>0</v>
      </c>
      <c r="EG3" s="100"/>
      <c r="EH3" s="101">
        <f>SUM(EH4:EH5)</f>
        <v>114356</v>
      </c>
      <c r="EI3" s="101">
        <f>SUM(EI4:EI5)</f>
        <v>121704</v>
      </c>
      <c r="EJ3" s="102">
        <f>((EI3-EH3)/EH3)*100</f>
        <v>6.425548287803001</v>
      </c>
      <c r="EK3" s="101">
        <f>SUM(EK4:EK5)</f>
        <v>182137</v>
      </c>
      <c r="EL3" s="101">
        <v>121704</v>
      </c>
      <c r="EM3" s="102">
        <f>((EL3-EK3)/EK3)*100</f>
        <v>-33.179968924490908</v>
      </c>
      <c r="EN3" s="73"/>
      <c r="EO3" s="74" t="s">
        <v>0</v>
      </c>
      <c r="EP3" s="74"/>
      <c r="EQ3" s="75">
        <f>SUM(EQ4:EQ5)</f>
        <v>147401</v>
      </c>
      <c r="ER3" s="75">
        <f>SUM(ER4:ER5)</f>
        <v>182137</v>
      </c>
      <c r="ES3" s="76">
        <f t="shared" ref="ES3:ES18" si="2">(ER3-EQ3)/EQ3*100</f>
        <v>23.565647451509829</v>
      </c>
      <c r="ET3" s="75">
        <f>SUM(ET4:ET5)</f>
        <v>158293</v>
      </c>
      <c r="EU3" s="75">
        <v>182137</v>
      </c>
      <c r="EV3" s="76">
        <f t="shared" ref="EV3:EV18" si="3">(EU3-ET3)/ET3*100</f>
        <v>15.063205574472654</v>
      </c>
      <c r="EW3" s="73"/>
      <c r="EX3" s="63" t="s">
        <v>0</v>
      </c>
      <c r="EY3" s="63"/>
      <c r="EZ3" s="64">
        <f>SUM(EZ4:EZ5)</f>
        <v>108217</v>
      </c>
      <c r="FA3" s="64">
        <v>158293</v>
      </c>
      <c r="FB3" s="65">
        <f t="shared" ref="FB3:FB18" si="4">(FA3-EZ3)/EZ3*100</f>
        <v>46.273690824916599</v>
      </c>
      <c r="FC3" s="64">
        <v>190104</v>
      </c>
      <c r="FD3" s="64">
        <v>158293</v>
      </c>
      <c r="FE3" s="65">
        <f t="shared" ref="FE3:FE18" si="5">(FD3-FC3)/FC3*100</f>
        <v>-16.73347220468796</v>
      </c>
      <c r="FF3" s="73"/>
      <c r="FG3" s="24" t="s">
        <v>0</v>
      </c>
      <c r="FH3" s="25">
        <v>150230</v>
      </c>
      <c r="FI3" s="25">
        <v>190104</v>
      </c>
      <c r="FJ3" s="32">
        <f>(FI3-FH3)/FH3*100</f>
        <v>26.541968980895959</v>
      </c>
      <c r="FK3" s="27">
        <v>206374</v>
      </c>
      <c r="FL3" s="25">
        <v>190104</v>
      </c>
      <c r="FM3" s="32">
        <f>(FL3-FK3)/FK3*100</f>
        <v>-7.8837450454030069</v>
      </c>
      <c r="FO3" s="4" t="s">
        <v>0</v>
      </c>
      <c r="FP3" s="5">
        <v>160378</v>
      </c>
      <c r="FQ3" s="5">
        <v>206374</v>
      </c>
      <c r="FR3" s="36">
        <f>(FQ3-FP3)/FP3*100</f>
        <v>28.679744104552995</v>
      </c>
      <c r="FS3" s="46" t="s">
        <v>17</v>
      </c>
      <c r="FT3" s="5">
        <v>206374</v>
      </c>
      <c r="FU3" s="36" t="e">
        <f>(FT3-FS3)/FS3*100</f>
        <v>#VALUE!</v>
      </c>
    </row>
    <row r="4" spans="1:177" x14ac:dyDescent="0.5">
      <c r="A4" s="250"/>
      <c r="B4" s="250" t="s">
        <v>444</v>
      </c>
      <c r="C4" s="251">
        <v>130487</v>
      </c>
      <c r="D4" s="251">
        <v>149729</v>
      </c>
      <c r="E4" s="249">
        <f t="shared" ref="E4:E8" si="6">((D4-C4)/C4)*100</f>
        <v>14.746296565941435</v>
      </c>
      <c r="F4" s="251">
        <v>140295</v>
      </c>
      <c r="G4" s="251">
        <v>149729</v>
      </c>
      <c r="H4" s="249">
        <f t="shared" si="0"/>
        <v>6.7244021526070066</v>
      </c>
      <c r="I4" s="250"/>
      <c r="J4" s="250" t="s">
        <v>444</v>
      </c>
      <c r="K4" s="251">
        <v>111256</v>
      </c>
      <c r="L4" s="251">
        <v>140295</v>
      </c>
      <c r="M4" s="249">
        <f t="shared" ref="M4:M8" si="7">((L4-K4)/K4)*100</f>
        <v>26.101064212267204</v>
      </c>
      <c r="N4" s="251">
        <v>162529</v>
      </c>
      <c r="O4" s="251">
        <v>140295</v>
      </c>
      <c r="P4" s="249">
        <f t="shared" si="1"/>
        <v>-13.68002018101385</v>
      </c>
      <c r="Q4" s="250"/>
      <c r="R4" s="250" t="s">
        <v>444</v>
      </c>
      <c r="S4" s="251">
        <v>112721</v>
      </c>
      <c r="T4" s="251">
        <v>162529</v>
      </c>
      <c r="U4" s="249">
        <f t="shared" ref="U4:U8" si="8">((T4-S4)/S4)*100</f>
        <v>44.186974920378638</v>
      </c>
      <c r="V4" s="251">
        <v>140638</v>
      </c>
      <c r="W4" s="251">
        <v>162529</v>
      </c>
      <c r="X4" s="249">
        <f>((W4-V4)/V4)*100</f>
        <v>15.565494389851962</v>
      </c>
      <c r="Y4" s="250"/>
      <c r="Z4" s="250" t="s">
        <v>444</v>
      </c>
      <c r="AA4" s="251">
        <v>107770</v>
      </c>
      <c r="AB4" s="251">
        <v>140638</v>
      </c>
      <c r="AC4" s="249">
        <f t="shared" ref="AC4:AC8" si="9">((AB4-AA4)/AA4)*100</f>
        <v>30.498283381274938</v>
      </c>
      <c r="AD4" s="251">
        <v>142970</v>
      </c>
      <c r="AE4" s="251">
        <v>140638</v>
      </c>
      <c r="AF4" s="249">
        <f>((AE4-AD4)/AD4)*100</f>
        <v>-1.6311114219766383</v>
      </c>
      <c r="AG4" s="250"/>
      <c r="AH4" s="250" t="s">
        <v>444</v>
      </c>
      <c r="AI4" s="251">
        <v>100997</v>
      </c>
      <c r="AJ4" s="251">
        <v>142970</v>
      </c>
      <c r="AK4" s="249">
        <f t="shared" ref="AK4:AK15" si="10">((AJ4-AI4)/AI4)*100</f>
        <v>41.558660158222523</v>
      </c>
      <c r="AL4" s="251">
        <v>44941</v>
      </c>
      <c r="AM4" s="251">
        <v>142970</v>
      </c>
      <c r="AN4" s="249">
        <f>((AM4-AL4)/AL4)*100</f>
        <v>218.12821254533722</v>
      </c>
      <c r="AO4" s="250"/>
      <c r="AP4" s="250" t="s">
        <v>444</v>
      </c>
      <c r="AQ4" s="251">
        <v>51339</v>
      </c>
      <c r="AR4" s="251">
        <v>44941</v>
      </c>
      <c r="AS4" s="249">
        <f t="shared" ref="AS4:AS15" si="11">((AR4-AQ4)/AQ4)*100</f>
        <v>-12.462260659537582</v>
      </c>
      <c r="AT4" s="251">
        <v>102289</v>
      </c>
      <c r="AU4" s="251">
        <v>44941</v>
      </c>
      <c r="AV4" s="249">
        <f>((AU4-AT4)/AT4)*100</f>
        <v>-56.064679486552805</v>
      </c>
      <c r="AW4" s="250"/>
      <c r="AX4" s="250" t="s">
        <v>444</v>
      </c>
      <c r="AY4" s="251">
        <v>108669</v>
      </c>
      <c r="AZ4" s="251">
        <v>102289</v>
      </c>
      <c r="BA4" s="249">
        <f t="shared" ref="BA4:BA18" si="12">((AZ4-AY4)/AY4)*100</f>
        <v>-5.8710395789047469</v>
      </c>
      <c r="BB4" s="251">
        <v>151773</v>
      </c>
      <c r="BC4" s="251">
        <v>102289</v>
      </c>
      <c r="BD4" s="249">
        <f>((BC4-BB4)/BB4)*100</f>
        <v>-32.603954590078601</v>
      </c>
      <c r="BE4" s="250"/>
      <c r="BF4" s="250" t="s">
        <v>444</v>
      </c>
      <c r="BG4" s="251">
        <v>103078</v>
      </c>
      <c r="BH4" s="251">
        <v>151773</v>
      </c>
      <c r="BI4" s="249">
        <f t="shared" ref="BI4:BI18" si="13">((BH4-BG4)/BG4)*100</f>
        <v>47.24092434855158</v>
      </c>
      <c r="BJ4" s="251">
        <v>161097</v>
      </c>
      <c r="BK4" s="251">
        <v>151773</v>
      </c>
      <c r="BL4" s="249">
        <f t="shared" ref="BL4:BL18" si="14">((BK4-BJ4)/BJ4)*100</f>
        <v>-5.7878172777891583</v>
      </c>
      <c r="BM4" s="250"/>
      <c r="BN4" s="250" t="s">
        <v>444</v>
      </c>
      <c r="BO4" s="251">
        <v>108343</v>
      </c>
      <c r="BP4" s="251">
        <v>161097</v>
      </c>
      <c r="BQ4" s="249">
        <f t="shared" ref="BQ4:BQ18" si="15">((BP4-BO4)/BO4)*100</f>
        <v>48.691655206150834</v>
      </c>
      <c r="BR4" s="251">
        <v>108920</v>
      </c>
      <c r="BS4" s="251">
        <v>161097</v>
      </c>
      <c r="BT4" s="249">
        <f t="shared" ref="BT4:BT15" si="16">((BS4-BR4)/BR4)*100</f>
        <v>47.903966213734847</v>
      </c>
      <c r="BU4" s="250"/>
      <c r="BV4" s="250" t="s">
        <v>444</v>
      </c>
      <c r="BW4" s="251">
        <v>90865</v>
      </c>
      <c r="BX4" s="251">
        <v>108920</v>
      </c>
      <c r="BY4" s="249">
        <f t="shared" ref="BY4:BY18" si="17">((BX4-BW4)/BW4)*100</f>
        <v>19.870137016452979</v>
      </c>
      <c r="BZ4" s="251">
        <v>118646</v>
      </c>
      <c r="CA4" s="251">
        <v>108920</v>
      </c>
      <c r="CB4" s="249">
        <f t="shared" ref="CB4:CB18" si="18">((CA4-BZ4)/BZ4)*100</f>
        <v>-8.1974950693660134</v>
      </c>
      <c r="CD4" s="250"/>
      <c r="CE4" s="250" t="s">
        <v>57</v>
      </c>
      <c r="CF4" s="251">
        <v>101476</v>
      </c>
      <c r="CG4" s="251">
        <v>118646</v>
      </c>
      <c r="CH4" s="249">
        <f t="shared" ref="CH4:CH18" si="19">((CG4-CF4)/CF4)*100</f>
        <v>16.920257006582837</v>
      </c>
      <c r="CI4" s="251">
        <v>131623</v>
      </c>
      <c r="CJ4" s="251">
        <v>118646</v>
      </c>
      <c r="CK4" s="249">
        <f t="shared" ref="CK4:CK18" si="20">((CJ4-CI4)/CI4)*100</f>
        <v>-9.8592191334341255</v>
      </c>
      <c r="CM4" s="250"/>
      <c r="CN4" s="250" t="s">
        <v>57</v>
      </c>
      <c r="CO4" s="251">
        <v>120986</v>
      </c>
      <c r="CP4" s="251">
        <v>131623</v>
      </c>
      <c r="CQ4" s="249">
        <f t="shared" ref="CQ4:CQ18" si="21">((CP4-CO4)/CO4)*100</f>
        <v>8.7919263385846289</v>
      </c>
      <c r="CR4" s="251">
        <v>190906</v>
      </c>
      <c r="CS4" s="251">
        <v>131623</v>
      </c>
      <c r="CT4" s="249">
        <f t="shared" ref="CT4:CT18" si="22">((CS4-CR4)/CR4)*100</f>
        <v>-31.053502770997245</v>
      </c>
      <c r="CU4" s="73"/>
      <c r="CV4" s="232"/>
      <c r="CW4" s="232" t="s">
        <v>57</v>
      </c>
      <c r="CX4" s="233">
        <v>148526</v>
      </c>
      <c r="CY4" s="233">
        <v>189706</v>
      </c>
      <c r="CZ4" s="231">
        <f t="shared" ref="CZ4:CZ18" si="23">((CY4-CX4)/CX4)*100</f>
        <v>27.725785384377144</v>
      </c>
      <c r="DA4" s="233">
        <v>214338</v>
      </c>
      <c r="DB4" s="233">
        <v>189706</v>
      </c>
      <c r="DC4" s="231">
        <f t="shared" ref="DC4:DC18" si="24">((DB4-DA4)/DA4)*100</f>
        <v>-11.492129253795408</v>
      </c>
      <c r="DD4" s="73"/>
      <c r="DE4" s="184"/>
      <c r="DF4" s="184" t="s">
        <v>57</v>
      </c>
      <c r="DG4" s="185">
        <v>171836</v>
      </c>
      <c r="DH4" s="185">
        <v>214338</v>
      </c>
      <c r="DI4" s="183">
        <f t="shared" ref="DI4:DI18" si="25">((DH4-DG4)/DG4)*100</f>
        <v>24.734048744151398</v>
      </c>
      <c r="DJ4" s="185">
        <v>191902</v>
      </c>
      <c r="DK4" s="185">
        <v>214338</v>
      </c>
      <c r="DL4" s="183">
        <f t="shared" ref="DL4:DL18" si="26">((DK4-DJ4)/DJ4)*100</f>
        <v>11.691384143990161</v>
      </c>
      <c r="DM4" s="73"/>
      <c r="DN4" s="103"/>
      <c r="DO4" s="103" t="s">
        <v>57</v>
      </c>
      <c r="DP4" s="104">
        <v>151782</v>
      </c>
      <c r="DQ4" s="104">
        <v>191902</v>
      </c>
      <c r="DR4" s="102">
        <f t="shared" ref="DR4:DR18" si="27">((DQ4-DP4)/DP4)*100</f>
        <v>26.432646822416363</v>
      </c>
      <c r="DS4" s="104">
        <v>148774</v>
      </c>
      <c r="DT4" s="104">
        <v>191902</v>
      </c>
      <c r="DU4" s="102">
        <f t="shared" ref="DU4:DU18" si="28">((DT4-DS4)/DS4)*100</f>
        <v>28.98893623885894</v>
      </c>
      <c r="DV4" s="73"/>
      <c r="DW4" s="24"/>
      <c r="DX4" s="24" t="s">
        <v>57</v>
      </c>
      <c r="DY4" s="123">
        <v>134140</v>
      </c>
      <c r="DZ4" s="123">
        <v>148774</v>
      </c>
      <c r="EA4" s="128">
        <f t="shared" ref="EA4:EA18" si="29">((DZ4-DY4)/DY4)*100</f>
        <v>10.909497539883702</v>
      </c>
      <c r="EB4" s="123">
        <v>112346</v>
      </c>
      <c r="EC4" s="123">
        <v>148774</v>
      </c>
      <c r="ED4" s="128">
        <f t="shared" ref="ED4:ED18" si="30">((EC4-EB4)/EB4)*100</f>
        <v>32.424830434550408</v>
      </c>
      <c r="EE4" s="130"/>
      <c r="EF4" s="103"/>
      <c r="EG4" s="103" t="s">
        <v>57</v>
      </c>
      <c r="EH4" s="104">
        <v>102273</v>
      </c>
      <c r="EI4" s="104">
        <v>112346</v>
      </c>
      <c r="EJ4" s="102">
        <f t="shared" ref="EJ4:EJ18" si="31">((EI4-EH4)/EH4)*100</f>
        <v>9.8491292912107795</v>
      </c>
      <c r="EK4" s="105">
        <v>169792</v>
      </c>
      <c r="EL4" s="104">
        <v>112346</v>
      </c>
      <c r="EM4" s="102">
        <f t="shared" ref="EM4:EM18" si="32">((EL4-EK4)/EK4)*100</f>
        <v>-33.833160572936301</v>
      </c>
      <c r="EN4" s="73"/>
      <c r="EO4" s="77"/>
      <c r="EP4" s="77" t="s">
        <v>57</v>
      </c>
      <c r="EQ4" s="78">
        <v>134883</v>
      </c>
      <c r="ER4" s="78">
        <f>169463+329</f>
        <v>169792</v>
      </c>
      <c r="ES4" s="79">
        <f t="shared" si="2"/>
        <v>25.880948674036013</v>
      </c>
      <c r="ET4" s="80">
        <v>150437</v>
      </c>
      <c r="EU4" s="78">
        <v>169792</v>
      </c>
      <c r="EV4" s="79">
        <f t="shared" si="3"/>
        <v>12.865850821274021</v>
      </c>
      <c r="EW4" s="61"/>
      <c r="EX4" s="42"/>
      <c r="EY4" s="42" t="s">
        <v>57</v>
      </c>
      <c r="EZ4" s="43">
        <v>99001</v>
      </c>
      <c r="FA4" s="43">
        <v>150437</v>
      </c>
      <c r="FB4" s="44">
        <f t="shared" si="4"/>
        <v>51.955030757265078</v>
      </c>
      <c r="FC4" s="45">
        <v>182235</v>
      </c>
      <c r="FD4" s="43">
        <v>150437</v>
      </c>
      <c r="FE4" s="44">
        <f t="shared" si="5"/>
        <v>-17.448898400417043</v>
      </c>
      <c r="FF4" s="61"/>
      <c r="FG4" s="24" t="s">
        <v>1</v>
      </c>
      <c r="FH4" s="25">
        <v>156602</v>
      </c>
      <c r="FI4" s="25">
        <v>209958</v>
      </c>
      <c r="FJ4" s="32">
        <f>(FI4-FH4)/FH4*100</f>
        <v>34.071084660476878</v>
      </c>
      <c r="FK4" s="27">
        <v>196559</v>
      </c>
      <c r="FL4" s="25">
        <v>209958</v>
      </c>
      <c r="FM4" s="32">
        <f>(FL4-FK4)/FK4*100</f>
        <v>6.8167827471649733</v>
      </c>
      <c r="FO4" s="4" t="s">
        <v>1</v>
      </c>
      <c r="FP4" s="5">
        <v>131137</v>
      </c>
      <c r="FQ4" s="5">
        <v>196559</v>
      </c>
      <c r="FR4" s="36">
        <f>(FQ4-FP4)/FP4*100</f>
        <v>49.888284770888461</v>
      </c>
      <c r="FS4" s="37">
        <v>182038</v>
      </c>
      <c r="FT4" s="5">
        <v>196559</v>
      </c>
      <c r="FU4" s="36">
        <f>(FT4-FS4)/FS4*100</f>
        <v>7.9769059207418227</v>
      </c>
    </row>
    <row r="5" spans="1:177" x14ac:dyDescent="0.5">
      <c r="A5" s="250"/>
      <c r="B5" s="250" t="s">
        <v>58</v>
      </c>
      <c r="C5" s="251">
        <v>22211</v>
      </c>
      <c r="D5" s="251">
        <v>22979</v>
      </c>
      <c r="E5" s="249">
        <f t="shared" si="6"/>
        <v>3.4577461618117153</v>
      </c>
      <c r="F5" s="251">
        <v>22527</v>
      </c>
      <c r="G5" s="251">
        <v>22979</v>
      </c>
      <c r="H5" s="249">
        <f t="shared" si="0"/>
        <v>2.006481111555023</v>
      </c>
      <c r="I5" s="250"/>
      <c r="J5" s="250" t="s">
        <v>58</v>
      </c>
      <c r="K5" s="251">
        <v>21859</v>
      </c>
      <c r="L5" s="251">
        <v>22527</v>
      </c>
      <c r="M5" s="249">
        <f t="shared" si="7"/>
        <v>3.0559494944873964</v>
      </c>
      <c r="N5" s="251">
        <v>36787</v>
      </c>
      <c r="O5" s="251">
        <v>22527</v>
      </c>
      <c r="P5" s="249">
        <f t="shared" si="1"/>
        <v>-38.76369369614266</v>
      </c>
      <c r="Q5" s="250"/>
      <c r="R5" s="250" t="s">
        <v>58</v>
      </c>
      <c r="S5" s="251">
        <v>27723</v>
      </c>
      <c r="T5" s="251">
        <v>36787</v>
      </c>
      <c r="U5" s="249">
        <f t="shared" si="8"/>
        <v>32.694874292104032</v>
      </c>
      <c r="V5" s="251">
        <v>17302</v>
      </c>
      <c r="W5" s="251">
        <v>36787</v>
      </c>
      <c r="X5" s="249">
        <f>((W5-V5)/V5)*100</f>
        <v>112.6170384926598</v>
      </c>
      <c r="Y5" s="250"/>
      <c r="Z5" s="250" t="s">
        <v>58</v>
      </c>
      <c r="AA5" s="251">
        <v>22967</v>
      </c>
      <c r="AB5" s="251">
        <v>17302</v>
      </c>
      <c r="AC5" s="249">
        <f t="shared" si="9"/>
        <v>-24.665824879174465</v>
      </c>
      <c r="AD5" s="251">
        <v>40790</v>
      </c>
      <c r="AE5" s="251">
        <v>17302</v>
      </c>
      <c r="AF5" s="249">
        <f>((AE5-AD5)/AD5)*100</f>
        <v>-57.582740867859769</v>
      </c>
      <c r="AG5" s="250"/>
      <c r="AH5" s="250" t="s">
        <v>58</v>
      </c>
      <c r="AI5" s="251">
        <v>30430</v>
      </c>
      <c r="AJ5" s="251">
        <v>40790</v>
      </c>
      <c r="AK5" s="249">
        <f t="shared" si="10"/>
        <v>34.045349983568848</v>
      </c>
      <c r="AL5" s="251">
        <v>21728</v>
      </c>
      <c r="AM5" s="251">
        <v>40790</v>
      </c>
      <c r="AN5" s="249">
        <f>((AM5-AL5)/AL5)*100</f>
        <v>87.730117820324011</v>
      </c>
      <c r="AO5" s="250"/>
      <c r="AP5" s="250" t="s">
        <v>58</v>
      </c>
      <c r="AQ5" s="251">
        <v>12178</v>
      </c>
      <c r="AR5" s="251">
        <v>21728</v>
      </c>
      <c r="AS5" s="249">
        <f t="shared" si="11"/>
        <v>78.420101822959438</v>
      </c>
      <c r="AT5" s="251">
        <v>40711</v>
      </c>
      <c r="AU5" s="251">
        <v>21728</v>
      </c>
      <c r="AV5" s="249">
        <f>((AU5-AT5)/AT5)*100</f>
        <v>-46.628675296602886</v>
      </c>
      <c r="AW5" s="250"/>
      <c r="AX5" s="250" t="s">
        <v>58</v>
      </c>
      <c r="AY5" s="251">
        <v>26717</v>
      </c>
      <c r="AZ5" s="251">
        <v>40711</v>
      </c>
      <c r="BA5" s="249">
        <f t="shared" si="12"/>
        <v>52.378635325822508</v>
      </c>
      <c r="BB5" s="251">
        <v>34384</v>
      </c>
      <c r="BC5" s="251">
        <v>40711</v>
      </c>
      <c r="BD5" s="249">
        <f>((BC5-BB5)/BB5)*100</f>
        <v>18.401000465332711</v>
      </c>
      <c r="BE5" s="250"/>
      <c r="BF5" s="250" t="s">
        <v>58</v>
      </c>
      <c r="BG5" s="251">
        <v>24752</v>
      </c>
      <c r="BH5" s="251">
        <v>34384</v>
      </c>
      <c r="BI5" s="249">
        <f t="shared" si="13"/>
        <v>38.914027149321271</v>
      </c>
      <c r="BJ5" s="251">
        <v>30079</v>
      </c>
      <c r="BK5" s="251">
        <v>34384</v>
      </c>
      <c r="BL5" s="249">
        <f t="shared" si="14"/>
        <v>14.312310914591574</v>
      </c>
      <c r="BM5" s="250"/>
      <c r="BN5" s="250" t="s">
        <v>58</v>
      </c>
      <c r="BO5" s="251">
        <v>29986</v>
      </c>
      <c r="BP5" s="251">
        <v>30079</v>
      </c>
      <c r="BQ5" s="249">
        <f t="shared" si="15"/>
        <v>0.31014473420929767</v>
      </c>
      <c r="BR5" s="251">
        <v>37847</v>
      </c>
      <c r="BS5" s="251">
        <v>30079</v>
      </c>
      <c r="BT5" s="249">
        <f t="shared" si="16"/>
        <v>-20.524744365471502</v>
      </c>
      <c r="BU5" s="250"/>
      <c r="BV5" s="250" t="s">
        <v>58</v>
      </c>
      <c r="BW5" s="251">
        <v>31236</v>
      </c>
      <c r="BX5" s="251">
        <v>37847</v>
      </c>
      <c r="BY5" s="249">
        <f t="shared" si="17"/>
        <v>21.164681777436293</v>
      </c>
      <c r="BZ5" s="251">
        <v>31395</v>
      </c>
      <c r="CA5" s="251">
        <v>37847</v>
      </c>
      <c r="CB5" s="249">
        <f t="shared" si="18"/>
        <v>20.551043159738814</v>
      </c>
      <c r="CD5" s="250"/>
      <c r="CE5" s="250" t="s">
        <v>58</v>
      </c>
      <c r="CF5" s="251">
        <v>31658</v>
      </c>
      <c r="CG5" s="251">
        <v>31395</v>
      </c>
      <c r="CH5" s="249">
        <f t="shared" si="19"/>
        <v>-0.83075367995451388</v>
      </c>
      <c r="CI5" s="251">
        <v>29275</v>
      </c>
      <c r="CJ5" s="251">
        <v>31395</v>
      </c>
      <c r="CK5" s="249">
        <f t="shared" si="20"/>
        <v>7.2416737830913753</v>
      </c>
      <c r="CM5" s="250"/>
      <c r="CN5" s="250" t="s">
        <v>58</v>
      </c>
      <c r="CO5" s="251">
        <v>28630</v>
      </c>
      <c r="CP5" s="251">
        <v>29275</v>
      </c>
      <c r="CQ5" s="249">
        <f t="shared" si="21"/>
        <v>2.2528815927348935</v>
      </c>
      <c r="CR5" s="251">
        <v>27370</v>
      </c>
      <c r="CS5" s="251">
        <v>29275</v>
      </c>
      <c r="CT5" s="249">
        <f t="shared" si="22"/>
        <v>6.9601753744976254</v>
      </c>
      <c r="CU5" s="73"/>
      <c r="CV5" s="232"/>
      <c r="CW5" s="232" t="s">
        <v>58</v>
      </c>
      <c r="CX5" s="233">
        <v>29733</v>
      </c>
      <c r="CY5" s="233">
        <v>27370</v>
      </c>
      <c r="CZ5" s="231">
        <f t="shared" si="23"/>
        <v>-7.9473985134362488</v>
      </c>
      <c r="DA5" s="233">
        <v>24236</v>
      </c>
      <c r="DB5" s="233">
        <v>27370</v>
      </c>
      <c r="DC5" s="231">
        <f t="shared" si="24"/>
        <v>12.93117676184189</v>
      </c>
      <c r="DD5" s="73"/>
      <c r="DE5" s="184"/>
      <c r="DF5" s="184" t="s">
        <v>58</v>
      </c>
      <c r="DG5" s="185">
        <v>17639</v>
      </c>
      <c r="DH5" s="185">
        <v>24236</v>
      </c>
      <c r="DI5" s="183">
        <f t="shared" si="25"/>
        <v>37.400079369578776</v>
      </c>
      <c r="DJ5" s="185">
        <v>15360</v>
      </c>
      <c r="DK5" s="185">
        <v>24236</v>
      </c>
      <c r="DL5" s="183">
        <f t="shared" si="26"/>
        <v>57.786458333333336</v>
      </c>
      <c r="DM5" s="73"/>
      <c r="DN5" s="103"/>
      <c r="DO5" s="103" t="s">
        <v>58</v>
      </c>
      <c r="DP5" s="104">
        <v>12741</v>
      </c>
      <c r="DQ5" s="104">
        <v>15360</v>
      </c>
      <c r="DR5" s="102">
        <f t="shared" si="27"/>
        <v>20.555686366847187</v>
      </c>
      <c r="DS5" s="104">
        <v>5516</v>
      </c>
      <c r="DT5" s="104">
        <v>15360</v>
      </c>
      <c r="DU5" s="102">
        <f t="shared" si="28"/>
        <v>178.46265409717185</v>
      </c>
      <c r="DV5" s="73"/>
      <c r="DW5" s="24"/>
      <c r="DX5" s="24" t="s">
        <v>58</v>
      </c>
      <c r="DY5" s="123">
        <v>5740</v>
      </c>
      <c r="DZ5" s="123">
        <v>5516</v>
      </c>
      <c r="EA5" s="128">
        <f t="shared" si="29"/>
        <v>-3.9024390243902438</v>
      </c>
      <c r="EB5" s="123">
        <v>9358</v>
      </c>
      <c r="EC5" s="123">
        <v>5516</v>
      </c>
      <c r="ED5" s="128">
        <f t="shared" si="30"/>
        <v>-41.055781149818337</v>
      </c>
      <c r="EE5" s="130"/>
      <c r="EF5" s="103"/>
      <c r="EG5" s="103" t="s">
        <v>58</v>
      </c>
      <c r="EH5" s="104">
        <v>12083</v>
      </c>
      <c r="EI5" s="104">
        <v>9358</v>
      </c>
      <c r="EJ5" s="102">
        <f t="shared" si="31"/>
        <v>-22.552346271621289</v>
      </c>
      <c r="EK5" s="109">
        <v>12345</v>
      </c>
      <c r="EL5" s="104">
        <v>9358</v>
      </c>
      <c r="EM5" s="102">
        <f t="shared" si="32"/>
        <v>-24.196030781692993</v>
      </c>
      <c r="EN5" s="73"/>
      <c r="EO5" s="77"/>
      <c r="EP5" s="77" t="s">
        <v>58</v>
      </c>
      <c r="EQ5" s="78">
        <v>12518</v>
      </c>
      <c r="ER5" s="78">
        <f>11245+1100</f>
        <v>12345</v>
      </c>
      <c r="ES5" s="79">
        <f t="shared" si="2"/>
        <v>-1.3820099057357407</v>
      </c>
      <c r="ET5" s="80">
        <v>7856</v>
      </c>
      <c r="EU5" s="78">
        <v>12345</v>
      </c>
      <c r="EV5" s="79">
        <f t="shared" si="3"/>
        <v>57.141038696537684</v>
      </c>
      <c r="EW5" s="61"/>
      <c r="EX5" s="42"/>
      <c r="EY5" s="42" t="s">
        <v>58</v>
      </c>
      <c r="EZ5" s="43">
        <v>9216</v>
      </c>
      <c r="FA5" s="43">
        <v>7856</v>
      </c>
      <c r="FB5" s="44">
        <f t="shared" si="4"/>
        <v>-14.756944444444445</v>
      </c>
      <c r="FC5" s="45">
        <v>7869</v>
      </c>
      <c r="FD5" s="43">
        <v>7856</v>
      </c>
      <c r="FE5" s="44">
        <f t="shared" si="5"/>
        <v>-0.1652052357351633</v>
      </c>
      <c r="FF5" s="61"/>
      <c r="FG5" s="24" t="s">
        <v>2</v>
      </c>
      <c r="FH5" s="25">
        <v>8657</v>
      </c>
      <c r="FI5" s="25">
        <v>11178</v>
      </c>
      <c r="FJ5" s="32">
        <f>(FI5-FH5)/FH5*100</f>
        <v>29.120942589811715</v>
      </c>
      <c r="FK5" s="27">
        <v>14469</v>
      </c>
      <c r="FL5" s="25">
        <v>11178</v>
      </c>
      <c r="FM5" s="32">
        <f>(FL5-FK5)/FK5*100</f>
        <v>-22.745179348952934</v>
      </c>
      <c r="FO5" s="4" t="s">
        <v>2</v>
      </c>
      <c r="FP5" s="5">
        <v>10995</v>
      </c>
      <c r="FQ5" s="5">
        <v>11178</v>
      </c>
      <c r="FR5" s="36">
        <f>(FQ5-FP5)/FP5*100</f>
        <v>1.6643929058663027</v>
      </c>
      <c r="FS5" s="46" t="s">
        <v>17</v>
      </c>
      <c r="FT5" s="5">
        <v>11178</v>
      </c>
      <c r="FU5" s="36" t="e">
        <f>(FT5-FS5)/FS5*100</f>
        <v>#VALUE!</v>
      </c>
    </row>
    <row r="6" spans="1:177" x14ac:dyDescent="0.5">
      <c r="A6" s="250"/>
      <c r="B6" s="307" t="s">
        <v>763</v>
      </c>
      <c r="C6" s="251">
        <v>360</v>
      </c>
      <c r="D6" s="251">
        <v>786</v>
      </c>
      <c r="E6" s="249">
        <f t="shared" si="6"/>
        <v>118.33333333333333</v>
      </c>
      <c r="F6" s="251">
        <v>0</v>
      </c>
      <c r="G6" s="251">
        <v>786</v>
      </c>
      <c r="H6" s="249" t="e">
        <f t="shared" si="0"/>
        <v>#DIV/0!</v>
      </c>
      <c r="I6" s="250"/>
      <c r="J6" s="307" t="s">
        <v>763</v>
      </c>
      <c r="K6" s="251">
        <v>0</v>
      </c>
      <c r="L6" s="251">
        <v>0</v>
      </c>
      <c r="M6" s="249" t="e">
        <f t="shared" si="7"/>
        <v>#DIV/0!</v>
      </c>
      <c r="N6" s="251">
        <v>0</v>
      </c>
      <c r="O6" s="251">
        <v>0</v>
      </c>
      <c r="P6" s="249" t="e">
        <f t="shared" si="1"/>
        <v>#DIV/0!</v>
      </c>
      <c r="Q6" s="250"/>
      <c r="R6" s="250"/>
      <c r="S6" s="251"/>
      <c r="T6" s="251"/>
      <c r="U6" s="249"/>
      <c r="V6" s="251"/>
      <c r="W6" s="251"/>
      <c r="X6" s="249"/>
      <c r="Y6" s="250"/>
      <c r="Z6" s="250"/>
      <c r="AA6" s="251"/>
      <c r="AB6" s="251"/>
      <c r="AC6" s="249"/>
      <c r="AD6" s="251"/>
      <c r="AE6" s="251"/>
      <c r="AF6" s="249"/>
      <c r="AG6" s="250"/>
      <c r="AH6" s="250"/>
      <c r="AI6" s="251"/>
      <c r="AJ6" s="251"/>
      <c r="AK6" s="249"/>
      <c r="AL6" s="251"/>
      <c r="AM6" s="251"/>
      <c r="AN6" s="249"/>
      <c r="AO6" s="250"/>
      <c r="AP6" s="250"/>
      <c r="AQ6" s="251"/>
      <c r="AR6" s="251"/>
      <c r="AS6" s="249"/>
      <c r="AT6" s="251"/>
      <c r="AU6" s="251"/>
      <c r="AV6" s="249"/>
      <c r="AW6" s="250"/>
      <c r="AX6" s="250"/>
      <c r="AY6" s="251"/>
      <c r="AZ6" s="251"/>
      <c r="BA6" s="249"/>
      <c r="BB6" s="251"/>
      <c r="BC6" s="251"/>
      <c r="BD6" s="249"/>
      <c r="BE6" s="250"/>
      <c r="BF6" s="250"/>
      <c r="BG6" s="251"/>
      <c r="BH6" s="251"/>
      <c r="BI6" s="249"/>
      <c r="BJ6" s="251"/>
      <c r="BK6" s="251"/>
      <c r="BL6" s="249"/>
      <c r="BM6" s="250"/>
      <c r="BN6" s="250"/>
      <c r="BO6" s="251"/>
      <c r="BP6" s="251"/>
      <c r="BQ6" s="249"/>
      <c r="BR6" s="251"/>
      <c r="BS6" s="251"/>
      <c r="BT6" s="249"/>
      <c r="BU6" s="250"/>
      <c r="BV6" s="250"/>
      <c r="BW6" s="251"/>
      <c r="BX6" s="251"/>
      <c r="BY6" s="249"/>
      <c r="BZ6" s="251"/>
      <c r="CA6" s="251"/>
      <c r="CB6" s="249"/>
      <c r="CD6" s="250"/>
      <c r="CE6" s="250"/>
      <c r="CF6" s="251"/>
      <c r="CG6" s="251"/>
      <c r="CH6" s="249"/>
      <c r="CI6" s="251"/>
      <c r="CJ6" s="251"/>
      <c r="CK6" s="249"/>
      <c r="CM6" s="250"/>
      <c r="CN6" s="250"/>
      <c r="CO6" s="251"/>
      <c r="CP6" s="251"/>
      <c r="CQ6" s="249"/>
      <c r="CR6" s="251"/>
      <c r="CS6" s="251"/>
      <c r="CT6" s="249"/>
      <c r="CU6" s="73"/>
      <c r="CV6" s="232"/>
      <c r="CW6" s="232"/>
      <c r="CX6" s="233"/>
      <c r="CY6" s="233"/>
      <c r="CZ6" s="231"/>
      <c r="DA6" s="233"/>
      <c r="DB6" s="233"/>
      <c r="DC6" s="231"/>
      <c r="DD6" s="73"/>
      <c r="DE6" s="184"/>
      <c r="DF6" s="184"/>
      <c r="DG6" s="185"/>
      <c r="DH6" s="185"/>
      <c r="DI6" s="183"/>
      <c r="DJ6" s="185"/>
      <c r="DK6" s="185"/>
      <c r="DL6" s="183"/>
      <c r="DM6" s="73"/>
      <c r="DN6" s="103"/>
      <c r="DO6" s="103"/>
      <c r="DP6" s="104"/>
      <c r="DQ6" s="104"/>
      <c r="DR6" s="102"/>
      <c r="DS6" s="104"/>
      <c r="DT6" s="104"/>
      <c r="DU6" s="102"/>
      <c r="DV6" s="73"/>
      <c r="DW6" s="24"/>
      <c r="DX6" s="24"/>
      <c r="DY6" s="123"/>
      <c r="DZ6" s="123"/>
      <c r="EA6" s="128"/>
      <c r="EB6" s="123"/>
      <c r="EC6" s="123"/>
      <c r="ED6" s="128"/>
      <c r="EE6" s="130"/>
      <c r="EF6" s="103"/>
      <c r="EG6" s="103"/>
      <c r="EH6" s="104"/>
      <c r="EI6" s="104"/>
      <c r="EJ6" s="102"/>
      <c r="EK6" s="109"/>
      <c r="EL6" s="104"/>
      <c r="EM6" s="102"/>
      <c r="EN6" s="73"/>
      <c r="EO6" s="77"/>
      <c r="EP6" s="77"/>
      <c r="EQ6" s="78"/>
      <c r="ER6" s="78"/>
      <c r="ES6" s="79"/>
      <c r="ET6" s="80"/>
      <c r="EU6" s="78"/>
      <c r="EV6" s="79"/>
      <c r="EW6" s="61"/>
      <c r="EX6" s="42"/>
      <c r="EY6" s="42"/>
      <c r="EZ6" s="43"/>
      <c r="FA6" s="43"/>
      <c r="FB6" s="44"/>
      <c r="FC6" s="45"/>
      <c r="FD6" s="43"/>
      <c r="FE6" s="44"/>
      <c r="FF6" s="61"/>
      <c r="FG6" s="24"/>
      <c r="FH6" s="25"/>
      <c r="FI6" s="25"/>
      <c r="FJ6" s="32"/>
      <c r="FK6" s="27"/>
      <c r="FL6" s="25"/>
      <c r="FM6" s="32"/>
      <c r="FO6" s="4"/>
      <c r="FP6" s="5"/>
      <c r="FQ6" s="5"/>
      <c r="FR6" s="36"/>
      <c r="FS6" s="46"/>
      <c r="FT6" s="5"/>
      <c r="FU6" s="36"/>
    </row>
    <row r="7" spans="1:177" x14ac:dyDescent="0.5">
      <c r="A7" s="250"/>
      <c r="B7" s="307" t="s">
        <v>808</v>
      </c>
      <c r="C7" s="251">
        <v>4033</v>
      </c>
      <c r="D7" s="251">
        <v>3815</v>
      </c>
      <c r="E7" s="249">
        <f t="shared" si="6"/>
        <v>-5.4054054054054053</v>
      </c>
      <c r="F7" s="251">
        <v>5368</v>
      </c>
      <c r="G7" s="251">
        <v>3815</v>
      </c>
      <c r="H7" s="249">
        <f t="shared" si="0"/>
        <v>-28.930700447093887</v>
      </c>
      <c r="I7" s="250"/>
      <c r="J7" s="307" t="s">
        <v>808</v>
      </c>
      <c r="K7" s="251">
        <v>3272</v>
      </c>
      <c r="L7" s="251">
        <v>5368</v>
      </c>
      <c r="M7" s="249">
        <f t="shared" si="7"/>
        <v>64.058679706601467</v>
      </c>
      <c r="N7" s="251">
        <v>0</v>
      </c>
      <c r="O7" s="251">
        <v>5368</v>
      </c>
      <c r="P7" s="249" t="e">
        <f t="shared" si="1"/>
        <v>#DIV/0!</v>
      </c>
      <c r="Q7" s="250"/>
      <c r="R7" s="250"/>
      <c r="S7" s="251"/>
      <c r="T7" s="251"/>
      <c r="U7" s="249"/>
      <c r="V7" s="251"/>
      <c r="W7" s="251"/>
      <c r="X7" s="249"/>
      <c r="Y7" s="250"/>
      <c r="Z7" s="250"/>
      <c r="AA7" s="251"/>
      <c r="AB7" s="251"/>
      <c r="AC7" s="249"/>
      <c r="AD7" s="251"/>
      <c r="AE7" s="251"/>
      <c r="AF7" s="249"/>
      <c r="AG7" s="250"/>
      <c r="AH7" s="250"/>
      <c r="AI7" s="251"/>
      <c r="AJ7" s="251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50"/>
      <c r="BF7" s="250"/>
      <c r="BG7" s="251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250"/>
      <c r="BV7" s="250"/>
      <c r="BW7" s="251"/>
      <c r="BX7" s="251"/>
      <c r="BY7" s="249"/>
      <c r="BZ7" s="251"/>
      <c r="CA7" s="251"/>
      <c r="CB7" s="249"/>
      <c r="CD7" s="250"/>
      <c r="CE7" s="250"/>
      <c r="CF7" s="251"/>
      <c r="CG7" s="251"/>
      <c r="CH7" s="249"/>
      <c r="CI7" s="251"/>
      <c r="CJ7" s="251"/>
      <c r="CK7" s="249"/>
      <c r="CM7" s="250"/>
      <c r="CN7" s="250"/>
      <c r="CO7" s="251"/>
      <c r="CP7" s="251"/>
      <c r="CQ7" s="249"/>
      <c r="CR7" s="251"/>
      <c r="CS7" s="251"/>
      <c r="CT7" s="249"/>
      <c r="CU7" s="73"/>
      <c r="CV7" s="232"/>
      <c r="CW7" s="232"/>
      <c r="CX7" s="233"/>
      <c r="CY7" s="233"/>
      <c r="CZ7" s="231"/>
      <c r="DA7" s="233"/>
      <c r="DB7" s="233"/>
      <c r="DC7" s="231"/>
      <c r="DD7" s="73"/>
      <c r="DE7" s="184"/>
      <c r="DF7" s="184"/>
      <c r="DG7" s="185"/>
      <c r="DH7" s="185"/>
      <c r="DI7" s="183"/>
      <c r="DJ7" s="185"/>
      <c r="DK7" s="185"/>
      <c r="DL7" s="183"/>
      <c r="DM7" s="73"/>
      <c r="DN7" s="103"/>
      <c r="DO7" s="103"/>
      <c r="DP7" s="104"/>
      <c r="DQ7" s="104"/>
      <c r="DR7" s="102"/>
      <c r="DS7" s="104"/>
      <c r="DT7" s="104"/>
      <c r="DU7" s="102"/>
      <c r="DV7" s="73"/>
      <c r="DW7" s="24"/>
      <c r="DX7" s="24"/>
      <c r="DY7" s="123"/>
      <c r="DZ7" s="123"/>
      <c r="EA7" s="128"/>
      <c r="EB7" s="123"/>
      <c r="EC7" s="123"/>
      <c r="ED7" s="128"/>
      <c r="EE7" s="130"/>
      <c r="EF7" s="103"/>
      <c r="EG7" s="103"/>
      <c r="EH7" s="104"/>
      <c r="EI7" s="104"/>
      <c r="EJ7" s="102"/>
      <c r="EK7" s="109"/>
      <c r="EL7" s="104"/>
      <c r="EM7" s="102"/>
      <c r="EN7" s="73"/>
      <c r="EO7" s="77"/>
      <c r="EP7" s="77"/>
      <c r="EQ7" s="78"/>
      <c r="ER7" s="78"/>
      <c r="ES7" s="79"/>
      <c r="ET7" s="80"/>
      <c r="EU7" s="78"/>
      <c r="EV7" s="79"/>
      <c r="EW7" s="61"/>
      <c r="EX7" s="42"/>
      <c r="EY7" s="42"/>
      <c r="EZ7" s="43"/>
      <c r="FA7" s="43"/>
      <c r="FB7" s="44"/>
      <c r="FC7" s="45"/>
      <c r="FD7" s="43"/>
      <c r="FE7" s="44"/>
      <c r="FF7" s="61"/>
      <c r="FG7" s="24"/>
      <c r="FH7" s="25"/>
      <c r="FI7" s="25"/>
      <c r="FJ7" s="32"/>
      <c r="FK7" s="27"/>
      <c r="FL7" s="25"/>
      <c r="FM7" s="32"/>
      <c r="FO7" s="4"/>
      <c r="FP7" s="5"/>
      <c r="FQ7" s="5"/>
      <c r="FR7" s="36"/>
      <c r="FS7" s="46"/>
      <c r="FT7" s="5"/>
      <c r="FU7" s="36"/>
    </row>
    <row r="8" spans="1:177" x14ac:dyDescent="0.5">
      <c r="A8" s="247" t="s">
        <v>1</v>
      </c>
      <c r="B8" s="247"/>
      <c r="C8" s="248">
        <v>131950</v>
      </c>
      <c r="D8" s="248">
        <v>164654</v>
      </c>
      <c r="E8" s="249">
        <f t="shared" si="6"/>
        <v>24.785145888594165</v>
      </c>
      <c r="F8" s="248">
        <v>165339</v>
      </c>
      <c r="G8" s="248">
        <v>164654</v>
      </c>
      <c r="H8" s="249">
        <f t="shared" si="0"/>
        <v>-0.41430031631980357</v>
      </c>
      <c r="I8" s="247" t="s">
        <v>1</v>
      </c>
      <c r="J8" s="247"/>
      <c r="K8" s="248">
        <v>127045</v>
      </c>
      <c r="L8" s="248">
        <v>165339</v>
      </c>
      <c r="M8" s="249">
        <f t="shared" si="7"/>
        <v>30.14207564248888</v>
      </c>
      <c r="N8" s="248">
        <v>184091</v>
      </c>
      <c r="O8" s="248">
        <v>165339</v>
      </c>
      <c r="P8" s="249">
        <f t="shared" si="1"/>
        <v>-10.186266574683172</v>
      </c>
      <c r="Q8" s="247" t="s">
        <v>1</v>
      </c>
      <c r="R8" s="247"/>
      <c r="S8" s="248">
        <v>123959</v>
      </c>
      <c r="T8" s="248">
        <v>184091</v>
      </c>
      <c r="U8" s="249">
        <f t="shared" si="8"/>
        <v>48.509587847594773</v>
      </c>
      <c r="V8" s="248">
        <v>162352</v>
      </c>
      <c r="W8" s="248">
        <v>184091</v>
      </c>
      <c r="X8" s="249">
        <f>((W8-V8)/V8)*100</f>
        <v>13.390041391544299</v>
      </c>
      <c r="Y8" s="247" t="s">
        <v>1</v>
      </c>
      <c r="Z8" s="247"/>
      <c r="AA8" s="248">
        <v>121845</v>
      </c>
      <c r="AB8" s="248">
        <v>162352</v>
      </c>
      <c r="AC8" s="249">
        <f t="shared" si="9"/>
        <v>33.244696130329515</v>
      </c>
      <c r="AD8" s="248">
        <v>141881</v>
      </c>
      <c r="AE8" s="248">
        <v>162352</v>
      </c>
      <c r="AF8" s="249">
        <f>((AE8-AD8)/AD8)*100</f>
        <v>14.428288495288305</v>
      </c>
      <c r="AG8" s="247" t="s">
        <v>1</v>
      </c>
      <c r="AH8" s="247"/>
      <c r="AI8" s="248">
        <v>133850</v>
      </c>
      <c r="AJ8" s="248">
        <v>141881</v>
      </c>
      <c r="AK8" s="249">
        <f t="shared" si="10"/>
        <v>6</v>
      </c>
      <c r="AL8" s="248">
        <v>97348</v>
      </c>
      <c r="AM8" s="248">
        <v>141881</v>
      </c>
      <c r="AN8" s="249">
        <f>((AM8-AL8)/AL8)*100</f>
        <v>45.746188930435139</v>
      </c>
      <c r="AO8" s="247" t="s">
        <v>1</v>
      </c>
      <c r="AP8" s="247"/>
      <c r="AQ8" s="248">
        <v>78873</v>
      </c>
      <c r="AR8" s="248">
        <v>97348</v>
      </c>
      <c r="AS8" s="249">
        <f t="shared" si="11"/>
        <v>23.423731822043031</v>
      </c>
      <c r="AT8" s="248">
        <v>160991</v>
      </c>
      <c r="AU8" s="248">
        <v>97348</v>
      </c>
      <c r="AV8" s="249">
        <f>((AU8-AT8)/AT8)*100</f>
        <v>-39.532023529265608</v>
      </c>
      <c r="AW8" s="247" t="s">
        <v>1</v>
      </c>
      <c r="AX8" s="247"/>
      <c r="AY8" s="248">
        <v>120405</v>
      </c>
      <c r="AZ8" s="248">
        <v>160991</v>
      </c>
      <c r="BA8" s="249">
        <f t="shared" si="12"/>
        <v>33.707902495743532</v>
      </c>
      <c r="BB8" s="248">
        <v>168482</v>
      </c>
      <c r="BC8" s="248">
        <v>160991</v>
      </c>
      <c r="BD8" s="249">
        <f>((BC8-BB8)/BB8)*100</f>
        <v>-4.4461722914020489</v>
      </c>
      <c r="BE8" s="247" t="s">
        <v>1</v>
      </c>
      <c r="BF8" s="247"/>
      <c r="BG8" s="248">
        <v>121601</v>
      </c>
      <c r="BH8" s="248">
        <v>168482</v>
      </c>
      <c r="BI8" s="249">
        <f t="shared" si="13"/>
        <v>38.55313689854524</v>
      </c>
      <c r="BJ8" s="248">
        <v>188881</v>
      </c>
      <c r="BK8" s="248">
        <v>168482</v>
      </c>
      <c r="BL8" s="249">
        <f t="shared" si="14"/>
        <v>-10.799921643786298</v>
      </c>
      <c r="BM8" s="247" t="s">
        <v>1</v>
      </c>
      <c r="BN8" s="247"/>
      <c r="BO8" s="248">
        <v>123084</v>
      </c>
      <c r="BP8" s="248">
        <v>188881</v>
      </c>
      <c r="BQ8" s="249">
        <f t="shared" si="15"/>
        <v>53.456988723148427</v>
      </c>
      <c r="BR8" s="248">
        <v>165644</v>
      </c>
      <c r="BS8" s="248">
        <v>188881</v>
      </c>
      <c r="BT8" s="249">
        <f t="shared" si="16"/>
        <v>14.028277510806308</v>
      </c>
      <c r="BU8" s="247" t="s">
        <v>1</v>
      </c>
      <c r="BV8" s="247"/>
      <c r="BW8" s="248">
        <v>105582</v>
      </c>
      <c r="BX8" s="248">
        <v>165644</v>
      </c>
      <c r="BY8" s="249">
        <f t="shared" si="17"/>
        <v>56.886590517323029</v>
      </c>
      <c r="BZ8" s="248">
        <v>144941</v>
      </c>
      <c r="CA8" s="248">
        <v>165644</v>
      </c>
      <c r="CB8" s="249">
        <f t="shared" si="18"/>
        <v>14.28374304027156</v>
      </c>
      <c r="CD8" s="247" t="s">
        <v>1</v>
      </c>
      <c r="CE8" s="247"/>
      <c r="CF8" s="248">
        <v>106314</v>
      </c>
      <c r="CG8" s="248">
        <v>144941</v>
      </c>
      <c r="CH8" s="249">
        <f t="shared" si="19"/>
        <v>36.332938277178926</v>
      </c>
      <c r="CI8" s="248">
        <v>155813</v>
      </c>
      <c r="CJ8" s="248">
        <v>144941</v>
      </c>
      <c r="CK8" s="249">
        <f t="shared" si="20"/>
        <v>-6.9775949375212605</v>
      </c>
      <c r="CM8" s="247" t="s">
        <v>1</v>
      </c>
      <c r="CN8" s="247"/>
      <c r="CO8" s="248">
        <f>SUM(CO9:CO12)</f>
        <v>131147</v>
      </c>
      <c r="CP8" s="248">
        <f>SUM(CP9:CP12)</f>
        <v>155813</v>
      </c>
      <c r="CQ8" s="249">
        <f t="shared" si="21"/>
        <v>18.807902582598153</v>
      </c>
      <c r="CR8" s="248">
        <f>SUM(CR9:CR12)</f>
        <v>189537</v>
      </c>
      <c r="CS8" s="248">
        <v>155813</v>
      </c>
      <c r="CT8" s="249">
        <f t="shared" si="22"/>
        <v>-17.792832006415633</v>
      </c>
      <c r="CU8" s="73"/>
      <c r="CV8" s="229" t="s">
        <v>1</v>
      </c>
      <c r="CW8" s="229"/>
      <c r="CX8" s="230">
        <f>SUM(CX9:CX12)</f>
        <v>169030</v>
      </c>
      <c r="CY8" s="230">
        <f>SUM(CY9:CY12)</f>
        <v>189535</v>
      </c>
      <c r="CZ8" s="231">
        <f t="shared" si="23"/>
        <v>12.130982665798969</v>
      </c>
      <c r="DA8" s="230">
        <f>SUM(DA9:DA12)</f>
        <v>214811</v>
      </c>
      <c r="DB8" s="230">
        <v>189535</v>
      </c>
      <c r="DC8" s="231">
        <f t="shared" si="24"/>
        <v>-11.766622752093701</v>
      </c>
      <c r="DD8" s="73"/>
      <c r="DE8" s="181" t="s">
        <v>1</v>
      </c>
      <c r="DF8" s="181"/>
      <c r="DG8" s="182">
        <f>SUM(DG9:DG12)</f>
        <v>157513</v>
      </c>
      <c r="DH8" s="182">
        <f>SUM(DH9:DH12)</f>
        <v>214809</v>
      </c>
      <c r="DI8" s="183">
        <f t="shared" si="25"/>
        <v>36.375410283595642</v>
      </c>
      <c r="DJ8" s="182">
        <f>SUM(DJ9:DJ12)</f>
        <v>187778</v>
      </c>
      <c r="DK8" s="182">
        <f>SUM(DK9:DK12)</f>
        <v>214809</v>
      </c>
      <c r="DL8" s="183">
        <f t="shared" si="26"/>
        <v>14.395190064863828</v>
      </c>
      <c r="DM8" s="73"/>
      <c r="DN8" s="100" t="s">
        <v>1</v>
      </c>
      <c r="DO8" s="100"/>
      <c r="DP8" s="101">
        <f>SUM(DP9:DP12)</f>
        <v>150213</v>
      </c>
      <c r="DQ8" s="101">
        <f>SUM(DQ9:DQ12)</f>
        <v>168743</v>
      </c>
      <c r="DR8" s="102">
        <f t="shared" si="27"/>
        <v>12.335816473940337</v>
      </c>
      <c r="DS8" s="101">
        <v>149677</v>
      </c>
      <c r="DT8" s="101">
        <v>168743</v>
      </c>
      <c r="DU8" s="102">
        <f t="shared" si="28"/>
        <v>12.738096033458715</v>
      </c>
      <c r="DV8" s="73"/>
      <c r="DW8" s="120" t="s">
        <v>1</v>
      </c>
      <c r="DX8" s="120"/>
      <c r="DY8" s="121">
        <f>SUM(DY9:DY12)</f>
        <v>134516</v>
      </c>
      <c r="DZ8" s="121">
        <f>SUM(DZ9:DZ12)</f>
        <v>149677</v>
      </c>
      <c r="EA8" s="125">
        <f t="shared" si="29"/>
        <v>11.270778197389159</v>
      </c>
      <c r="EB8" s="121">
        <v>135369</v>
      </c>
      <c r="EC8" s="121">
        <v>149677</v>
      </c>
      <c r="ED8" s="125">
        <f t="shared" si="30"/>
        <v>10.569628201434597</v>
      </c>
      <c r="EE8" s="127"/>
      <c r="EF8" s="100" t="s">
        <v>1</v>
      </c>
      <c r="EG8" s="100"/>
      <c r="EH8" s="101">
        <f>SUM(EH9:EH12)</f>
        <v>105066</v>
      </c>
      <c r="EI8" s="101">
        <f>SUM(EI9:EI12)</f>
        <v>135369</v>
      </c>
      <c r="EJ8" s="102">
        <f t="shared" si="31"/>
        <v>28.841870824053451</v>
      </c>
      <c r="EK8" s="101">
        <f>SUM(EK9:EK12)</f>
        <v>150126</v>
      </c>
      <c r="EL8" s="101">
        <v>135369</v>
      </c>
      <c r="EM8" s="102">
        <f t="shared" si="32"/>
        <v>-9.8297430158666721</v>
      </c>
      <c r="EN8" s="73"/>
      <c r="EO8" s="74" t="s">
        <v>1</v>
      </c>
      <c r="EP8" s="74"/>
      <c r="EQ8" s="75">
        <f>SUM(EQ9:EQ12)</f>
        <v>130795</v>
      </c>
      <c r="ER8" s="75">
        <v>150126</v>
      </c>
      <c r="ES8" s="76">
        <f t="shared" si="2"/>
        <v>14.779616957834779</v>
      </c>
      <c r="ET8" s="75">
        <f>SUM(ET9:ET12)</f>
        <v>147692</v>
      </c>
      <c r="EU8" s="75">
        <v>150126</v>
      </c>
      <c r="EV8" s="76">
        <f t="shared" si="3"/>
        <v>1.6480242667172222</v>
      </c>
      <c r="EW8" s="73"/>
      <c r="EX8" s="63" t="s">
        <v>1</v>
      </c>
      <c r="EY8" s="63"/>
      <c r="EZ8" s="64">
        <f>SUM(EZ9:EZ12)</f>
        <v>121568</v>
      </c>
      <c r="FA8" s="64">
        <v>143367</v>
      </c>
      <c r="FB8" s="65">
        <f t="shared" si="4"/>
        <v>17.931528033693077</v>
      </c>
      <c r="FC8" s="64">
        <v>211365</v>
      </c>
      <c r="FD8" s="64">
        <v>143367</v>
      </c>
      <c r="FE8" s="65">
        <f t="shared" si="5"/>
        <v>-32.170889220069547</v>
      </c>
      <c r="FF8" s="73"/>
    </row>
    <row r="9" spans="1:177" x14ac:dyDescent="0.5">
      <c r="A9" s="250"/>
      <c r="B9" s="250" t="s">
        <v>521</v>
      </c>
      <c r="C9" s="335">
        <v>0</v>
      </c>
      <c r="D9" s="289">
        <v>0</v>
      </c>
      <c r="E9" s="336" t="s">
        <v>530</v>
      </c>
      <c r="F9" s="289">
        <v>0</v>
      </c>
      <c r="G9" s="289">
        <v>0</v>
      </c>
      <c r="H9" s="336" t="s">
        <v>530</v>
      </c>
      <c r="I9" s="250"/>
      <c r="J9" s="250" t="s">
        <v>521</v>
      </c>
      <c r="K9" s="335">
        <v>0</v>
      </c>
      <c r="L9" s="289">
        <v>0</v>
      </c>
      <c r="M9" s="336" t="s">
        <v>530</v>
      </c>
      <c r="N9" s="289">
        <v>0</v>
      </c>
      <c r="O9" s="289">
        <v>0</v>
      </c>
      <c r="P9" s="336" t="s">
        <v>530</v>
      </c>
      <c r="Q9" s="250"/>
      <c r="R9" s="250" t="s">
        <v>521</v>
      </c>
      <c r="S9" s="289" t="s">
        <v>530</v>
      </c>
      <c r="T9" s="289">
        <v>0</v>
      </c>
      <c r="U9" s="336" t="s">
        <v>530</v>
      </c>
      <c r="V9" s="289" t="s">
        <v>530</v>
      </c>
      <c r="W9" s="289">
        <v>0</v>
      </c>
      <c r="X9" s="336" t="s">
        <v>530</v>
      </c>
      <c r="Y9" s="250"/>
      <c r="Z9" s="250" t="s">
        <v>521</v>
      </c>
      <c r="AA9" s="289" t="s">
        <v>530</v>
      </c>
      <c r="AB9" s="289" t="s">
        <v>530</v>
      </c>
      <c r="AC9" s="336" t="s">
        <v>530</v>
      </c>
      <c r="AD9" s="289" t="s">
        <v>530</v>
      </c>
      <c r="AE9" s="289" t="s">
        <v>530</v>
      </c>
      <c r="AF9" s="336" t="s">
        <v>530</v>
      </c>
      <c r="AG9" s="250"/>
      <c r="AH9" s="250" t="s">
        <v>521</v>
      </c>
      <c r="AI9" s="289" t="s">
        <v>530</v>
      </c>
      <c r="AJ9" s="289" t="s">
        <v>530</v>
      </c>
      <c r="AK9" s="336" t="s">
        <v>530</v>
      </c>
      <c r="AL9" s="289" t="s">
        <v>530</v>
      </c>
      <c r="AM9" s="289" t="s">
        <v>530</v>
      </c>
      <c r="AN9" s="336" t="s">
        <v>530</v>
      </c>
      <c r="AO9" s="250"/>
      <c r="AP9" s="250" t="s">
        <v>521</v>
      </c>
      <c r="AQ9" s="252" t="s">
        <v>530</v>
      </c>
      <c r="AR9" s="252" t="s">
        <v>530</v>
      </c>
      <c r="AS9" s="249" t="e">
        <f t="shared" si="11"/>
        <v>#DIV/0!</v>
      </c>
      <c r="AT9" s="252">
        <v>0</v>
      </c>
      <c r="AU9" s="252" t="s">
        <v>530</v>
      </c>
      <c r="AV9" s="249"/>
      <c r="AW9" s="250"/>
      <c r="AX9" s="250" t="s">
        <v>521</v>
      </c>
      <c r="AY9" s="252" t="s">
        <v>530</v>
      </c>
      <c r="AZ9" s="252">
        <v>0</v>
      </c>
      <c r="BA9" s="249" t="e">
        <f t="shared" si="12"/>
        <v>#DIV/0!</v>
      </c>
      <c r="BB9" s="252">
        <v>38</v>
      </c>
      <c r="BC9" s="252">
        <v>0</v>
      </c>
      <c r="BD9" s="249"/>
      <c r="BE9" s="250"/>
      <c r="BF9" s="250" t="s">
        <v>521</v>
      </c>
      <c r="BG9" s="252">
        <v>9</v>
      </c>
      <c r="BH9" s="252">
        <v>38</v>
      </c>
      <c r="BI9" s="249">
        <f t="shared" si="13"/>
        <v>322.22222222222223</v>
      </c>
      <c r="BJ9" s="252"/>
      <c r="BK9" s="252">
        <v>38</v>
      </c>
      <c r="BL9" s="249"/>
      <c r="BM9" s="250"/>
      <c r="BN9" s="250" t="s">
        <v>435</v>
      </c>
      <c r="BO9" s="252">
        <v>8</v>
      </c>
      <c r="BP9" s="252">
        <v>7</v>
      </c>
      <c r="BQ9" s="249">
        <f t="shared" si="15"/>
        <v>-12.5</v>
      </c>
      <c r="BR9" s="252">
        <v>14</v>
      </c>
      <c r="BS9" s="252">
        <v>7</v>
      </c>
      <c r="BT9" s="249">
        <f t="shared" si="16"/>
        <v>-50</v>
      </c>
      <c r="BU9" s="250"/>
      <c r="BV9" s="250" t="s">
        <v>435</v>
      </c>
      <c r="BW9" s="252">
        <v>11</v>
      </c>
      <c r="BX9" s="252">
        <v>14</v>
      </c>
      <c r="BY9" s="249">
        <f t="shared" si="17"/>
        <v>27.27272727272727</v>
      </c>
      <c r="BZ9" s="252"/>
      <c r="CA9" s="252">
        <v>14</v>
      </c>
      <c r="CB9" s="249"/>
      <c r="CD9" s="250"/>
      <c r="CE9" s="250" t="s">
        <v>57</v>
      </c>
      <c r="CF9" s="252">
        <v>50436</v>
      </c>
      <c r="CG9" s="252">
        <v>72288</v>
      </c>
      <c r="CH9" s="249">
        <f t="shared" si="19"/>
        <v>43.326195574589576</v>
      </c>
      <c r="CI9" s="252">
        <v>77751</v>
      </c>
      <c r="CJ9" s="252">
        <v>72288</v>
      </c>
      <c r="CK9" s="249">
        <f t="shared" si="20"/>
        <v>-7.0262761893737702</v>
      </c>
      <c r="CM9" s="250"/>
      <c r="CN9" s="250" t="s">
        <v>57</v>
      </c>
      <c r="CO9" s="252">
        <v>66974</v>
      </c>
      <c r="CP9" s="252">
        <v>77751</v>
      </c>
      <c r="CQ9" s="249">
        <f t="shared" si="21"/>
        <v>16.091319019320931</v>
      </c>
      <c r="CR9" s="252">
        <v>90077</v>
      </c>
      <c r="CS9" s="252">
        <v>77751</v>
      </c>
      <c r="CT9" s="249">
        <f t="shared" si="22"/>
        <v>-13.683848263152637</v>
      </c>
      <c r="CU9" s="73"/>
      <c r="CV9" s="232"/>
      <c r="CW9" s="232" t="s">
        <v>57</v>
      </c>
      <c r="CX9" s="234">
        <v>83091</v>
      </c>
      <c r="CY9" s="234">
        <v>90077</v>
      </c>
      <c r="CZ9" s="231">
        <f t="shared" si="23"/>
        <v>8.4076494445848518</v>
      </c>
      <c r="DA9" s="234">
        <v>102879</v>
      </c>
      <c r="DB9" s="234">
        <v>90077</v>
      </c>
      <c r="DC9" s="231">
        <f t="shared" si="24"/>
        <v>-12.443744593162842</v>
      </c>
      <c r="DD9" s="73"/>
      <c r="DE9" s="184"/>
      <c r="DF9" s="184" t="s">
        <v>57</v>
      </c>
      <c r="DG9" s="186">
        <v>73129</v>
      </c>
      <c r="DH9" s="186">
        <v>102314</v>
      </c>
      <c r="DI9" s="183">
        <f t="shared" si="25"/>
        <v>39.908928058636107</v>
      </c>
      <c r="DJ9" s="186">
        <v>88934</v>
      </c>
      <c r="DK9" s="186">
        <v>102314</v>
      </c>
      <c r="DL9" s="183">
        <f t="shared" si="26"/>
        <v>15.044864731148941</v>
      </c>
      <c r="DM9" s="73"/>
      <c r="DN9" s="103"/>
      <c r="DO9" s="103" t="s">
        <v>57</v>
      </c>
      <c r="DP9" s="105">
        <v>74362</v>
      </c>
      <c r="DQ9" s="105">
        <v>79599</v>
      </c>
      <c r="DR9" s="102">
        <f t="shared" si="27"/>
        <v>7.0425755089965305</v>
      </c>
      <c r="DS9" s="105">
        <v>67334</v>
      </c>
      <c r="DT9" s="105">
        <v>79599</v>
      </c>
      <c r="DU9" s="102">
        <f t="shared" si="28"/>
        <v>18.2151661864734</v>
      </c>
      <c r="DV9" s="73"/>
      <c r="DW9" s="24"/>
      <c r="DX9" s="24" t="s">
        <v>57</v>
      </c>
      <c r="DY9" s="25">
        <v>60819</v>
      </c>
      <c r="DZ9" s="25">
        <v>67334</v>
      </c>
      <c r="EA9" s="128">
        <f t="shared" si="29"/>
        <v>10.7121129910061</v>
      </c>
      <c r="EB9" s="25">
        <v>66045</v>
      </c>
      <c r="EC9" s="25">
        <v>67334</v>
      </c>
      <c r="ED9" s="128">
        <f t="shared" si="30"/>
        <v>1.9516995987584222</v>
      </c>
      <c r="EE9" s="130"/>
      <c r="EF9" s="103"/>
      <c r="EG9" s="103" t="s">
        <v>57</v>
      </c>
      <c r="EH9" s="105">
        <v>52316</v>
      </c>
      <c r="EI9" s="105">
        <v>66045</v>
      </c>
      <c r="EJ9" s="102">
        <f t="shared" si="31"/>
        <v>26.24244972857252</v>
      </c>
      <c r="EK9" s="109">
        <v>76390</v>
      </c>
      <c r="EL9" s="105">
        <v>66045</v>
      </c>
      <c r="EM9" s="102">
        <f t="shared" si="32"/>
        <v>-13.542348474931273</v>
      </c>
      <c r="EN9" s="73"/>
      <c r="EO9" s="77"/>
      <c r="EP9" s="77" t="s">
        <v>57</v>
      </c>
      <c r="EQ9" s="80">
        <v>69109</v>
      </c>
      <c r="ER9" s="80">
        <f>76778+4424</f>
        <v>81202</v>
      </c>
      <c r="ES9" s="79">
        <f t="shared" si="2"/>
        <v>17.498444486246363</v>
      </c>
      <c r="ET9" s="81">
        <v>78840</v>
      </c>
      <c r="EU9" s="80">
        <v>81202</v>
      </c>
      <c r="EV9" s="79">
        <f t="shared" si="3"/>
        <v>2.9959411466260781</v>
      </c>
      <c r="EW9" s="61"/>
      <c r="EX9" s="42"/>
      <c r="EY9" s="42" t="s">
        <v>57</v>
      </c>
      <c r="EZ9" s="43">
        <v>63302</v>
      </c>
      <c r="FA9" s="43">
        <v>74521</v>
      </c>
      <c r="FB9" s="44">
        <f t="shared" si="4"/>
        <v>17.722978736848756</v>
      </c>
      <c r="FC9" s="45">
        <v>133552</v>
      </c>
      <c r="FD9" s="43">
        <v>74521</v>
      </c>
      <c r="FE9" s="44">
        <f t="shared" si="5"/>
        <v>-44.200760752366122</v>
      </c>
      <c r="FF9" s="61"/>
      <c r="FH9" s="34" t="s">
        <v>14</v>
      </c>
      <c r="FO9" s="34" t="s">
        <v>15</v>
      </c>
    </row>
    <row r="10" spans="1:177" x14ac:dyDescent="0.5">
      <c r="A10" s="250"/>
      <c r="B10" s="250" t="s">
        <v>522</v>
      </c>
      <c r="C10" s="252">
        <v>43885</v>
      </c>
      <c r="D10" s="252">
        <v>56264</v>
      </c>
      <c r="E10" s="249">
        <f t="shared" ref="E10:E15" si="33">((D10-C10)/C10)*100</f>
        <v>28.207815882419961</v>
      </c>
      <c r="F10" s="252">
        <v>62763</v>
      </c>
      <c r="G10" s="252">
        <v>56264</v>
      </c>
      <c r="H10" s="249">
        <f t="shared" ref="H10:H18" si="34">((G10-F10)/F10)*100</f>
        <v>-10.354826888453388</v>
      </c>
      <c r="I10" s="250"/>
      <c r="J10" s="250" t="s">
        <v>522</v>
      </c>
      <c r="K10" s="252">
        <v>47685</v>
      </c>
      <c r="L10" s="252">
        <v>62763</v>
      </c>
      <c r="M10" s="249">
        <f t="shared" ref="M10:M15" si="35">((L10-K10)/K10)*100</f>
        <v>31.620006291286568</v>
      </c>
      <c r="N10" s="252">
        <v>77720</v>
      </c>
      <c r="O10" s="252">
        <v>62763</v>
      </c>
      <c r="P10" s="249">
        <f t="shared" ref="P10:P18" si="36">((O10-N10)/N10)*100</f>
        <v>-19.244724652599075</v>
      </c>
      <c r="Q10" s="250"/>
      <c r="R10" s="250" t="s">
        <v>522</v>
      </c>
      <c r="S10" s="252">
        <v>53293</v>
      </c>
      <c r="T10" s="252">
        <v>77720</v>
      </c>
      <c r="U10" s="249">
        <f t="shared" ref="U10:U15" si="37">((T10-S10)/S10)*100</f>
        <v>45.835287936501977</v>
      </c>
      <c r="V10" s="252">
        <v>61514</v>
      </c>
      <c r="W10" s="252">
        <v>77720</v>
      </c>
      <c r="X10" s="249">
        <f t="shared" ref="X10:X18" si="38">((W10-V10)/V10)*100</f>
        <v>26.345222225834767</v>
      </c>
      <c r="Y10" s="250"/>
      <c r="Z10" s="250" t="s">
        <v>522</v>
      </c>
      <c r="AA10" s="252">
        <v>45631</v>
      </c>
      <c r="AB10" s="252">
        <v>61514</v>
      </c>
      <c r="AC10" s="249">
        <f t="shared" ref="AC10:AC15" si="39">((AB10-AA10)/AA10)*100</f>
        <v>34.80747737283864</v>
      </c>
      <c r="AD10" s="252">
        <v>67337</v>
      </c>
      <c r="AE10" s="252">
        <v>61514</v>
      </c>
      <c r="AF10" s="249">
        <f t="shared" ref="AF10:AF18" si="40">((AE10-AD10)/AD10)*100</f>
        <v>-8.6475488958522053</v>
      </c>
      <c r="AG10" s="250"/>
      <c r="AH10" s="250" t="s">
        <v>522</v>
      </c>
      <c r="AI10" s="252">
        <v>63920</v>
      </c>
      <c r="AJ10" s="252">
        <v>67337</v>
      </c>
      <c r="AK10" s="249">
        <f t="shared" si="10"/>
        <v>5.3457446808510642</v>
      </c>
      <c r="AL10" s="252">
        <v>47859</v>
      </c>
      <c r="AM10" s="252">
        <v>67337</v>
      </c>
      <c r="AN10" s="249">
        <f t="shared" ref="AN10:AN18" si="41">((AM10-AL10)/AL10)*100</f>
        <v>40.698719154182079</v>
      </c>
      <c r="AO10" s="250"/>
      <c r="AP10" s="250" t="s">
        <v>522</v>
      </c>
      <c r="AQ10" s="252">
        <v>36538</v>
      </c>
      <c r="AR10" s="252">
        <v>47859</v>
      </c>
      <c r="AS10" s="249">
        <f t="shared" si="11"/>
        <v>30.984180852810773</v>
      </c>
      <c r="AT10" s="252">
        <v>84679</v>
      </c>
      <c r="AU10" s="252">
        <v>47859</v>
      </c>
      <c r="AV10" s="249">
        <f t="shared" ref="AV10:AV18" si="42">((AU10-AT10)/AT10)*100</f>
        <v>-43.481855005373234</v>
      </c>
      <c r="AW10" s="250"/>
      <c r="AX10" s="250" t="s">
        <v>522</v>
      </c>
      <c r="AY10" s="252">
        <v>60036</v>
      </c>
      <c r="AZ10" s="252">
        <v>84679</v>
      </c>
      <c r="BA10" s="249">
        <f t="shared" si="12"/>
        <v>41.047038443600506</v>
      </c>
      <c r="BB10" s="252">
        <v>92032</v>
      </c>
      <c r="BC10" s="252">
        <v>84679</v>
      </c>
      <c r="BD10" s="249">
        <f t="shared" ref="BD10:BD18" si="43">((BC10-BB10)/BB10)*100</f>
        <v>-7.9896123087621698</v>
      </c>
      <c r="BE10" s="250"/>
      <c r="BF10" s="250" t="s">
        <v>522</v>
      </c>
      <c r="BG10" s="252">
        <v>62459</v>
      </c>
      <c r="BH10" s="252">
        <v>92032</v>
      </c>
      <c r="BI10" s="249">
        <f t="shared" si="13"/>
        <v>47.347860196288764</v>
      </c>
      <c r="BJ10" s="252"/>
      <c r="BK10" s="252">
        <v>92032</v>
      </c>
      <c r="BL10" s="249"/>
      <c r="BM10" s="250"/>
      <c r="BN10" s="250" t="s">
        <v>436</v>
      </c>
      <c r="BO10" s="252">
        <v>103693</v>
      </c>
      <c r="BP10" s="252">
        <v>159974</v>
      </c>
      <c r="BQ10" s="249">
        <f t="shared" si="15"/>
        <v>54.276566402746575</v>
      </c>
      <c r="BR10" s="252">
        <v>145585</v>
      </c>
      <c r="BS10" s="252">
        <v>159974</v>
      </c>
      <c r="BT10" s="249">
        <f t="shared" si="16"/>
        <v>9.8835731703128751</v>
      </c>
      <c r="BU10" s="250"/>
      <c r="BV10" s="250" t="s">
        <v>436</v>
      </c>
      <c r="BW10" s="252">
        <v>89760</v>
      </c>
      <c r="BX10" s="252">
        <v>145585</v>
      </c>
      <c r="BY10" s="249">
        <f t="shared" si="17"/>
        <v>62.193627450980394</v>
      </c>
      <c r="BZ10" s="252"/>
      <c r="CA10" s="252">
        <v>145585</v>
      </c>
      <c r="CB10" s="249"/>
      <c r="CD10" s="250"/>
      <c r="CE10" s="250" t="s">
        <v>59</v>
      </c>
      <c r="CF10" s="252">
        <v>39299</v>
      </c>
      <c r="CG10" s="252">
        <v>51612</v>
      </c>
      <c r="CH10" s="249">
        <f t="shared" si="19"/>
        <v>31.331586045446446</v>
      </c>
      <c r="CI10" s="252">
        <v>61317</v>
      </c>
      <c r="CJ10" s="252">
        <v>51612</v>
      </c>
      <c r="CK10" s="249">
        <f t="shared" si="20"/>
        <v>-15.827584519790596</v>
      </c>
      <c r="CM10" s="250"/>
      <c r="CN10" s="250" t="s">
        <v>59</v>
      </c>
      <c r="CO10" s="252">
        <v>49220</v>
      </c>
      <c r="CP10" s="252">
        <v>61317</v>
      </c>
      <c r="CQ10" s="249">
        <f t="shared" si="21"/>
        <v>24.577407557903292</v>
      </c>
      <c r="CR10" s="252">
        <v>85723</v>
      </c>
      <c r="CS10" s="252">
        <v>61317</v>
      </c>
      <c r="CT10" s="249">
        <f t="shared" si="22"/>
        <v>-28.470772138165952</v>
      </c>
      <c r="CU10" s="73"/>
      <c r="CV10" s="232"/>
      <c r="CW10" s="232" t="s">
        <v>59</v>
      </c>
      <c r="CX10" s="234">
        <v>74278</v>
      </c>
      <c r="CY10" s="234">
        <v>85721</v>
      </c>
      <c r="CZ10" s="231">
        <f t="shared" si="23"/>
        <v>15.405638277821158</v>
      </c>
      <c r="DA10" s="234">
        <v>104530</v>
      </c>
      <c r="DB10" s="234">
        <v>85721</v>
      </c>
      <c r="DC10" s="231">
        <f t="shared" si="24"/>
        <v>-17.993877355783027</v>
      </c>
      <c r="DD10" s="73"/>
      <c r="DE10" s="184"/>
      <c r="DF10" s="184" t="s">
        <v>59</v>
      </c>
      <c r="DG10" s="186">
        <v>78741</v>
      </c>
      <c r="DH10" s="186">
        <v>104529</v>
      </c>
      <c r="DI10" s="183">
        <f t="shared" si="25"/>
        <v>32.750409570617592</v>
      </c>
      <c r="DJ10" s="186">
        <v>93333</v>
      </c>
      <c r="DK10" s="186">
        <v>104529</v>
      </c>
      <c r="DL10" s="183">
        <f t="shared" si="26"/>
        <v>11.995757127704028</v>
      </c>
      <c r="DM10" s="73"/>
      <c r="DN10" s="103"/>
      <c r="DO10" s="103" t="s">
        <v>59</v>
      </c>
      <c r="DP10" s="105">
        <v>71459</v>
      </c>
      <c r="DQ10" s="105">
        <v>84333</v>
      </c>
      <c r="DR10" s="102">
        <f t="shared" si="27"/>
        <v>18.015925215858044</v>
      </c>
      <c r="DS10" s="105">
        <v>78160</v>
      </c>
      <c r="DT10" s="105">
        <v>84333</v>
      </c>
      <c r="DU10" s="102">
        <f t="shared" si="28"/>
        <v>7.8979017400204716</v>
      </c>
      <c r="DV10" s="73"/>
      <c r="DW10" s="24"/>
      <c r="DX10" s="24" t="s">
        <v>59</v>
      </c>
      <c r="DY10" s="25">
        <v>68878</v>
      </c>
      <c r="DZ10" s="25">
        <v>78160</v>
      </c>
      <c r="EA10" s="128">
        <f t="shared" si="29"/>
        <v>13.47600104532652</v>
      </c>
      <c r="EB10" s="25">
        <v>63464</v>
      </c>
      <c r="EC10" s="25">
        <v>78160</v>
      </c>
      <c r="ED10" s="128">
        <f t="shared" si="30"/>
        <v>23.156435144333795</v>
      </c>
      <c r="EE10" s="130"/>
      <c r="EF10" s="103"/>
      <c r="EG10" s="103" t="s">
        <v>59</v>
      </c>
      <c r="EH10" s="105">
        <v>48096</v>
      </c>
      <c r="EI10" s="105">
        <v>63464</v>
      </c>
      <c r="EJ10" s="102">
        <f>((EI10-EH10)/EH10)*100</f>
        <v>31.952761144377913</v>
      </c>
      <c r="EK10" s="109">
        <v>66820</v>
      </c>
      <c r="EL10" s="105">
        <v>63464</v>
      </c>
      <c r="EM10" s="102">
        <f>((EL10-EK10)/EK10)*100</f>
        <v>-5.0224483687518706</v>
      </c>
      <c r="EN10" s="73"/>
      <c r="EO10" s="77"/>
      <c r="EP10" s="77" t="s">
        <v>58</v>
      </c>
      <c r="EQ10" s="80">
        <v>1301</v>
      </c>
      <c r="ER10" s="80">
        <f>1038+593</f>
        <v>1631</v>
      </c>
      <c r="ES10" s="79">
        <f t="shared" si="2"/>
        <v>25.36510376633359</v>
      </c>
      <c r="ET10" s="81">
        <v>1466</v>
      </c>
      <c r="EU10" s="80">
        <v>1631</v>
      </c>
      <c r="EV10" s="79">
        <f t="shared" si="3"/>
        <v>11.255115961800819</v>
      </c>
      <c r="EW10" s="61"/>
      <c r="EX10" s="42"/>
      <c r="EY10" s="42" t="s">
        <v>58</v>
      </c>
      <c r="EZ10" s="43">
        <v>984</v>
      </c>
      <c r="FA10" s="43">
        <v>1466</v>
      </c>
      <c r="FB10" s="44">
        <f t="shared" si="4"/>
        <v>48.983739837398375</v>
      </c>
      <c r="FC10" s="45">
        <v>1906</v>
      </c>
      <c r="FD10" s="43">
        <v>1466</v>
      </c>
      <c r="FE10" s="44">
        <f t="shared" si="5"/>
        <v>-23.084994753410285</v>
      </c>
      <c r="FF10" s="61"/>
      <c r="FG10" s="29"/>
      <c r="FH10" s="30">
        <v>17989</v>
      </c>
      <c r="FI10" s="30">
        <v>18019</v>
      </c>
      <c r="FJ10" s="29" t="s">
        <v>3</v>
      </c>
      <c r="FK10" s="30">
        <v>17654</v>
      </c>
      <c r="FL10" s="30">
        <v>18019</v>
      </c>
      <c r="FM10" s="29" t="s">
        <v>3</v>
      </c>
      <c r="FO10" s="40"/>
      <c r="FP10" s="41">
        <v>17624</v>
      </c>
      <c r="FQ10" s="41">
        <v>17654</v>
      </c>
      <c r="FR10" s="40" t="s">
        <v>3</v>
      </c>
      <c r="FS10" s="41">
        <v>17288</v>
      </c>
      <c r="FT10" s="41">
        <v>17654</v>
      </c>
      <c r="FU10" s="40" t="s">
        <v>3</v>
      </c>
    </row>
    <row r="11" spans="1:177" x14ac:dyDescent="0.5">
      <c r="A11" s="250"/>
      <c r="B11" s="250" t="s">
        <v>523</v>
      </c>
      <c r="C11" s="252">
        <v>57435</v>
      </c>
      <c r="D11" s="252">
        <v>72101</v>
      </c>
      <c r="E11" s="249">
        <f t="shared" si="33"/>
        <v>25.534952555062247</v>
      </c>
      <c r="F11" s="252">
        <v>65547</v>
      </c>
      <c r="G11" s="252">
        <v>72101</v>
      </c>
      <c r="H11" s="249">
        <f t="shared" si="34"/>
        <v>9.9989320640151345</v>
      </c>
      <c r="I11" s="250"/>
      <c r="J11" s="250" t="s">
        <v>523</v>
      </c>
      <c r="K11" s="252">
        <v>48734</v>
      </c>
      <c r="L11" s="252">
        <v>65547</v>
      </c>
      <c r="M11" s="249">
        <f t="shared" si="35"/>
        <v>34.499528050231874</v>
      </c>
      <c r="N11" s="252">
        <v>61486</v>
      </c>
      <c r="O11" s="252">
        <v>65547</v>
      </c>
      <c r="P11" s="249">
        <f t="shared" si="36"/>
        <v>6.6047555541098788</v>
      </c>
      <c r="Q11" s="250"/>
      <c r="R11" s="250" t="s">
        <v>523</v>
      </c>
      <c r="S11" s="252">
        <v>40485</v>
      </c>
      <c r="T11" s="252">
        <v>61486</v>
      </c>
      <c r="U11" s="249">
        <f t="shared" si="37"/>
        <v>51.873533407434856</v>
      </c>
      <c r="V11" s="252">
        <v>61804</v>
      </c>
      <c r="W11" s="252">
        <v>61486</v>
      </c>
      <c r="X11" s="249">
        <f t="shared" si="38"/>
        <v>-0.51452980389618796</v>
      </c>
      <c r="Y11" s="250"/>
      <c r="Z11" s="250" t="s">
        <v>523</v>
      </c>
      <c r="AA11" s="252">
        <v>46479</v>
      </c>
      <c r="AB11" s="252">
        <v>61804</v>
      </c>
      <c r="AC11" s="249">
        <f t="shared" si="39"/>
        <v>32.971879773661222</v>
      </c>
      <c r="AD11" s="252">
        <v>38717</v>
      </c>
      <c r="AE11" s="252">
        <v>61804</v>
      </c>
      <c r="AF11" s="249">
        <f t="shared" si="40"/>
        <v>59.630136632487016</v>
      </c>
      <c r="AG11" s="250"/>
      <c r="AH11" s="250" t="s">
        <v>523</v>
      </c>
      <c r="AI11" s="252">
        <v>35371</v>
      </c>
      <c r="AJ11" s="252">
        <v>38717</v>
      </c>
      <c r="AK11" s="249">
        <f t="shared" si="10"/>
        <v>9.4597268949139135</v>
      </c>
      <c r="AL11" s="252">
        <v>24799</v>
      </c>
      <c r="AM11" s="252">
        <v>38717</v>
      </c>
      <c r="AN11" s="249">
        <f t="shared" si="41"/>
        <v>56.123230775434493</v>
      </c>
      <c r="AO11" s="250"/>
      <c r="AP11" s="250" t="s">
        <v>523</v>
      </c>
      <c r="AQ11" s="252">
        <v>21201</v>
      </c>
      <c r="AR11" s="252">
        <v>24799</v>
      </c>
      <c r="AS11" s="249">
        <f t="shared" si="11"/>
        <v>16.970897599169852</v>
      </c>
      <c r="AT11" s="252">
        <v>42755</v>
      </c>
      <c r="AU11" s="252">
        <v>24799</v>
      </c>
      <c r="AV11" s="249">
        <f t="shared" si="42"/>
        <v>-41.997427201496897</v>
      </c>
      <c r="AW11" s="250"/>
      <c r="AX11" s="250" t="s">
        <v>523</v>
      </c>
      <c r="AY11" s="252">
        <v>32605</v>
      </c>
      <c r="AZ11" s="252">
        <v>42755</v>
      </c>
      <c r="BA11" s="249">
        <f t="shared" si="12"/>
        <v>31.130194755405611</v>
      </c>
      <c r="BB11" s="252">
        <v>44153</v>
      </c>
      <c r="BC11" s="252">
        <v>42755</v>
      </c>
      <c r="BD11" s="249">
        <f t="shared" si="43"/>
        <v>-3.1662627681018276</v>
      </c>
      <c r="BE11" s="250"/>
      <c r="BF11" s="250" t="s">
        <v>523</v>
      </c>
      <c r="BG11" s="252">
        <v>35382</v>
      </c>
      <c r="BH11" s="252">
        <v>44153</v>
      </c>
      <c r="BI11" s="249">
        <f t="shared" si="13"/>
        <v>24.789440958679553</v>
      </c>
      <c r="BJ11" s="252"/>
      <c r="BK11" s="252">
        <v>44153</v>
      </c>
      <c r="BL11" s="249"/>
      <c r="BM11" s="250"/>
      <c r="BN11" s="250" t="s">
        <v>437</v>
      </c>
      <c r="BO11" s="252">
        <v>10905</v>
      </c>
      <c r="BP11" s="252">
        <v>16443</v>
      </c>
      <c r="BQ11" s="249">
        <f t="shared" si="15"/>
        <v>50.784044016506193</v>
      </c>
      <c r="BR11" s="252">
        <v>12915</v>
      </c>
      <c r="BS11" s="252">
        <v>16443</v>
      </c>
      <c r="BT11" s="249">
        <f t="shared" si="16"/>
        <v>27.31707317073171</v>
      </c>
      <c r="BU11" s="250"/>
      <c r="BV11" s="250" t="s">
        <v>437</v>
      </c>
      <c r="BW11" s="252">
        <v>10272</v>
      </c>
      <c r="BX11" s="252">
        <v>12915</v>
      </c>
      <c r="BY11" s="249">
        <f t="shared" si="17"/>
        <v>25.730140186915889</v>
      </c>
      <c r="BZ11" s="252"/>
      <c r="CA11" s="252">
        <v>12915</v>
      </c>
      <c r="CB11" s="249"/>
      <c r="CD11" s="250"/>
      <c r="CE11" s="250"/>
      <c r="CF11" s="252"/>
      <c r="CG11" s="252"/>
      <c r="CH11" s="249"/>
      <c r="CI11" s="252"/>
      <c r="CJ11" s="252"/>
      <c r="CK11" s="249"/>
      <c r="CM11" s="250"/>
      <c r="CN11" s="250"/>
      <c r="CO11" s="252"/>
      <c r="CP11" s="252"/>
      <c r="CQ11" s="249"/>
      <c r="CR11" s="252"/>
      <c r="CS11" s="252"/>
      <c r="CT11" s="249"/>
      <c r="CU11" s="73"/>
      <c r="CV11" s="232"/>
      <c r="CW11" s="232"/>
      <c r="CX11" s="234"/>
      <c r="CY11" s="234"/>
      <c r="CZ11" s="231"/>
      <c r="DA11" s="234"/>
      <c r="DB11" s="234"/>
      <c r="DC11" s="231"/>
      <c r="DD11" s="73"/>
      <c r="DE11" s="184"/>
      <c r="DF11" s="184"/>
      <c r="DG11" s="186"/>
      <c r="DH11" s="186"/>
      <c r="DI11" s="183"/>
      <c r="DJ11" s="186"/>
      <c r="DK11" s="186"/>
      <c r="DL11" s="183"/>
      <c r="DM11" s="73"/>
      <c r="DN11" s="103"/>
      <c r="DO11" s="103"/>
      <c r="DP11" s="105"/>
      <c r="DQ11" s="105"/>
      <c r="DR11" s="102"/>
      <c r="DS11" s="105"/>
      <c r="DT11" s="105"/>
      <c r="DU11" s="102"/>
      <c r="DV11" s="73"/>
      <c r="DW11" s="24"/>
      <c r="DX11" s="24"/>
      <c r="DY11" s="25"/>
      <c r="DZ11" s="25"/>
      <c r="EA11" s="128"/>
      <c r="EB11" s="25"/>
      <c r="EC11" s="25"/>
      <c r="ED11" s="128"/>
      <c r="EE11" s="130"/>
      <c r="EF11" s="103"/>
      <c r="EG11" s="103"/>
      <c r="EH11" s="105"/>
      <c r="EI11" s="105"/>
      <c r="EJ11" s="102"/>
      <c r="EK11" s="109"/>
      <c r="EL11" s="105"/>
      <c r="EM11" s="102"/>
      <c r="EN11" s="73"/>
      <c r="EO11" s="77"/>
      <c r="EP11" s="77"/>
      <c r="EQ11" s="80"/>
      <c r="ER11" s="80"/>
      <c r="ES11" s="79"/>
      <c r="ET11" s="81"/>
      <c r="EU11" s="80"/>
      <c r="EV11" s="79"/>
      <c r="EW11" s="61"/>
      <c r="EX11" s="42"/>
      <c r="EY11" s="42"/>
      <c r="EZ11" s="43"/>
      <c r="FA11" s="43"/>
      <c r="FB11" s="44"/>
      <c r="FC11" s="45"/>
      <c r="FD11" s="43"/>
      <c r="FE11" s="44"/>
      <c r="FF11" s="61"/>
      <c r="FG11" s="29"/>
      <c r="FH11" s="30"/>
      <c r="FI11" s="30"/>
      <c r="FJ11" s="29"/>
      <c r="FK11" s="30"/>
      <c r="FL11" s="30"/>
      <c r="FM11" s="29"/>
      <c r="FO11" s="40"/>
      <c r="FP11" s="41"/>
      <c r="FQ11" s="41"/>
      <c r="FR11" s="40"/>
      <c r="FS11" s="41"/>
      <c r="FT11" s="41"/>
      <c r="FU11" s="40"/>
    </row>
    <row r="12" spans="1:177" x14ac:dyDescent="0.5">
      <c r="A12" s="250"/>
      <c r="B12" s="250" t="s">
        <v>524</v>
      </c>
      <c r="C12" s="252">
        <v>22918</v>
      </c>
      <c r="D12" s="252">
        <v>27113</v>
      </c>
      <c r="E12" s="249">
        <f t="shared" si="33"/>
        <v>18.304389562789076</v>
      </c>
      <c r="F12" s="252">
        <v>28201</v>
      </c>
      <c r="G12" s="252">
        <v>27113</v>
      </c>
      <c r="H12" s="249">
        <f t="shared" si="34"/>
        <v>-3.8580192191766249</v>
      </c>
      <c r="I12" s="250"/>
      <c r="J12" s="250" t="s">
        <v>524</v>
      </c>
      <c r="K12" s="252">
        <v>23144</v>
      </c>
      <c r="L12" s="252">
        <v>28201</v>
      </c>
      <c r="M12" s="249">
        <f t="shared" si="35"/>
        <v>21.850155547874177</v>
      </c>
      <c r="N12" s="252">
        <v>34588</v>
      </c>
      <c r="O12" s="252">
        <v>28201</v>
      </c>
      <c r="P12" s="249">
        <f t="shared" si="36"/>
        <v>-18.4659419451833</v>
      </c>
      <c r="Q12" s="250"/>
      <c r="R12" s="250" t="s">
        <v>524</v>
      </c>
      <c r="S12" s="252">
        <v>24030</v>
      </c>
      <c r="T12" s="252">
        <v>34588</v>
      </c>
      <c r="U12" s="249">
        <f t="shared" si="37"/>
        <v>43.936745734498544</v>
      </c>
      <c r="V12" s="252">
        <v>32889</v>
      </c>
      <c r="W12" s="252">
        <v>34588</v>
      </c>
      <c r="X12" s="249">
        <f t="shared" si="38"/>
        <v>5.1658609261455197</v>
      </c>
      <c r="Y12" s="250"/>
      <c r="Z12" s="250" t="s">
        <v>524</v>
      </c>
      <c r="AA12" s="252">
        <v>25204</v>
      </c>
      <c r="AB12" s="252">
        <v>32889</v>
      </c>
      <c r="AC12" s="249">
        <f t="shared" si="39"/>
        <v>30.491191874305667</v>
      </c>
      <c r="AD12" s="252">
        <v>29650</v>
      </c>
      <c r="AE12" s="252">
        <v>32889</v>
      </c>
      <c r="AF12" s="249">
        <f t="shared" si="40"/>
        <v>10.924114671163574</v>
      </c>
      <c r="AG12" s="250"/>
      <c r="AH12" s="250" t="s">
        <v>524</v>
      </c>
      <c r="AI12" s="252">
        <v>28555</v>
      </c>
      <c r="AJ12" s="252">
        <v>29650</v>
      </c>
      <c r="AK12" s="249">
        <f t="shared" si="10"/>
        <v>3.8347049553493258</v>
      </c>
      <c r="AL12" s="252">
        <v>20162</v>
      </c>
      <c r="AM12" s="252">
        <v>29650</v>
      </c>
      <c r="AN12" s="249">
        <f t="shared" si="41"/>
        <v>47.058823529411761</v>
      </c>
      <c r="AO12" s="250"/>
      <c r="AP12" s="250" t="s">
        <v>524</v>
      </c>
      <c r="AQ12" s="252">
        <v>16476</v>
      </c>
      <c r="AR12" s="252">
        <v>20162</v>
      </c>
      <c r="AS12" s="249">
        <f t="shared" si="11"/>
        <v>22.371934935663994</v>
      </c>
      <c r="AT12" s="252">
        <v>27277</v>
      </c>
      <c r="AU12" s="252">
        <v>20162</v>
      </c>
      <c r="AV12" s="249">
        <f t="shared" si="42"/>
        <v>-26.084246801334459</v>
      </c>
      <c r="AW12" s="250"/>
      <c r="AX12" s="250" t="s">
        <v>524</v>
      </c>
      <c r="AY12" s="252">
        <v>22560</v>
      </c>
      <c r="AZ12" s="252">
        <v>27277</v>
      </c>
      <c r="BA12" s="249">
        <f t="shared" si="12"/>
        <v>20.908687943262411</v>
      </c>
      <c r="BB12" s="252">
        <v>25989</v>
      </c>
      <c r="BC12" s="252">
        <v>27277</v>
      </c>
      <c r="BD12" s="249">
        <f t="shared" si="43"/>
        <v>4.9559428989187735</v>
      </c>
      <c r="BE12" s="250"/>
      <c r="BF12" s="250" t="s">
        <v>524</v>
      </c>
      <c r="BG12" s="252">
        <v>19518</v>
      </c>
      <c r="BH12" s="252">
        <v>25989</v>
      </c>
      <c r="BI12" s="249">
        <f t="shared" si="13"/>
        <v>33.15401168152475</v>
      </c>
      <c r="BJ12" s="252"/>
      <c r="BK12" s="252">
        <v>25989</v>
      </c>
      <c r="BL12" s="249"/>
      <c r="BM12" s="250"/>
      <c r="BN12" s="250" t="s">
        <v>438</v>
      </c>
      <c r="BO12" s="252">
        <v>8478</v>
      </c>
      <c r="BP12" s="252">
        <v>12457</v>
      </c>
      <c r="BQ12" s="249">
        <f t="shared" si="15"/>
        <v>46.93323897145553</v>
      </c>
      <c r="BR12" s="252">
        <v>7130</v>
      </c>
      <c r="BS12" s="252">
        <v>12457</v>
      </c>
      <c r="BT12" s="249">
        <f t="shared" si="16"/>
        <v>74.712482468443199</v>
      </c>
      <c r="BU12" s="250"/>
      <c r="BV12" s="250" t="s">
        <v>438</v>
      </c>
      <c r="BW12" s="252">
        <v>5539</v>
      </c>
      <c r="BX12" s="252">
        <v>7130</v>
      </c>
      <c r="BY12" s="249">
        <f t="shared" si="17"/>
        <v>28.723596317024736</v>
      </c>
      <c r="BZ12" s="252"/>
      <c r="CA12" s="252">
        <v>7130</v>
      </c>
      <c r="CB12" s="249"/>
      <c r="CD12" s="250"/>
      <c r="CE12" s="250" t="s">
        <v>58</v>
      </c>
      <c r="CF12" s="252">
        <v>16579</v>
      </c>
      <c r="CG12" s="252">
        <v>21041</v>
      </c>
      <c r="CH12" s="249">
        <f t="shared" si="19"/>
        <v>26.913565353760781</v>
      </c>
      <c r="CI12" s="252">
        <v>16745</v>
      </c>
      <c r="CJ12" s="252">
        <v>21041</v>
      </c>
      <c r="CK12" s="249">
        <f t="shared" si="20"/>
        <v>25.655419528217376</v>
      </c>
      <c r="CM12" s="250"/>
      <c r="CN12" s="250" t="s">
        <v>58</v>
      </c>
      <c r="CO12" s="252">
        <v>14953</v>
      </c>
      <c r="CP12" s="252">
        <v>16745</v>
      </c>
      <c r="CQ12" s="249">
        <f t="shared" si="21"/>
        <v>11.984217213937002</v>
      </c>
      <c r="CR12" s="252">
        <v>13737</v>
      </c>
      <c r="CS12" s="252">
        <v>16745</v>
      </c>
      <c r="CT12" s="249">
        <f t="shared" si="22"/>
        <v>21.897066317245397</v>
      </c>
      <c r="CU12" s="73"/>
      <c r="CV12" s="232"/>
      <c r="CW12" s="232" t="s">
        <v>58</v>
      </c>
      <c r="CX12" s="234">
        <v>11661</v>
      </c>
      <c r="CY12" s="234">
        <v>13737</v>
      </c>
      <c r="CZ12" s="231">
        <f t="shared" si="23"/>
        <v>17.802932853100078</v>
      </c>
      <c r="DA12" s="234">
        <v>7402</v>
      </c>
      <c r="DB12" s="234">
        <v>13737</v>
      </c>
      <c r="DC12" s="231">
        <f t="shared" si="24"/>
        <v>85.584977033234267</v>
      </c>
      <c r="DD12" s="73"/>
      <c r="DE12" s="184"/>
      <c r="DF12" s="184" t="s">
        <v>58</v>
      </c>
      <c r="DG12" s="186">
        <v>5643</v>
      </c>
      <c r="DH12" s="186">
        <v>7966</v>
      </c>
      <c r="DI12" s="183">
        <f t="shared" si="25"/>
        <v>41.166046429204322</v>
      </c>
      <c r="DJ12" s="186">
        <v>5511</v>
      </c>
      <c r="DK12" s="186">
        <v>7966</v>
      </c>
      <c r="DL12" s="183">
        <f t="shared" si="26"/>
        <v>44.547269098167305</v>
      </c>
      <c r="DM12" s="73"/>
      <c r="DN12" s="103"/>
      <c r="DO12" s="103" t="s">
        <v>58</v>
      </c>
      <c r="DP12" s="105">
        <v>4392</v>
      </c>
      <c r="DQ12" s="105">
        <v>4811</v>
      </c>
      <c r="DR12" s="102">
        <f t="shared" si="27"/>
        <v>9.540072859744992</v>
      </c>
      <c r="DS12" s="105">
        <v>4183</v>
      </c>
      <c r="DT12" s="105">
        <v>4811</v>
      </c>
      <c r="DU12" s="102">
        <f t="shared" si="28"/>
        <v>15.013148458044464</v>
      </c>
      <c r="DV12" s="73"/>
      <c r="DW12" s="24"/>
      <c r="DX12" s="24" t="s">
        <v>58</v>
      </c>
      <c r="DY12" s="25">
        <v>4819</v>
      </c>
      <c r="DZ12" s="25">
        <v>4183</v>
      </c>
      <c r="EA12" s="128">
        <f t="shared" si="29"/>
        <v>-13.19775887113509</v>
      </c>
      <c r="EB12" s="25">
        <v>5860</v>
      </c>
      <c r="EC12" s="25">
        <v>4183</v>
      </c>
      <c r="ED12" s="128">
        <f t="shared" si="30"/>
        <v>-28.617747440273039</v>
      </c>
      <c r="EE12" s="130"/>
      <c r="EF12" s="103"/>
      <c r="EG12" s="103" t="s">
        <v>58</v>
      </c>
      <c r="EH12" s="105">
        <v>4654</v>
      </c>
      <c r="EI12" s="105">
        <v>5860</v>
      </c>
      <c r="EJ12" s="102">
        <f t="shared" si="31"/>
        <v>25.913192952299095</v>
      </c>
      <c r="EK12" s="109">
        <v>6916</v>
      </c>
      <c r="EL12" s="105">
        <v>5860</v>
      </c>
      <c r="EM12" s="102">
        <f t="shared" si="32"/>
        <v>-15.268941584731058</v>
      </c>
      <c r="EN12" s="73"/>
      <c r="EO12" s="77"/>
      <c r="EP12" s="77" t="s">
        <v>59</v>
      </c>
      <c r="EQ12" s="80">
        <v>60385</v>
      </c>
      <c r="ER12" s="80">
        <v>67293</v>
      </c>
      <c r="ES12" s="79">
        <f t="shared" si="2"/>
        <v>11.439927134222074</v>
      </c>
      <c r="ET12" s="81">
        <v>67386</v>
      </c>
      <c r="EU12" s="80">
        <v>67293</v>
      </c>
      <c r="EV12" s="79">
        <f t="shared" si="3"/>
        <v>-0.1380108627904906</v>
      </c>
      <c r="EW12" s="61"/>
      <c r="EX12" s="42"/>
      <c r="EY12" s="42" t="s">
        <v>59</v>
      </c>
      <c r="EZ12" s="43">
        <v>57282</v>
      </c>
      <c r="FA12" s="43">
        <v>67380</v>
      </c>
      <c r="FB12" s="44">
        <f t="shared" si="4"/>
        <v>17.628574421284174</v>
      </c>
      <c r="FC12" s="45">
        <v>75907</v>
      </c>
      <c r="FD12" s="43">
        <v>67380</v>
      </c>
      <c r="FE12" s="44">
        <f t="shared" si="5"/>
        <v>-11.233483077976999</v>
      </c>
      <c r="FF12" s="61"/>
      <c r="FG12" s="20" t="s">
        <v>0</v>
      </c>
      <c r="FH12" s="21">
        <v>85166</v>
      </c>
      <c r="FI12" s="21">
        <v>108084</v>
      </c>
      <c r="FJ12" s="31">
        <f>(FI12-FH12)/FH12*100</f>
        <v>26.909799685320436</v>
      </c>
      <c r="FK12" s="35">
        <v>92054</v>
      </c>
      <c r="FL12" s="35">
        <v>108084</v>
      </c>
      <c r="FM12" s="31">
        <f>(FL12-FK12)/FK12*100</f>
        <v>17.413691963412781</v>
      </c>
      <c r="FO12" s="42" t="s">
        <v>0</v>
      </c>
      <c r="FP12" s="43">
        <v>76977</v>
      </c>
      <c r="FQ12" s="43">
        <v>92054</v>
      </c>
      <c r="FR12" s="44">
        <f>(FQ12-FP12)/FP12*100</f>
        <v>19.58636995466178</v>
      </c>
      <c r="FS12" s="45">
        <v>77690</v>
      </c>
      <c r="FT12" s="43">
        <v>92054</v>
      </c>
      <c r="FU12" s="44">
        <f>(FT12-FS12)/FS12*100</f>
        <v>18.488866005920968</v>
      </c>
    </row>
    <row r="13" spans="1:177" x14ac:dyDescent="0.5">
      <c r="A13" s="250"/>
      <c r="B13" s="250" t="s">
        <v>525</v>
      </c>
      <c r="C13" s="252">
        <v>6823</v>
      </c>
      <c r="D13" s="252">
        <v>8118</v>
      </c>
      <c r="E13" s="249">
        <f t="shared" si="33"/>
        <v>18.979920855928476</v>
      </c>
      <c r="F13" s="252">
        <v>7817</v>
      </c>
      <c r="G13" s="252">
        <v>8118</v>
      </c>
      <c r="H13" s="249">
        <f t="shared" si="34"/>
        <v>3.8505820647307147</v>
      </c>
      <c r="I13" s="250"/>
      <c r="J13" s="250" t="s">
        <v>525</v>
      </c>
      <c r="K13" s="252">
        <v>6637</v>
      </c>
      <c r="L13" s="252">
        <v>7817</v>
      </c>
      <c r="M13" s="249">
        <f t="shared" si="35"/>
        <v>17.779117070965796</v>
      </c>
      <c r="N13" s="252">
        <v>8936</v>
      </c>
      <c r="O13" s="252">
        <v>7817</v>
      </c>
      <c r="P13" s="249">
        <f t="shared" si="36"/>
        <v>-12.522381378692927</v>
      </c>
      <c r="Q13" s="250"/>
      <c r="R13" s="250" t="s">
        <v>525</v>
      </c>
      <c r="S13" s="252">
        <v>5139</v>
      </c>
      <c r="T13" s="252">
        <v>8936</v>
      </c>
      <c r="U13" s="249">
        <f t="shared" si="37"/>
        <v>73.885970033080355</v>
      </c>
      <c r="V13" s="252">
        <v>4825</v>
      </c>
      <c r="W13" s="252">
        <v>8936</v>
      </c>
      <c r="X13" s="249">
        <f t="shared" si="38"/>
        <v>85.202072538860108</v>
      </c>
      <c r="Y13" s="250"/>
      <c r="Z13" s="250" t="s">
        <v>525</v>
      </c>
      <c r="AA13" s="252">
        <v>3413</v>
      </c>
      <c r="AB13" s="252">
        <v>4825</v>
      </c>
      <c r="AC13" s="249">
        <f t="shared" si="39"/>
        <v>41.371227658951071</v>
      </c>
      <c r="AD13" s="252">
        <v>5010</v>
      </c>
      <c r="AE13" s="252">
        <v>4825</v>
      </c>
      <c r="AF13" s="249">
        <f t="shared" si="40"/>
        <v>-3.6926147704590817</v>
      </c>
      <c r="AG13" s="250"/>
      <c r="AH13" s="250" t="s">
        <v>525</v>
      </c>
      <c r="AI13" s="252">
        <v>4723</v>
      </c>
      <c r="AJ13" s="252">
        <v>5010</v>
      </c>
      <c r="AK13" s="249">
        <f t="shared" si="10"/>
        <v>6.0766461994495025</v>
      </c>
      <c r="AL13" s="252">
        <v>2760</v>
      </c>
      <c r="AM13" s="252">
        <v>5010</v>
      </c>
      <c r="AN13" s="249">
        <f t="shared" si="41"/>
        <v>81.521739130434781</v>
      </c>
      <c r="AO13" s="250"/>
      <c r="AP13" s="250" t="s">
        <v>525</v>
      </c>
      <c r="AQ13" s="252">
        <v>2741</v>
      </c>
      <c r="AR13" s="252">
        <v>2760</v>
      </c>
      <c r="AS13" s="249">
        <f t="shared" si="11"/>
        <v>0.69317767238234218</v>
      </c>
      <c r="AT13" s="252">
        <v>3470</v>
      </c>
      <c r="AU13" s="252">
        <v>2760</v>
      </c>
      <c r="AV13" s="249">
        <f t="shared" si="42"/>
        <v>-20.461095100864554</v>
      </c>
      <c r="AW13" s="250"/>
      <c r="AX13" s="250" t="s">
        <v>525</v>
      </c>
      <c r="AY13" s="252">
        <v>2904</v>
      </c>
      <c r="AZ13" s="252">
        <v>3470</v>
      </c>
      <c r="BA13" s="249">
        <f t="shared" si="12"/>
        <v>19.490358126721762</v>
      </c>
      <c r="BB13" s="252">
        <v>3403</v>
      </c>
      <c r="BC13" s="252">
        <v>3470</v>
      </c>
      <c r="BD13" s="249">
        <f t="shared" si="43"/>
        <v>1.9688510138113431</v>
      </c>
      <c r="BE13" s="250"/>
      <c r="BF13" s="250" t="s">
        <v>525</v>
      </c>
      <c r="BG13" s="252">
        <v>2178</v>
      </c>
      <c r="BH13" s="252">
        <v>3403</v>
      </c>
      <c r="BI13" s="249">
        <f t="shared" si="13"/>
        <v>56.244260789715341</v>
      </c>
      <c r="BJ13" s="252"/>
      <c r="BK13" s="252">
        <v>3403</v>
      </c>
      <c r="BL13" s="249"/>
      <c r="BM13" s="250"/>
      <c r="BN13" s="250"/>
      <c r="BO13" s="252"/>
      <c r="BP13" s="252"/>
      <c r="BQ13" s="249"/>
      <c r="BR13" s="252"/>
      <c r="BS13" s="252"/>
      <c r="BT13" s="249"/>
      <c r="BU13" s="250"/>
      <c r="BV13" s="250"/>
      <c r="BW13" s="252"/>
      <c r="BX13" s="252"/>
      <c r="BY13" s="249"/>
      <c r="BZ13" s="252"/>
      <c r="CA13" s="252"/>
      <c r="CB13" s="249"/>
      <c r="CD13" s="250"/>
      <c r="CE13" s="250"/>
      <c r="CF13" s="252"/>
      <c r="CG13" s="252"/>
      <c r="CH13" s="249"/>
      <c r="CI13" s="252"/>
      <c r="CJ13" s="252"/>
      <c r="CK13" s="249"/>
      <c r="CM13" s="250"/>
      <c r="CN13" s="250"/>
      <c r="CO13" s="252"/>
      <c r="CP13" s="252"/>
      <c r="CQ13" s="249"/>
      <c r="CR13" s="252"/>
      <c r="CS13" s="252"/>
      <c r="CT13" s="249"/>
      <c r="CU13" s="73"/>
      <c r="CV13" s="232"/>
      <c r="CW13" s="232"/>
      <c r="CX13" s="234"/>
      <c r="CY13" s="234"/>
      <c r="CZ13" s="231"/>
      <c r="DA13" s="234"/>
      <c r="DB13" s="234"/>
      <c r="DC13" s="231"/>
      <c r="DD13" s="73"/>
      <c r="DE13" s="184"/>
      <c r="DF13" s="184"/>
      <c r="DG13" s="186"/>
      <c r="DH13" s="186"/>
      <c r="DI13" s="183"/>
      <c r="DJ13" s="186"/>
      <c r="DK13" s="186"/>
      <c r="DL13" s="183"/>
      <c r="DM13" s="73"/>
      <c r="DN13" s="103"/>
      <c r="DO13" s="103"/>
      <c r="DP13" s="105"/>
      <c r="DQ13" s="105"/>
      <c r="DR13" s="102"/>
      <c r="DS13" s="105"/>
      <c r="DT13" s="105"/>
      <c r="DU13" s="102"/>
      <c r="DV13" s="73"/>
      <c r="DW13" s="24"/>
      <c r="DX13" s="24"/>
      <c r="DY13" s="25"/>
      <c r="DZ13" s="25"/>
      <c r="EA13" s="128"/>
      <c r="EB13" s="25"/>
      <c r="EC13" s="25"/>
      <c r="ED13" s="128"/>
      <c r="EE13" s="130"/>
      <c r="EF13" s="103"/>
      <c r="EG13" s="103"/>
      <c r="EH13" s="105"/>
      <c r="EI13" s="105"/>
      <c r="EJ13" s="102"/>
      <c r="EK13" s="109"/>
      <c r="EL13" s="105"/>
      <c r="EM13" s="102"/>
      <c r="EN13" s="73"/>
      <c r="EO13" s="77"/>
      <c r="EP13" s="77"/>
      <c r="EQ13" s="80"/>
      <c r="ER13" s="80"/>
      <c r="ES13" s="79"/>
      <c r="ET13" s="81"/>
      <c r="EU13" s="80"/>
      <c r="EV13" s="79"/>
      <c r="EW13" s="61"/>
      <c r="EX13" s="42"/>
      <c r="EY13" s="42"/>
      <c r="EZ13" s="43"/>
      <c r="FA13" s="43"/>
      <c r="FB13" s="44"/>
      <c r="FC13" s="45"/>
      <c r="FD13" s="43"/>
      <c r="FE13" s="44"/>
      <c r="FF13" s="61"/>
      <c r="FG13" s="20"/>
      <c r="FH13" s="21"/>
      <c r="FI13" s="21"/>
      <c r="FJ13" s="31"/>
      <c r="FK13" s="35"/>
      <c r="FL13" s="35"/>
      <c r="FM13" s="31"/>
      <c r="FO13" s="42"/>
      <c r="FP13" s="43"/>
      <c r="FQ13" s="43"/>
      <c r="FR13" s="44"/>
      <c r="FS13" s="45"/>
      <c r="FT13" s="43"/>
      <c r="FU13" s="44"/>
    </row>
    <row r="14" spans="1:177" x14ac:dyDescent="0.5">
      <c r="A14" s="250"/>
      <c r="B14" s="250" t="s">
        <v>526</v>
      </c>
      <c r="C14" s="252">
        <v>889</v>
      </c>
      <c r="D14" s="252">
        <v>1058</v>
      </c>
      <c r="E14" s="249">
        <f t="shared" si="33"/>
        <v>19.010123734533181</v>
      </c>
      <c r="F14" s="252">
        <v>1011</v>
      </c>
      <c r="G14" s="252">
        <v>1058</v>
      </c>
      <c r="H14" s="249">
        <f t="shared" si="34"/>
        <v>4.6488625123639959</v>
      </c>
      <c r="I14" s="250"/>
      <c r="J14" s="250" t="s">
        <v>526</v>
      </c>
      <c r="K14" s="252">
        <v>845</v>
      </c>
      <c r="L14" s="252">
        <v>1011</v>
      </c>
      <c r="M14" s="249">
        <f t="shared" si="35"/>
        <v>19.644970414201183</v>
      </c>
      <c r="N14" s="252">
        <v>1361</v>
      </c>
      <c r="O14" s="252">
        <v>1011</v>
      </c>
      <c r="P14" s="249">
        <f t="shared" si="36"/>
        <v>-25.716385011021309</v>
      </c>
      <c r="Q14" s="250"/>
      <c r="R14" s="250" t="s">
        <v>526</v>
      </c>
      <c r="S14" s="252">
        <v>1012</v>
      </c>
      <c r="T14" s="252">
        <v>1361</v>
      </c>
      <c r="U14" s="249">
        <f t="shared" si="37"/>
        <v>34.48616600790514</v>
      </c>
      <c r="V14" s="252">
        <v>1320</v>
      </c>
      <c r="W14" s="252">
        <v>1361</v>
      </c>
      <c r="X14" s="249">
        <f t="shared" si="38"/>
        <v>3.106060606060606</v>
      </c>
      <c r="Y14" s="250"/>
      <c r="Z14" s="250" t="s">
        <v>526</v>
      </c>
      <c r="AA14" s="252">
        <v>1118</v>
      </c>
      <c r="AB14" s="252">
        <v>1320</v>
      </c>
      <c r="AC14" s="249">
        <f t="shared" si="39"/>
        <v>18.067978533094813</v>
      </c>
      <c r="AD14" s="252">
        <v>1167</v>
      </c>
      <c r="AE14" s="252">
        <v>1320</v>
      </c>
      <c r="AF14" s="249">
        <f t="shared" si="40"/>
        <v>13.110539845758353</v>
      </c>
      <c r="AG14" s="250"/>
      <c r="AH14" s="250" t="s">
        <v>526</v>
      </c>
      <c r="AI14" s="252">
        <v>1281</v>
      </c>
      <c r="AJ14" s="252">
        <v>1167</v>
      </c>
      <c r="AK14" s="249">
        <f t="shared" si="10"/>
        <v>-8.8992974238875888</v>
      </c>
      <c r="AL14" s="252">
        <v>1768</v>
      </c>
      <c r="AM14" s="252">
        <v>1167</v>
      </c>
      <c r="AN14" s="249">
        <f t="shared" si="41"/>
        <v>-33.99321266968326</v>
      </c>
      <c r="AO14" s="250"/>
      <c r="AP14" s="250" t="s">
        <v>526</v>
      </c>
      <c r="AQ14" s="252">
        <v>1917</v>
      </c>
      <c r="AR14" s="252">
        <v>1768</v>
      </c>
      <c r="AS14" s="249">
        <f t="shared" si="11"/>
        <v>-7.7725612936880548</v>
      </c>
      <c r="AT14" s="252">
        <v>2810</v>
      </c>
      <c r="AU14" s="252">
        <v>1768</v>
      </c>
      <c r="AV14" s="249">
        <f t="shared" si="42"/>
        <v>-37.081850533807831</v>
      </c>
      <c r="AW14" s="250"/>
      <c r="AX14" s="250" t="s">
        <v>526</v>
      </c>
      <c r="AY14" s="252">
        <v>2300</v>
      </c>
      <c r="AZ14" s="252">
        <v>2810</v>
      </c>
      <c r="BA14" s="249">
        <f t="shared" si="12"/>
        <v>22.173913043478262</v>
      </c>
      <c r="BB14" s="252">
        <v>2867</v>
      </c>
      <c r="BC14" s="252">
        <v>2810</v>
      </c>
      <c r="BD14" s="249">
        <f t="shared" si="43"/>
        <v>-1.988140913847227</v>
      </c>
      <c r="BE14" s="250"/>
      <c r="BF14" s="250" t="s">
        <v>526</v>
      </c>
      <c r="BG14" s="252">
        <v>2055</v>
      </c>
      <c r="BH14" s="252">
        <v>2867</v>
      </c>
      <c r="BI14" s="249">
        <f t="shared" si="13"/>
        <v>39.51338199513382</v>
      </c>
      <c r="BJ14" s="252"/>
      <c r="BK14" s="252">
        <v>2867</v>
      </c>
      <c r="BL14" s="249"/>
      <c r="BM14" s="250"/>
      <c r="BN14" s="250"/>
      <c r="BO14" s="252"/>
      <c r="BP14" s="252"/>
      <c r="BQ14" s="249"/>
      <c r="BR14" s="252"/>
      <c r="BS14" s="252"/>
      <c r="BT14" s="249"/>
      <c r="BU14" s="250"/>
      <c r="BV14" s="250"/>
      <c r="BW14" s="252"/>
      <c r="BX14" s="252"/>
      <c r="BY14" s="249"/>
      <c r="BZ14" s="252"/>
      <c r="CA14" s="252"/>
      <c r="CB14" s="249"/>
      <c r="CD14" s="250"/>
      <c r="CE14" s="250"/>
      <c r="CF14" s="252"/>
      <c r="CG14" s="252"/>
      <c r="CH14" s="249"/>
      <c r="CI14" s="252"/>
      <c r="CJ14" s="252"/>
      <c r="CK14" s="249"/>
      <c r="CM14" s="250"/>
      <c r="CN14" s="250"/>
      <c r="CO14" s="252"/>
      <c r="CP14" s="252"/>
      <c r="CQ14" s="249"/>
      <c r="CR14" s="252"/>
      <c r="CS14" s="252"/>
      <c r="CT14" s="249"/>
      <c r="CU14" s="73"/>
      <c r="CV14" s="232"/>
      <c r="CW14" s="232"/>
      <c r="CX14" s="234"/>
      <c r="CY14" s="234"/>
      <c r="CZ14" s="231"/>
      <c r="DA14" s="234"/>
      <c r="DB14" s="234"/>
      <c r="DC14" s="231"/>
      <c r="DD14" s="73"/>
      <c r="DE14" s="184"/>
      <c r="DF14" s="184"/>
      <c r="DG14" s="186"/>
      <c r="DH14" s="186"/>
      <c r="DI14" s="183"/>
      <c r="DJ14" s="186"/>
      <c r="DK14" s="186"/>
      <c r="DL14" s="183"/>
      <c r="DM14" s="73"/>
      <c r="DN14" s="103"/>
      <c r="DO14" s="103"/>
      <c r="DP14" s="105"/>
      <c r="DQ14" s="105"/>
      <c r="DR14" s="102"/>
      <c r="DS14" s="105"/>
      <c r="DT14" s="105"/>
      <c r="DU14" s="102"/>
      <c r="DV14" s="73"/>
      <c r="DW14" s="24"/>
      <c r="DX14" s="24"/>
      <c r="DY14" s="25"/>
      <c r="DZ14" s="25"/>
      <c r="EA14" s="128"/>
      <c r="EB14" s="25"/>
      <c r="EC14" s="25"/>
      <c r="ED14" s="128"/>
      <c r="EE14" s="130"/>
      <c r="EF14" s="103"/>
      <c r="EG14" s="103"/>
      <c r="EH14" s="105"/>
      <c r="EI14" s="105"/>
      <c r="EJ14" s="102"/>
      <c r="EK14" s="109"/>
      <c r="EL14" s="105"/>
      <c r="EM14" s="102"/>
      <c r="EN14" s="73"/>
      <c r="EO14" s="77"/>
      <c r="EP14" s="77"/>
      <c r="EQ14" s="80"/>
      <c r="ER14" s="80"/>
      <c r="ES14" s="79"/>
      <c r="ET14" s="81"/>
      <c r="EU14" s="80"/>
      <c r="EV14" s="79"/>
      <c r="EW14" s="61"/>
      <c r="EX14" s="42"/>
      <c r="EY14" s="42"/>
      <c r="EZ14" s="43"/>
      <c r="FA14" s="43"/>
      <c r="FB14" s="44"/>
      <c r="FC14" s="45"/>
      <c r="FD14" s="43"/>
      <c r="FE14" s="44"/>
      <c r="FF14" s="61"/>
      <c r="FG14" s="20"/>
      <c r="FH14" s="21"/>
      <c r="FI14" s="21"/>
      <c r="FJ14" s="31"/>
      <c r="FK14" s="35"/>
      <c r="FL14" s="35"/>
      <c r="FM14" s="31"/>
      <c r="FO14" s="42"/>
      <c r="FP14" s="43"/>
      <c r="FQ14" s="43"/>
      <c r="FR14" s="44"/>
      <c r="FS14" s="45"/>
      <c r="FT14" s="43"/>
      <c r="FU14" s="44"/>
    </row>
    <row r="15" spans="1:177" x14ac:dyDescent="0.5">
      <c r="A15" s="247" t="s">
        <v>2</v>
      </c>
      <c r="B15" s="247" t="s">
        <v>60</v>
      </c>
      <c r="C15" s="248">
        <v>61223</v>
      </c>
      <c r="D15" s="248">
        <f>D16+D17</f>
        <v>67056</v>
      </c>
      <c r="E15" s="249">
        <f t="shared" si="33"/>
        <v>9.5274651683190967</v>
      </c>
      <c r="F15" s="248">
        <v>53105</v>
      </c>
      <c r="G15" s="248">
        <v>67056</v>
      </c>
      <c r="H15" s="249">
        <f t="shared" si="34"/>
        <v>26.270595989078245</v>
      </c>
      <c r="I15" s="247" t="s">
        <v>2</v>
      </c>
      <c r="J15" s="247" t="s">
        <v>60</v>
      </c>
      <c r="K15" s="248">
        <v>52770</v>
      </c>
      <c r="L15" s="248">
        <v>53105</v>
      </c>
      <c r="M15" s="249">
        <f t="shared" si="35"/>
        <v>0.63483039605836655</v>
      </c>
      <c r="N15" s="248">
        <v>57695</v>
      </c>
      <c r="O15" s="248">
        <v>53105</v>
      </c>
      <c r="P15" s="249">
        <f t="shared" si="36"/>
        <v>-7.9556287373255916</v>
      </c>
      <c r="Q15" s="247" t="s">
        <v>2</v>
      </c>
      <c r="R15" s="247" t="s">
        <v>60</v>
      </c>
      <c r="S15" s="248">
        <v>63375</v>
      </c>
      <c r="T15" s="248">
        <v>57695</v>
      </c>
      <c r="U15" s="249">
        <f t="shared" si="37"/>
        <v>-8.9625246548323467</v>
      </c>
      <c r="V15" s="248">
        <v>85809</v>
      </c>
      <c r="W15" s="248">
        <v>57695</v>
      </c>
      <c r="X15" s="249">
        <f t="shared" si="38"/>
        <v>-32.763463040007458</v>
      </c>
      <c r="Y15" s="247" t="s">
        <v>2</v>
      </c>
      <c r="Z15" s="247" t="s">
        <v>60</v>
      </c>
      <c r="AA15" s="248">
        <v>70278</v>
      </c>
      <c r="AB15" s="248">
        <v>85809</v>
      </c>
      <c r="AC15" s="249">
        <f t="shared" si="39"/>
        <v>22.099376760863997</v>
      </c>
      <c r="AD15" s="248">
        <v>63043</v>
      </c>
      <c r="AE15" s="248">
        <v>85809</v>
      </c>
      <c r="AF15" s="249">
        <f t="shared" si="40"/>
        <v>36.111860158939137</v>
      </c>
      <c r="AG15" s="247" t="s">
        <v>2</v>
      </c>
      <c r="AH15" s="247" t="s">
        <v>60</v>
      </c>
      <c r="AI15" s="248">
        <v>59511</v>
      </c>
      <c r="AJ15" s="248">
        <v>63043</v>
      </c>
      <c r="AK15" s="249">
        <f t="shared" si="10"/>
        <v>5.9350372200097459</v>
      </c>
      <c r="AL15" s="248">
        <v>27370</v>
      </c>
      <c r="AM15" s="248">
        <v>63043</v>
      </c>
      <c r="AN15" s="249">
        <f t="shared" si="41"/>
        <v>130.33613445378151</v>
      </c>
      <c r="AO15" s="247" t="s">
        <v>2</v>
      </c>
      <c r="AP15" s="247" t="s">
        <v>60</v>
      </c>
      <c r="AQ15" s="248">
        <v>33465</v>
      </c>
      <c r="AR15" s="248">
        <v>27370</v>
      </c>
      <c r="AS15" s="249">
        <f t="shared" si="11"/>
        <v>-18.213058419243985</v>
      </c>
      <c r="AT15" s="248">
        <v>73250</v>
      </c>
      <c r="AU15" s="248">
        <v>27370</v>
      </c>
      <c r="AV15" s="249">
        <f t="shared" si="42"/>
        <v>-62.634812286689424</v>
      </c>
      <c r="AW15" s="247" t="s">
        <v>2</v>
      </c>
      <c r="AX15" s="247" t="s">
        <v>60</v>
      </c>
      <c r="AY15" s="248">
        <v>59011</v>
      </c>
      <c r="AZ15" s="248">
        <f>AZ16+AZ17</f>
        <v>74152</v>
      </c>
      <c r="BA15" s="249">
        <f t="shared" si="12"/>
        <v>25.657928182881157</v>
      </c>
      <c r="BB15" s="248">
        <v>70931</v>
      </c>
      <c r="BC15" s="248">
        <f>BC16+BC17</f>
        <v>74152</v>
      </c>
      <c r="BD15" s="249">
        <f t="shared" si="43"/>
        <v>4.5410328347267059</v>
      </c>
      <c r="BE15" s="247" t="s">
        <v>2</v>
      </c>
      <c r="BF15" s="247" t="s">
        <v>60</v>
      </c>
      <c r="BG15" s="248">
        <v>54533</v>
      </c>
      <c r="BH15" s="248">
        <v>70931</v>
      </c>
      <c r="BI15" s="249">
        <f t="shared" si="13"/>
        <v>30.06986595272587</v>
      </c>
      <c r="BJ15" s="248">
        <v>59421</v>
      </c>
      <c r="BK15" s="248">
        <v>70931</v>
      </c>
      <c r="BL15" s="249">
        <f t="shared" si="14"/>
        <v>19.370256306692919</v>
      </c>
      <c r="BM15" s="247" t="s">
        <v>2</v>
      </c>
      <c r="BN15" s="247" t="s">
        <v>60</v>
      </c>
      <c r="BO15" s="248">
        <v>65685</v>
      </c>
      <c r="BP15" s="248">
        <v>59421</v>
      </c>
      <c r="BQ15" s="249">
        <f t="shared" si="15"/>
        <v>-9.5364238410596034</v>
      </c>
      <c r="BR15" s="248">
        <v>74354</v>
      </c>
      <c r="BS15" s="248">
        <v>59421</v>
      </c>
      <c r="BT15" s="249">
        <f t="shared" si="16"/>
        <v>-20.083653872017646</v>
      </c>
      <c r="BU15" s="247" t="s">
        <v>2</v>
      </c>
      <c r="BV15" s="247" t="s">
        <v>60</v>
      </c>
      <c r="BW15" s="248">
        <v>65639</v>
      </c>
      <c r="BX15" s="248">
        <v>74354</v>
      </c>
      <c r="BY15" s="249">
        <f t="shared" si="17"/>
        <v>13.27716753759198</v>
      </c>
      <c r="BZ15" s="248">
        <v>83780</v>
      </c>
      <c r="CA15" s="248">
        <v>74354</v>
      </c>
      <c r="CB15" s="249">
        <f t="shared" si="18"/>
        <v>-11.250895201718787</v>
      </c>
      <c r="CD15" s="247" t="s">
        <v>2</v>
      </c>
      <c r="CE15" s="247" t="s">
        <v>60</v>
      </c>
      <c r="CF15" s="248">
        <v>75937</v>
      </c>
      <c r="CG15" s="248">
        <v>82791</v>
      </c>
      <c r="CH15" s="249">
        <f t="shared" si="19"/>
        <v>9.0259030512135059</v>
      </c>
      <c r="CI15" s="248">
        <v>77360</v>
      </c>
      <c r="CJ15" s="248">
        <v>82791</v>
      </c>
      <c r="CK15" s="249">
        <f t="shared" si="20"/>
        <v>7.0204239917269904</v>
      </c>
      <c r="CM15" s="247" t="s">
        <v>2</v>
      </c>
      <c r="CN15" s="247" t="s">
        <v>60</v>
      </c>
      <c r="CO15" s="248">
        <f>SUM(CO16:CO17)</f>
        <v>65586</v>
      </c>
      <c r="CP15" s="248">
        <f>SUM(CP16:CP17)</f>
        <v>77360</v>
      </c>
      <c r="CQ15" s="249">
        <f t="shared" si="21"/>
        <v>17.952001951636021</v>
      </c>
      <c r="CR15" s="248">
        <f>SUM(CR16:CR17)</f>
        <v>87781</v>
      </c>
      <c r="CS15" s="248">
        <v>77360</v>
      </c>
      <c r="CT15" s="249">
        <f t="shared" si="22"/>
        <v>-11.871589523928868</v>
      </c>
      <c r="CU15" s="73"/>
      <c r="CV15" s="229" t="s">
        <v>2</v>
      </c>
      <c r="CW15" s="229" t="s">
        <v>60</v>
      </c>
      <c r="CX15" s="242">
        <f>SUM(CX16:CX17)</f>
        <v>59044</v>
      </c>
      <c r="CY15" s="242">
        <f>SUM(CY16:CY17)</f>
        <v>87781</v>
      </c>
      <c r="CZ15" s="231">
        <f t="shared" si="23"/>
        <v>48.670483029605037</v>
      </c>
      <c r="DA15" s="230">
        <v>71341</v>
      </c>
      <c r="DB15" s="242">
        <v>87781</v>
      </c>
      <c r="DC15" s="231">
        <f t="shared" si="24"/>
        <v>23.044252253262503</v>
      </c>
      <c r="DD15" s="73"/>
      <c r="DE15" s="181" t="s">
        <v>2</v>
      </c>
      <c r="DF15" s="181" t="s">
        <v>60</v>
      </c>
      <c r="DG15" s="182">
        <f>SUM(DG16:DG17)</f>
        <v>54909</v>
      </c>
      <c r="DH15" s="182">
        <f>SUM(DH16:DH17)</f>
        <v>71341</v>
      </c>
      <c r="DI15" s="183">
        <f t="shared" si="25"/>
        <v>29.925877360724108</v>
      </c>
      <c r="DJ15" s="182">
        <v>96419</v>
      </c>
      <c r="DK15" s="182">
        <f>SUM(DK16:DK17)</f>
        <v>71341</v>
      </c>
      <c r="DL15" s="183">
        <f t="shared" si="26"/>
        <v>-26.009396488244018</v>
      </c>
      <c r="DM15" s="73"/>
      <c r="DN15" s="100" t="s">
        <v>2</v>
      </c>
      <c r="DO15" s="100" t="s">
        <v>60</v>
      </c>
      <c r="DP15" s="101">
        <f>SUM(DP16:DP17)</f>
        <v>87625</v>
      </c>
      <c r="DQ15" s="101">
        <f>SUM(DQ16:DQ17)</f>
        <v>96419</v>
      </c>
      <c r="DR15" s="102">
        <f t="shared" si="27"/>
        <v>10.035948644793152</v>
      </c>
      <c r="DS15" s="101">
        <v>73371</v>
      </c>
      <c r="DT15" s="101">
        <v>96419</v>
      </c>
      <c r="DU15" s="102">
        <f t="shared" si="28"/>
        <v>31.412956072562732</v>
      </c>
      <c r="DV15" s="73"/>
      <c r="DW15" s="120" t="s">
        <v>2</v>
      </c>
      <c r="DX15" s="120" t="s">
        <v>60</v>
      </c>
      <c r="DY15" s="121">
        <f>SUM(DY16:DY17)</f>
        <v>48575</v>
      </c>
      <c r="DZ15" s="121">
        <f>SUM(DZ16:DZ17)</f>
        <v>73371</v>
      </c>
      <c r="EA15" s="125">
        <f t="shared" si="29"/>
        <v>51.046834791559448</v>
      </c>
      <c r="EB15" s="121">
        <v>42325</v>
      </c>
      <c r="EC15" s="121">
        <v>73371</v>
      </c>
      <c r="ED15" s="125">
        <f t="shared" si="30"/>
        <v>73.351447135262845</v>
      </c>
      <c r="EE15" s="127"/>
      <c r="EF15" s="100" t="s">
        <v>2</v>
      </c>
      <c r="EG15" s="100" t="s">
        <v>60</v>
      </c>
      <c r="EH15" s="101">
        <f>SUM(EH16:EH17)</f>
        <v>47244</v>
      </c>
      <c r="EI15" s="101">
        <f>SUM(EI16:EI17)</f>
        <v>42325</v>
      </c>
      <c r="EJ15" s="102">
        <f t="shared" si="31"/>
        <v>-10.411904157141647</v>
      </c>
      <c r="EK15" s="101">
        <f>SUM(EK16:EK17)</f>
        <v>107250</v>
      </c>
      <c r="EL15" s="101">
        <v>42325</v>
      </c>
      <c r="EM15" s="102">
        <f t="shared" si="32"/>
        <v>-60.536130536130543</v>
      </c>
      <c r="EN15" s="73"/>
      <c r="EO15" s="74" t="s">
        <v>2</v>
      </c>
      <c r="EP15" s="74" t="s">
        <v>60</v>
      </c>
      <c r="EQ15" s="75">
        <f>SUM(EQ16:EQ17)</f>
        <v>105172</v>
      </c>
      <c r="ER15" s="75">
        <f>SUM(ER16:ER17)</f>
        <v>107250</v>
      </c>
      <c r="ES15" s="76">
        <f t="shared" si="2"/>
        <v>1.9758110523713537</v>
      </c>
      <c r="ET15" s="75">
        <v>166723</v>
      </c>
      <c r="EU15" s="75">
        <v>107250</v>
      </c>
      <c r="EV15" s="76">
        <f t="shared" si="3"/>
        <v>-35.671742950882603</v>
      </c>
      <c r="EW15" s="73"/>
      <c r="EX15" s="63" t="s">
        <v>2</v>
      </c>
      <c r="EY15" s="63" t="s">
        <v>60</v>
      </c>
      <c r="EZ15" s="64">
        <f>SUM(EZ16:EZ17)</f>
        <v>149783</v>
      </c>
      <c r="FA15" s="64">
        <v>166723</v>
      </c>
      <c r="FB15" s="65">
        <f t="shared" si="4"/>
        <v>11.309694691653927</v>
      </c>
      <c r="FC15" s="64">
        <v>145263</v>
      </c>
      <c r="FD15" s="64">
        <v>166723</v>
      </c>
      <c r="FE15" s="65">
        <f t="shared" si="5"/>
        <v>14.773204463628039</v>
      </c>
      <c r="FF15" s="73"/>
      <c r="FG15" s="20" t="s">
        <v>1</v>
      </c>
      <c r="FH15" s="21">
        <v>53560</v>
      </c>
      <c r="FI15" s="21">
        <v>55700</v>
      </c>
      <c r="FJ15" s="31">
        <f>(FI15-FH15)/FH15*100</f>
        <v>3.9955190440627333</v>
      </c>
      <c r="FK15" s="35">
        <v>60070</v>
      </c>
      <c r="FL15" s="35">
        <v>55700</v>
      </c>
      <c r="FM15" s="31">
        <f>(FL15-FK15)/FK15*100</f>
        <v>-7.2748460129848507</v>
      </c>
      <c r="FO15" s="42" t="s">
        <v>1</v>
      </c>
      <c r="FP15" s="43">
        <v>55920</v>
      </c>
      <c r="FQ15" s="43">
        <v>60070</v>
      </c>
      <c r="FR15" s="44">
        <f>(FQ15-FP15)/FP15*100</f>
        <v>7.4213161659513593</v>
      </c>
      <c r="FS15" s="45">
        <v>49276</v>
      </c>
      <c r="FT15" s="43">
        <v>60070</v>
      </c>
      <c r="FU15" s="44">
        <f>(FT15-FS15)/FS15*100</f>
        <v>21.905187109343291</v>
      </c>
    </row>
    <row r="16" spans="1:177" x14ac:dyDescent="0.5">
      <c r="A16" s="250"/>
      <c r="B16" s="250" t="s">
        <v>61</v>
      </c>
      <c r="C16" s="252">
        <v>28767</v>
      </c>
      <c r="D16" s="252">
        <v>34016</v>
      </c>
      <c r="E16" s="249">
        <f>((D16-C16)/C16)*100</f>
        <v>18.246602009246708</v>
      </c>
      <c r="F16" s="252">
        <v>29325</v>
      </c>
      <c r="G16" s="252">
        <v>34016</v>
      </c>
      <c r="H16" s="249">
        <f t="shared" si="34"/>
        <v>15.996589940323954</v>
      </c>
      <c r="I16" s="250"/>
      <c r="J16" s="250" t="s">
        <v>61</v>
      </c>
      <c r="K16" s="252">
        <v>27245</v>
      </c>
      <c r="L16" s="252">
        <v>29325</v>
      </c>
      <c r="M16" s="249">
        <f>((L16-K16)/K16)*100</f>
        <v>7.6344283354743983</v>
      </c>
      <c r="N16" s="252">
        <v>38125</v>
      </c>
      <c r="O16" s="252">
        <v>29325</v>
      </c>
      <c r="P16" s="249">
        <f t="shared" si="36"/>
        <v>-23.081967213114755</v>
      </c>
      <c r="Q16" s="250"/>
      <c r="R16" s="250" t="s">
        <v>61</v>
      </c>
      <c r="S16" s="252">
        <v>34526</v>
      </c>
      <c r="T16" s="252">
        <v>38125</v>
      </c>
      <c r="U16" s="249">
        <f>((T16-S16)/S16)*100</f>
        <v>10.424028268551238</v>
      </c>
      <c r="V16" s="252">
        <v>28529</v>
      </c>
      <c r="W16" s="252">
        <v>38125</v>
      </c>
      <c r="X16" s="249">
        <f t="shared" si="38"/>
        <v>33.635949384836486</v>
      </c>
      <c r="Y16" s="250"/>
      <c r="Z16" s="250" t="s">
        <v>61</v>
      </c>
      <c r="AA16" s="252">
        <v>26851</v>
      </c>
      <c r="AB16" s="252">
        <v>28529</v>
      </c>
      <c r="AC16" s="249">
        <f>((AB16-AA16)/AA16)*100</f>
        <v>6.2493017019850283</v>
      </c>
      <c r="AD16" s="252">
        <v>37493</v>
      </c>
      <c r="AE16" s="252">
        <v>28529</v>
      </c>
      <c r="AF16" s="249">
        <f t="shared" si="40"/>
        <v>-23.908462913077109</v>
      </c>
      <c r="AG16" s="250"/>
      <c r="AH16" s="250" t="s">
        <v>61</v>
      </c>
      <c r="AI16" s="252">
        <v>30581</v>
      </c>
      <c r="AJ16" s="252">
        <v>37493</v>
      </c>
      <c r="AK16" s="249">
        <f>((AJ16-AI16)/AI16)*100</f>
        <v>22.602269382950197</v>
      </c>
      <c r="AL16" s="252">
        <v>15090</v>
      </c>
      <c r="AM16" s="252">
        <v>37493</v>
      </c>
      <c r="AN16" s="249">
        <f t="shared" si="41"/>
        <v>148.4625579854208</v>
      </c>
      <c r="AO16" s="250"/>
      <c r="AP16" s="250" t="s">
        <v>61</v>
      </c>
      <c r="AQ16" s="252">
        <v>13885</v>
      </c>
      <c r="AR16" s="252">
        <v>15090</v>
      </c>
      <c r="AS16" s="249">
        <f>((AR16-AQ16)/AQ16)*100</f>
        <v>8.6784299603889092</v>
      </c>
      <c r="AT16" s="252">
        <v>32990</v>
      </c>
      <c r="AU16" s="252">
        <v>15090</v>
      </c>
      <c r="AV16" s="249">
        <f t="shared" si="42"/>
        <v>-54.258866323128217</v>
      </c>
      <c r="AW16" s="250"/>
      <c r="AX16" s="250" t="s">
        <v>61</v>
      </c>
      <c r="AY16" s="252">
        <v>25091</v>
      </c>
      <c r="AZ16" s="252">
        <v>33892</v>
      </c>
      <c r="BA16" s="249">
        <f>((AZ16-AY16)/AY16)*100</f>
        <v>35.076322187238453</v>
      </c>
      <c r="BB16" s="252">
        <v>32050</v>
      </c>
      <c r="BC16" s="252">
        <v>33892</v>
      </c>
      <c r="BD16" s="249">
        <f t="shared" si="43"/>
        <v>5.7472698907956321</v>
      </c>
      <c r="BE16" s="250"/>
      <c r="BF16" s="250" t="s">
        <v>61</v>
      </c>
      <c r="BG16" s="252">
        <v>22269</v>
      </c>
      <c r="BH16" s="252">
        <v>32050</v>
      </c>
      <c r="BI16" s="249">
        <f t="shared" si="13"/>
        <v>43.922044097175444</v>
      </c>
      <c r="BJ16" s="252">
        <v>24525</v>
      </c>
      <c r="BK16" s="252">
        <v>32050</v>
      </c>
      <c r="BL16" s="249">
        <f t="shared" si="14"/>
        <v>30.682976554536189</v>
      </c>
      <c r="BM16" s="250"/>
      <c r="BN16" s="250" t="s">
        <v>61</v>
      </c>
      <c r="BO16" s="252">
        <v>24019</v>
      </c>
      <c r="BP16" s="252">
        <v>24525</v>
      </c>
      <c r="BQ16" s="249">
        <f t="shared" si="15"/>
        <v>2.1066655564344892</v>
      </c>
      <c r="BR16" s="252">
        <v>26290</v>
      </c>
      <c r="BS16" s="252">
        <v>24525</v>
      </c>
      <c r="BT16" s="249">
        <f>((BS16-BR16)/BR16)*100</f>
        <v>-6.7135793077215675</v>
      </c>
      <c r="BU16" s="250"/>
      <c r="BV16" s="250" t="s">
        <v>61</v>
      </c>
      <c r="BW16" s="252">
        <v>19245</v>
      </c>
      <c r="BX16" s="252">
        <v>26290</v>
      </c>
      <c r="BY16" s="249">
        <f t="shared" si="17"/>
        <v>36.606910885944401</v>
      </c>
      <c r="BZ16" s="252">
        <v>35220</v>
      </c>
      <c r="CA16" s="252">
        <v>26290</v>
      </c>
      <c r="CB16" s="249">
        <f t="shared" si="18"/>
        <v>-25.354911981828504</v>
      </c>
      <c r="CD16" s="250"/>
      <c r="CE16" s="250" t="s">
        <v>61</v>
      </c>
      <c r="CF16" s="252">
        <v>29917</v>
      </c>
      <c r="CG16" s="252">
        <v>34231</v>
      </c>
      <c r="CH16" s="249">
        <f t="shared" si="19"/>
        <v>14.419895042952168</v>
      </c>
      <c r="CI16" s="252">
        <v>21998</v>
      </c>
      <c r="CJ16" s="252">
        <v>34231</v>
      </c>
      <c r="CK16" s="249">
        <f t="shared" si="20"/>
        <v>55.609600872806617</v>
      </c>
      <c r="CM16" s="250"/>
      <c r="CN16" s="250" t="s">
        <v>61</v>
      </c>
      <c r="CO16" s="252">
        <v>24577</v>
      </c>
      <c r="CP16" s="252">
        <v>21998</v>
      </c>
      <c r="CQ16" s="249">
        <f t="shared" si="21"/>
        <v>-10.493550880904913</v>
      </c>
      <c r="CR16" s="252">
        <v>30499</v>
      </c>
      <c r="CS16" s="252">
        <v>21998</v>
      </c>
      <c r="CT16" s="249">
        <f t="shared" si="22"/>
        <v>-27.87304501786944</v>
      </c>
      <c r="CU16" s="73"/>
      <c r="CV16" s="232"/>
      <c r="CW16" s="232" t="s">
        <v>61</v>
      </c>
      <c r="CX16" s="244">
        <v>20709</v>
      </c>
      <c r="CY16" s="244">
        <v>30373</v>
      </c>
      <c r="CZ16" s="231">
        <f t="shared" si="23"/>
        <v>46.665700902989038</v>
      </c>
      <c r="DA16" s="234">
        <v>30615</v>
      </c>
      <c r="DB16" s="244">
        <v>30373</v>
      </c>
      <c r="DC16" s="231">
        <f t="shared" si="24"/>
        <v>-0.79046219173607712</v>
      </c>
      <c r="DD16" s="73"/>
      <c r="DE16" s="184"/>
      <c r="DF16" s="184" t="s">
        <v>61</v>
      </c>
      <c r="DG16" s="186">
        <v>23737</v>
      </c>
      <c r="DH16" s="186">
        <v>30615</v>
      </c>
      <c r="DI16" s="183">
        <f t="shared" si="25"/>
        <v>28.975860470994654</v>
      </c>
      <c r="DJ16" s="186">
        <v>21642</v>
      </c>
      <c r="DK16" s="186">
        <v>30615</v>
      </c>
      <c r="DL16" s="183">
        <f t="shared" si="26"/>
        <v>41.461047962295538</v>
      </c>
      <c r="DM16" s="73"/>
      <c r="DN16" s="103"/>
      <c r="DO16" s="103" t="s">
        <v>61</v>
      </c>
      <c r="DP16" s="105">
        <v>12061</v>
      </c>
      <c r="DQ16" s="105">
        <v>21642</v>
      </c>
      <c r="DR16" s="102">
        <f t="shared" si="27"/>
        <v>79.437857557416464</v>
      </c>
      <c r="DS16" s="105">
        <v>12614</v>
      </c>
      <c r="DT16" s="105">
        <v>21642</v>
      </c>
      <c r="DU16" s="102">
        <f t="shared" si="28"/>
        <v>71.571270017440938</v>
      </c>
      <c r="DV16" s="73"/>
      <c r="DW16" s="24"/>
      <c r="DX16" s="24" t="s">
        <v>61</v>
      </c>
      <c r="DY16" s="25">
        <v>8810</v>
      </c>
      <c r="DZ16" s="25">
        <v>12614</v>
      </c>
      <c r="EA16" s="128">
        <f t="shared" si="29"/>
        <v>43.178206583427922</v>
      </c>
      <c r="EB16" s="25">
        <v>9083</v>
      </c>
      <c r="EC16" s="25">
        <v>12614</v>
      </c>
      <c r="ED16" s="128">
        <f t="shared" si="30"/>
        <v>38.874821094352086</v>
      </c>
      <c r="EE16" s="130"/>
      <c r="EF16" s="103"/>
      <c r="EG16" s="103" t="s">
        <v>61</v>
      </c>
      <c r="EH16" s="105">
        <v>13657</v>
      </c>
      <c r="EI16" s="105">
        <v>9083</v>
      </c>
      <c r="EJ16" s="102">
        <f t="shared" si="31"/>
        <v>-33.491982133704326</v>
      </c>
      <c r="EK16" s="109">
        <v>11530</v>
      </c>
      <c r="EL16" s="105">
        <v>9083</v>
      </c>
      <c r="EM16" s="102">
        <f t="shared" si="32"/>
        <v>-21.222896790980052</v>
      </c>
      <c r="EN16" s="73"/>
      <c r="EO16" s="77"/>
      <c r="EP16" s="77" t="s">
        <v>61</v>
      </c>
      <c r="EQ16" s="80">
        <v>11632</v>
      </c>
      <c r="ER16" s="80">
        <v>11530</v>
      </c>
      <c r="ES16" s="79">
        <f t="shared" si="2"/>
        <v>-0.87689133425034382</v>
      </c>
      <c r="ET16" s="81">
        <v>9968</v>
      </c>
      <c r="EU16" s="80">
        <v>11530</v>
      </c>
      <c r="EV16" s="79">
        <f t="shared" si="3"/>
        <v>15.670144462279293</v>
      </c>
      <c r="EW16" s="61"/>
      <c r="EX16" s="42"/>
      <c r="EY16" s="42" t="s">
        <v>61</v>
      </c>
      <c r="EZ16" s="43">
        <v>12723</v>
      </c>
      <c r="FA16" s="43">
        <v>9968</v>
      </c>
      <c r="FB16" s="44">
        <f t="shared" si="4"/>
        <v>-21.653698027194842</v>
      </c>
      <c r="FC16" s="45">
        <v>11178</v>
      </c>
      <c r="FD16" s="43">
        <v>9968</v>
      </c>
      <c r="FE16" s="44">
        <f t="shared" si="5"/>
        <v>-10.82483449633208</v>
      </c>
      <c r="FF16" s="61"/>
      <c r="FG16" s="20" t="s">
        <v>2</v>
      </c>
      <c r="FH16" s="21">
        <v>35972</v>
      </c>
      <c r="FI16" s="21">
        <v>43377</v>
      </c>
      <c r="FJ16" s="31">
        <f>(FI16-FH16)/FH16*100</f>
        <v>20.585455354164349</v>
      </c>
      <c r="FK16" s="35">
        <v>36875</v>
      </c>
      <c r="FL16" s="35">
        <v>43377</v>
      </c>
      <c r="FM16" s="31">
        <f>(FL16-FK16)/FK16*100</f>
        <v>17.632542372881353</v>
      </c>
      <c r="FO16" s="42" t="s">
        <v>2</v>
      </c>
      <c r="FP16" s="43">
        <v>30307</v>
      </c>
      <c r="FQ16" s="43">
        <v>36875</v>
      </c>
      <c r="FR16" s="44">
        <f>(FQ16-FP16)/FP16*100</f>
        <v>21.67156102550566</v>
      </c>
      <c r="FS16" s="45">
        <v>27623</v>
      </c>
      <c r="FT16" s="43">
        <v>36875</v>
      </c>
      <c r="FU16" s="44">
        <f>(FT16-FS16)/FS16*100</f>
        <v>33.493827607428592</v>
      </c>
    </row>
    <row r="17" spans="1:162" x14ac:dyDescent="0.5">
      <c r="A17" s="250"/>
      <c r="B17" s="250" t="s">
        <v>62</v>
      </c>
      <c r="C17" s="252">
        <v>32456</v>
      </c>
      <c r="D17" s="252">
        <v>33040</v>
      </c>
      <c r="E17" s="249">
        <f>((D17-C17)/C17)*100</f>
        <v>1.7993591323638158</v>
      </c>
      <c r="F17" s="252">
        <v>23780</v>
      </c>
      <c r="G17" s="252">
        <v>33040</v>
      </c>
      <c r="H17" s="249">
        <f t="shared" si="34"/>
        <v>38.940285954583679</v>
      </c>
      <c r="I17" s="250"/>
      <c r="J17" s="250" t="s">
        <v>62</v>
      </c>
      <c r="K17" s="252">
        <v>25525</v>
      </c>
      <c r="L17" s="252">
        <v>23780</v>
      </c>
      <c r="M17" s="249">
        <f>((L17-K17)/K17)*100</f>
        <v>-6.8364348677766893</v>
      </c>
      <c r="N17" s="252">
        <v>19570</v>
      </c>
      <c r="O17" s="252">
        <v>23780</v>
      </c>
      <c r="P17" s="249">
        <f t="shared" si="36"/>
        <v>21.512519161982627</v>
      </c>
      <c r="Q17" s="250"/>
      <c r="R17" s="250" t="s">
        <v>62</v>
      </c>
      <c r="S17" s="252">
        <v>28849</v>
      </c>
      <c r="T17" s="252">
        <v>19570</v>
      </c>
      <c r="U17" s="249">
        <f>((T17-S17)/S17)*100</f>
        <v>-32.164026482720374</v>
      </c>
      <c r="V17" s="252">
        <v>57280</v>
      </c>
      <c r="W17" s="252">
        <v>19570</v>
      </c>
      <c r="X17" s="249">
        <f t="shared" si="38"/>
        <v>-65.834497206703915</v>
      </c>
      <c r="Y17" s="250"/>
      <c r="Z17" s="250" t="s">
        <v>62</v>
      </c>
      <c r="AA17" s="252">
        <v>43427</v>
      </c>
      <c r="AB17" s="252">
        <v>57280</v>
      </c>
      <c r="AC17" s="249">
        <f>((AB17-AA17)/AA17)*100</f>
        <v>31.899509521726117</v>
      </c>
      <c r="AD17" s="252">
        <v>25550</v>
      </c>
      <c r="AE17" s="252">
        <v>57280</v>
      </c>
      <c r="AF17" s="249">
        <f t="shared" si="40"/>
        <v>124.18786692759296</v>
      </c>
      <c r="AG17" s="250"/>
      <c r="AH17" s="250" t="s">
        <v>62</v>
      </c>
      <c r="AI17" s="252">
        <v>28930</v>
      </c>
      <c r="AJ17" s="252">
        <v>25550</v>
      </c>
      <c r="AK17" s="249">
        <f>((AJ17-AI17)/AI17)*100</f>
        <v>-11.683373660559973</v>
      </c>
      <c r="AL17" s="252">
        <v>12280</v>
      </c>
      <c r="AM17" s="252">
        <v>25550</v>
      </c>
      <c r="AN17" s="249">
        <f t="shared" si="41"/>
        <v>108.06188925081432</v>
      </c>
      <c r="AO17" s="250"/>
      <c r="AP17" s="250" t="s">
        <v>62</v>
      </c>
      <c r="AQ17" s="252">
        <v>19580</v>
      </c>
      <c r="AR17" s="252">
        <v>12280</v>
      </c>
      <c r="AS17" s="249">
        <f>((AR17-AQ17)/AQ17)*100</f>
        <v>-37.282941777323799</v>
      </c>
      <c r="AT17" s="252">
        <v>40260</v>
      </c>
      <c r="AU17" s="252">
        <v>12280</v>
      </c>
      <c r="AV17" s="249">
        <f t="shared" si="42"/>
        <v>-69.498261301539983</v>
      </c>
      <c r="AW17" s="250"/>
      <c r="AX17" s="250" t="s">
        <v>62</v>
      </c>
      <c r="AY17" s="252">
        <v>33920</v>
      </c>
      <c r="AZ17" s="252">
        <v>40260</v>
      </c>
      <c r="BA17" s="249">
        <f>((AZ17-AY17)/AY17)*100</f>
        <v>18.691037735849054</v>
      </c>
      <c r="BB17" s="252">
        <v>38881</v>
      </c>
      <c r="BC17" s="252">
        <v>40260</v>
      </c>
      <c r="BD17" s="249">
        <f t="shared" si="43"/>
        <v>3.5467194773796971</v>
      </c>
      <c r="BE17" s="250"/>
      <c r="BF17" s="250" t="s">
        <v>62</v>
      </c>
      <c r="BG17" s="252">
        <v>32264</v>
      </c>
      <c r="BH17" s="252">
        <v>38881</v>
      </c>
      <c r="BI17" s="249">
        <f t="shared" si="13"/>
        <v>20.508926357550212</v>
      </c>
      <c r="BJ17" s="252">
        <v>34896</v>
      </c>
      <c r="BK17" s="252">
        <v>38881</v>
      </c>
      <c r="BL17" s="249">
        <f t="shared" si="14"/>
        <v>11.419646950939937</v>
      </c>
      <c r="BM17" s="250"/>
      <c r="BN17" s="250" t="s">
        <v>62</v>
      </c>
      <c r="BO17" s="252">
        <v>41666</v>
      </c>
      <c r="BP17" s="252">
        <v>34896</v>
      </c>
      <c r="BQ17" s="249">
        <f t="shared" si="15"/>
        <v>-16.248259972159556</v>
      </c>
      <c r="BR17" s="252">
        <v>48064</v>
      </c>
      <c r="BS17" s="252">
        <v>34896</v>
      </c>
      <c r="BT17" s="249">
        <f>((BS17-BR17)/BR17)*100</f>
        <v>-27.396804260985352</v>
      </c>
      <c r="BU17" s="250"/>
      <c r="BV17" s="250" t="s">
        <v>62</v>
      </c>
      <c r="BW17" s="252">
        <v>46394</v>
      </c>
      <c r="BX17" s="252">
        <v>48064</v>
      </c>
      <c r="BY17" s="249">
        <f t="shared" si="17"/>
        <v>3.59960339699099</v>
      </c>
      <c r="BZ17" s="252">
        <v>48560</v>
      </c>
      <c r="CA17" s="252">
        <v>48064</v>
      </c>
      <c r="CB17" s="249">
        <f t="shared" si="18"/>
        <v>-1.0214168039538716</v>
      </c>
      <c r="CD17" s="250"/>
      <c r="CE17" s="250" t="s">
        <v>62</v>
      </c>
      <c r="CF17" s="252">
        <v>46020</v>
      </c>
      <c r="CG17" s="252">
        <v>48560</v>
      </c>
      <c r="CH17" s="249">
        <f t="shared" si="19"/>
        <v>5.5193394176445025</v>
      </c>
      <c r="CI17" s="252">
        <v>55362</v>
      </c>
      <c r="CJ17" s="252">
        <v>48560</v>
      </c>
      <c r="CK17" s="249">
        <f t="shared" si="20"/>
        <v>-12.28640583793938</v>
      </c>
      <c r="CM17" s="250"/>
      <c r="CN17" s="250" t="s">
        <v>62</v>
      </c>
      <c r="CO17" s="252">
        <v>41009</v>
      </c>
      <c r="CP17" s="252">
        <v>55362</v>
      </c>
      <c r="CQ17" s="249">
        <f t="shared" si="21"/>
        <v>34.999634226633184</v>
      </c>
      <c r="CR17" s="252">
        <v>57282</v>
      </c>
      <c r="CS17" s="252">
        <v>55362</v>
      </c>
      <c r="CT17" s="249">
        <f t="shared" si="22"/>
        <v>-3.3518382738032892</v>
      </c>
      <c r="CU17" s="73"/>
      <c r="CV17" s="232"/>
      <c r="CW17" s="232" t="s">
        <v>62</v>
      </c>
      <c r="CX17" s="244">
        <v>38335</v>
      </c>
      <c r="CY17" s="244">
        <v>57408</v>
      </c>
      <c r="CZ17" s="231">
        <f t="shared" si="23"/>
        <v>49.753488978740059</v>
      </c>
      <c r="DA17" s="234">
        <v>40726</v>
      </c>
      <c r="DB17" s="244">
        <v>57408</v>
      </c>
      <c r="DC17" s="231">
        <f t="shared" si="24"/>
        <v>40.961547905514905</v>
      </c>
      <c r="DD17" s="73"/>
      <c r="DE17" s="184"/>
      <c r="DF17" s="184" t="s">
        <v>62</v>
      </c>
      <c r="DG17" s="186">
        <v>31172</v>
      </c>
      <c r="DH17" s="186">
        <v>40726</v>
      </c>
      <c r="DI17" s="183">
        <f t="shared" si="25"/>
        <v>30.649300654433464</v>
      </c>
      <c r="DJ17" s="186">
        <v>74777</v>
      </c>
      <c r="DK17" s="186">
        <v>40726</v>
      </c>
      <c r="DL17" s="183">
        <f t="shared" si="26"/>
        <v>-45.536729208178983</v>
      </c>
      <c r="DM17" s="73"/>
      <c r="DN17" s="103"/>
      <c r="DO17" s="103" t="s">
        <v>62</v>
      </c>
      <c r="DP17" s="105">
        <v>75564</v>
      </c>
      <c r="DQ17" s="105">
        <v>74777</v>
      </c>
      <c r="DR17" s="102">
        <f t="shared" si="27"/>
        <v>-1.0415012439786142</v>
      </c>
      <c r="DS17" s="105">
        <v>60757</v>
      </c>
      <c r="DT17" s="105">
        <v>74777</v>
      </c>
      <c r="DU17" s="102">
        <f t="shared" si="28"/>
        <v>23.07553039155982</v>
      </c>
      <c r="DV17" s="73"/>
      <c r="DW17" s="24"/>
      <c r="DX17" s="24" t="s">
        <v>62</v>
      </c>
      <c r="DY17" s="25">
        <v>39765</v>
      </c>
      <c r="DZ17" s="25">
        <v>60757</v>
      </c>
      <c r="EA17" s="128">
        <f t="shared" si="29"/>
        <v>52.790142084747892</v>
      </c>
      <c r="EB17" s="25">
        <v>33242</v>
      </c>
      <c r="EC17" s="25">
        <v>60757</v>
      </c>
      <c r="ED17" s="128">
        <f t="shared" si="30"/>
        <v>82.771794717526021</v>
      </c>
      <c r="EE17" s="130"/>
      <c r="EF17" s="103"/>
      <c r="EG17" s="103" t="s">
        <v>62</v>
      </c>
      <c r="EH17" s="105">
        <v>33587</v>
      </c>
      <c r="EI17" s="105">
        <v>33242</v>
      </c>
      <c r="EJ17" s="102">
        <f t="shared" si="31"/>
        <v>-1.0271831363325097</v>
      </c>
      <c r="EK17" s="109">
        <v>95720</v>
      </c>
      <c r="EL17" s="105">
        <v>33242</v>
      </c>
      <c r="EM17" s="102">
        <f t="shared" si="32"/>
        <v>-65.271625574592562</v>
      </c>
      <c r="EN17" s="73"/>
      <c r="EO17" s="77"/>
      <c r="EP17" s="77" t="s">
        <v>62</v>
      </c>
      <c r="EQ17" s="80">
        <v>93540</v>
      </c>
      <c r="ER17" s="80">
        <v>95720</v>
      </c>
      <c r="ES17" s="79">
        <f t="shared" si="2"/>
        <v>2.3305537737866153</v>
      </c>
      <c r="ET17" s="81">
        <v>156755</v>
      </c>
      <c r="EU17" s="80">
        <v>95720</v>
      </c>
      <c r="EV17" s="79">
        <f t="shared" si="3"/>
        <v>-38.936557047622081</v>
      </c>
      <c r="EW17" s="61"/>
      <c r="EX17" s="42"/>
      <c r="EY17" s="42" t="s">
        <v>62</v>
      </c>
      <c r="EZ17" s="43">
        <v>137060</v>
      </c>
      <c r="FA17" s="43">
        <v>156755</v>
      </c>
      <c r="FB17" s="44">
        <f t="shared" si="4"/>
        <v>14.369619144900044</v>
      </c>
      <c r="FC17" s="45">
        <v>134085</v>
      </c>
      <c r="FD17" s="43">
        <v>156755</v>
      </c>
      <c r="FE17" s="44">
        <f t="shared" si="5"/>
        <v>16.907185740388559</v>
      </c>
      <c r="FF17" s="61"/>
    </row>
    <row r="18" spans="1:162" x14ac:dyDescent="0.5">
      <c r="A18" s="250"/>
      <c r="B18" s="250" t="s">
        <v>63</v>
      </c>
      <c r="C18" s="256">
        <v>4335.7325568189299</v>
      </c>
      <c r="D18" s="256">
        <v>4792.5427019983399</v>
      </c>
      <c r="E18" s="249">
        <f t="shared" ref="E18" si="44">((D18-C18)/C18)*100</f>
        <v>10.535939179665769</v>
      </c>
      <c r="F18" s="256">
        <v>4608.6041647983666</v>
      </c>
      <c r="G18" s="256">
        <v>4792.5427019983399</v>
      </c>
      <c r="H18" s="249">
        <f t="shared" si="34"/>
        <v>3.9911984328127024</v>
      </c>
      <c r="I18" s="250"/>
      <c r="J18" s="250" t="s">
        <v>63</v>
      </c>
      <c r="K18" s="256">
        <v>4271.5308613505249</v>
      </c>
      <c r="L18" s="256">
        <v>4608.6041647983666</v>
      </c>
      <c r="M18" s="249">
        <f t="shared" ref="M18" si="45">((L18-K18)/K18)*100</f>
        <v>7.8911592679274154</v>
      </c>
      <c r="N18" s="256">
        <v>5384.3910988084044</v>
      </c>
      <c r="O18" s="256">
        <v>4608.6041647983666</v>
      </c>
      <c r="P18" s="249">
        <f t="shared" si="36"/>
        <v>-14.408071772158671</v>
      </c>
      <c r="Q18" s="250"/>
      <c r="R18" s="250" t="s">
        <v>63</v>
      </c>
      <c r="S18" s="256">
        <v>5379.8576509672175</v>
      </c>
      <c r="T18" s="256">
        <v>5384.3910988084044</v>
      </c>
      <c r="U18" s="249">
        <f t="shared" ref="U18" si="46">((T18-S18)/S18)*100</f>
        <v>8.4267059377897344E-2</v>
      </c>
      <c r="V18" s="256">
        <v>5480.0204435434098</v>
      </c>
      <c r="W18" s="256">
        <v>5384.3910988084044</v>
      </c>
      <c r="X18" s="249">
        <f t="shared" si="38"/>
        <v>-1.7450545252559482</v>
      </c>
      <c r="Y18" s="250"/>
      <c r="Z18" s="250" t="s">
        <v>63</v>
      </c>
      <c r="AA18" s="256">
        <v>4874.0103518662681</v>
      </c>
      <c r="AB18" s="256">
        <v>5480.0204435434098</v>
      </c>
      <c r="AC18" s="249">
        <f t="shared" ref="AC18" si="47">((AB18-AA18)/AA18)*100</f>
        <v>12.43350029909352</v>
      </c>
      <c r="AD18" s="256">
        <v>5294.6274662885089</v>
      </c>
      <c r="AE18" s="256">
        <v>5480.0204435434098</v>
      </c>
      <c r="AF18" s="249">
        <f t="shared" si="40"/>
        <v>3.5015301536381713</v>
      </c>
      <c r="AG18" s="250"/>
      <c r="AH18" s="250" t="s">
        <v>63</v>
      </c>
      <c r="AI18" s="256">
        <v>4565.18</v>
      </c>
      <c r="AJ18" s="256">
        <v>5294.6274662885089</v>
      </c>
      <c r="AK18" s="249">
        <f t="shared" ref="AK18" si="48">((AJ18-AI18)/AI18)*100</f>
        <v>15.978503942637717</v>
      </c>
      <c r="AL18" s="256">
        <v>2575.3288745813002</v>
      </c>
      <c r="AM18" s="256">
        <v>5294.6274662885089</v>
      </c>
      <c r="AN18" s="249">
        <f t="shared" si="41"/>
        <v>105.5903429867502</v>
      </c>
      <c r="AO18" s="250"/>
      <c r="AP18" s="250" t="s">
        <v>63</v>
      </c>
      <c r="AQ18" s="256">
        <v>2683.72859981081</v>
      </c>
      <c r="AR18" s="256">
        <v>2575.3288745813002</v>
      </c>
      <c r="AS18" s="249">
        <f t="shared" ref="AS18" si="49">((AR18-AQ18)/AQ18)*100</f>
        <v>-4.0391463293699488</v>
      </c>
      <c r="AT18" s="256">
        <v>5610.0569723129674</v>
      </c>
      <c r="AU18" s="256">
        <v>2575.3288745813002</v>
      </c>
      <c r="AV18" s="249">
        <f t="shared" si="42"/>
        <v>-54.09442564859517</v>
      </c>
      <c r="AW18" s="250"/>
      <c r="AX18" s="250" t="s">
        <v>63</v>
      </c>
      <c r="AY18" s="256">
        <v>4377.3</v>
      </c>
      <c r="AZ18" s="256">
        <v>5940.2551984503898</v>
      </c>
      <c r="BA18" s="249">
        <f t="shared" si="12"/>
        <v>35.705919138518937</v>
      </c>
      <c r="BB18" s="256">
        <v>4656.6000000000004</v>
      </c>
      <c r="BC18" s="256">
        <v>5940.2551984503898</v>
      </c>
      <c r="BD18" s="249">
        <f t="shared" si="43"/>
        <v>27.566361689867914</v>
      </c>
      <c r="BE18" s="250"/>
      <c r="BF18" s="250" t="s">
        <v>63</v>
      </c>
      <c r="BG18" s="256">
        <v>3823.64</v>
      </c>
      <c r="BH18" s="256">
        <v>4656.6000000000004</v>
      </c>
      <c r="BI18" s="249">
        <f t="shared" si="13"/>
        <v>21.784477618185825</v>
      </c>
      <c r="BJ18" s="256">
        <v>3964.88</v>
      </c>
      <c r="BK18" s="256">
        <v>4656.6000000000004</v>
      </c>
      <c r="BL18" s="249">
        <f t="shared" si="14"/>
        <v>17.446177437904812</v>
      </c>
      <c r="BM18" s="250"/>
      <c r="BN18" s="250" t="s">
        <v>63</v>
      </c>
      <c r="BO18" s="256">
        <v>3935.3</v>
      </c>
      <c r="BP18" s="256">
        <v>3964.88</v>
      </c>
      <c r="BQ18" s="249">
        <f t="shared" si="15"/>
        <v>0.75165806927044765</v>
      </c>
      <c r="BR18" s="256">
        <v>3859.81</v>
      </c>
      <c r="BS18" s="256">
        <v>3964.88</v>
      </c>
      <c r="BT18" s="249">
        <f>((BS18-BR18)/BR18)*100</f>
        <v>2.7221547174601901</v>
      </c>
      <c r="BU18" s="250"/>
      <c r="BV18" s="250" t="s">
        <v>63</v>
      </c>
      <c r="BW18" s="256">
        <v>3267.46</v>
      </c>
      <c r="BX18" s="256">
        <v>3859.81</v>
      </c>
      <c r="BY18" s="249">
        <f t="shared" si="17"/>
        <v>18.128760566311446</v>
      </c>
      <c r="BZ18" s="256">
        <v>4325.08</v>
      </c>
      <c r="CA18" s="256">
        <v>3859.81</v>
      </c>
      <c r="CB18" s="249">
        <f t="shared" si="18"/>
        <v>-10.757488878818426</v>
      </c>
      <c r="CD18" s="250"/>
      <c r="CE18" s="250" t="s">
        <v>63</v>
      </c>
      <c r="CF18" s="256">
        <v>3705.92</v>
      </c>
      <c r="CG18" s="256">
        <v>4089.61</v>
      </c>
      <c r="CH18" s="249">
        <f t="shared" si="19"/>
        <v>10.353434504792332</v>
      </c>
      <c r="CI18" s="256">
        <v>378.56</v>
      </c>
      <c r="CJ18" s="256">
        <v>4089.61</v>
      </c>
      <c r="CK18" s="249">
        <f t="shared" si="20"/>
        <v>980.30695266272187</v>
      </c>
      <c r="CM18" s="250"/>
      <c r="CN18" s="250" t="s">
        <v>63</v>
      </c>
      <c r="CO18" s="256">
        <v>3933.58</v>
      </c>
      <c r="CP18" s="256">
        <v>378.56</v>
      </c>
      <c r="CQ18" s="249">
        <f t="shared" si="21"/>
        <v>-90.376196746983666</v>
      </c>
      <c r="CR18" s="256">
        <v>4245.24</v>
      </c>
      <c r="CS18" s="256">
        <v>378.56</v>
      </c>
      <c r="CT18" s="249">
        <f t="shared" si="22"/>
        <v>-91.082718527103296</v>
      </c>
      <c r="CU18" s="73"/>
      <c r="CV18" s="232"/>
      <c r="CW18" s="232" t="s">
        <v>63</v>
      </c>
      <c r="CX18" s="243">
        <v>2727.49</v>
      </c>
      <c r="CY18" s="243">
        <v>3050.48</v>
      </c>
      <c r="CZ18" s="231">
        <f t="shared" si="23"/>
        <v>11.842023252147589</v>
      </c>
      <c r="DA18" s="235">
        <v>2566.52</v>
      </c>
      <c r="DB18" s="243">
        <v>3050.48</v>
      </c>
      <c r="DC18" s="231">
        <f t="shared" si="24"/>
        <v>18.856661939123796</v>
      </c>
      <c r="DD18" s="73"/>
      <c r="DE18" s="184"/>
      <c r="DF18" s="184" t="s">
        <v>63</v>
      </c>
      <c r="DG18" s="187">
        <v>2188.44</v>
      </c>
      <c r="DH18" s="187">
        <v>2566.52</v>
      </c>
      <c r="DI18" s="183">
        <f t="shared" si="25"/>
        <v>17.276233298605394</v>
      </c>
      <c r="DJ18" s="187">
        <v>1918.92</v>
      </c>
      <c r="DK18" s="187">
        <v>2566.52</v>
      </c>
      <c r="DL18" s="183">
        <f t="shared" si="26"/>
        <v>33.748150001042248</v>
      </c>
      <c r="DM18" s="73"/>
      <c r="DN18" s="103"/>
      <c r="DO18" s="103" t="s">
        <v>63</v>
      </c>
      <c r="DP18" s="106">
        <v>2212.7800000000002</v>
      </c>
      <c r="DQ18" s="106">
        <v>1918.92</v>
      </c>
      <c r="DR18" s="102">
        <f t="shared" si="27"/>
        <v>-13.28012726073085</v>
      </c>
      <c r="DS18" s="106">
        <v>1973.84</v>
      </c>
      <c r="DT18" s="106">
        <v>1918.92</v>
      </c>
      <c r="DU18" s="102">
        <f t="shared" si="28"/>
        <v>-2.7823937097231717</v>
      </c>
      <c r="DV18" s="73"/>
      <c r="DW18" s="24"/>
      <c r="DX18" s="24" t="s">
        <v>63</v>
      </c>
      <c r="DY18" s="124">
        <v>1607.83</v>
      </c>
      <c r="DZ18" s="124">
        <v>1973.84</v>
      </c>
      <c r="EA18" s="125">
        <f t="shared" si="29"/>
        <v>22.764222585721129</v>
      </c>
      <c r="EB18" s="124">
        <v>1561.64</v>
      </c>
      <c r="EC18" s="124">
        <v>1973.84</v>
      </c>
      <c r="ED18" s="125">
        <f t="shared" si="30"/>
        <v>26.395327988524869</v>
      </c>
      <c r="EE18" s="127"/>
      <c r="EF18" s="103"/>
      <c r="EG18" s="103" t="s">
        <v>63</v>
      </c>
      <c r="EH18" s="106">
        <v>1939.35</v>
      </c>
      <c r="EI18" s="106">
        <v>1561.64</v>
      </c>
      <c r="EJ18" s="102">
        <f t="shared" si="31"/>
        <v>-19.476113130688109</v>
      </c>
      <c r="EK18" s="110">
        <v>2185.6</v>
      </c>
      <c r="EL18" s="106">
        <v>1561.64</v>
      </c>
      <c r="EM18" s="102">
        <f t="shared" si="32"/>
        <v>-28.548682284040989</v>
      </c>
      <c r="EN18" s="73"/>
      <c r="EO18" s="77"/>
      <c r="EP18" s="77" t="s">
        <v>63</v>
      </c>
      <c r="EQ18" s="82">
        <v>2506.8200000000002</v>
      </c>
      <c r="ER18" s="82">
        <v>2185.6</v>
      </c>
      <c r="ES18" s="79">
        <f t="shared" si="2"/>
        <v>-12.813843834020799</v>
      </c>
      <c r="ET18" s="83">
        <v>2467.9899999999998</v>
      </c>
      <c r="EU18" s="82">
        <v>2185.6</v>
      </c>
      <c r="EV18" s="79">
        <f t="shared" si="3"/>
        <v>-11.442104708690064</v>
      </c>
      <c r="EW18" s="61"/>
      <c r="EX18" s="42"/>
      <c r="EY18" s="42" t="s">
        <v>63</v>
      </c>
      <c r="EZ18" s="66">
        <v>2483.23</v>
      </c>
      <c r="FA18" s="66">
        <v>2467.9899999999998</v>
      </c>
      <c r="FB18" s="44">
        <f t="shared" si="4"/>
        <v>-0.61371681237743725</v>
      </c>
      <c r="FC18" s="67">
        <v>2050.36</v>
      </c>
      <c r="FD18" s="66">
        <v>2467.9899999999998</v>
      </c>
      <c r="FE18" s="44">
        <f t="shared" si="5"/>
        <v>20.368618193878131</v>
      </c>
      <c r="FF18" s="61"/>
    </row>
    <row r="19" spans="1:162" x14ac:dyDescent="0.5">
      <c r="B19" s="97"/>
      <c r="J19" s="97"/>
      <c r="R19" s="97"/>
      <c r="Z19" s="97"/>
      <c r="AH19" s="97"/>
      <c r="AP19" s="97"/>
    </row>
    <row r="20" spans="1:162" x14ac:dyDescent="0.5">
      <c r="C20" t="s">
        <v>871</v>
      </c>
      <c r="K20" t="s">
        <v>829</v>
      </c>
      <c r="S20" t="s">
        <v>776</v>
      </c>
      <c r="AA20" t="s">
        <v>774</v>
      </c>
      <c r="AI20" t="s">
        <v>689</v>
      </c>
      <c r="AQ20" t="s">
        <v>637</v>
      </c>
      <c r="AY20" t="s">
        <v>594</v>
      </c>
      <c r="BG20" t="s">
        <v>501</v>
      </c>
      <c r="BO20" t="s">
        <v>501</v>
      </c>
      <c r="BW20" t="s">
        <v>440</v>
      </c>
      <c r="CF20" t="s">
        <v>392</v>
      </c>
      <c r="CO20" t="s">
        <v>349</v>
      </c>
      <c r="CX20" t="s">
        <v>262</v>
      </c>
      <c r="DG20" s="171" t="s">
        <v>262</v>
      </c>
      <c r="DP20" t="s">
        <v>220</v>
      </c>
      <c r="DY20" t="s">
        <v>182</v>
      </c>
      <c r="EH20" t="s">
        <v>147</v>
      </c>
      <c r="EQ20" t="s">
        <v>103</v>
      </c>
      <c r="EZ20" t="s">
        <v>65</v>
      </c>
    </row>
    <row r="21" spans="1:162" x14ac:dyDescent="0.5">
      <c r="A21" s="163"/>
      <c r="B21" s="163"/>
      <c r="C21" s="263" t="s">
        <v>868</v>
      </c>
      <c r="D21" s="263" t="s">
        <v>870</v>
      </c>
      <c r="E21" s="265" t="s">
        <v>3</v>
      </c>
      <c r="F21" s="263" t="s">
        <v>831</v>
      </c>
      <c r="G21" s="263" t="s">
        <v>870</v>
      </c>
      <c r="H21" s="265" t="s">
        <v>3</v>
      </c>
      <c r="I21" s="163"/>
      <c r="J21" s="163"/>
      <c r="K21" s="263" t="s">
        <v>826</v>
      </c>
      <c r="L21" s="263" t="s">
        <v>831</v>
      </c>
      <c r="M21" s="265" t="s">
        <v>3</v>
      </c>
      <c r="N21" s="263" t="s">
        <v>778</v>
      </c>
      <c r="O21" s="263" t="s">
        <v>831</v>
      </c>
      <c r="P21" s="265" t="s">
        <v>3</v>
      </c>
      <c r="Q21" s="163"/>
      <c r="R21" s="163"/>
      <c r="S21" s="263" t="s">
        <v>777</v>
      </c>
      <c r="T21" s="263" t="s">
        <v>778</v>
      </c>
      <c r="U21" s="265" t="s">
        <v>3</v>
      </c>
      <c r="V21" s="263" t="s">
        <v>735</v>
      </c>
      <c r="W21" s="263" t="s">
        <v>778</v>
      </c>
      <c r="X21" s="265" t="s">
        <v>3</v>
      </c>
      <c r="Y21" s="163"/>
      <c r="Z21" s="163"/>
      <c r="AA21" s="263" t="s">
        <v>734</v>
      </c>
      <c r="AB21" s="263" t="s">
        <v>735</v>
      </c>
      <c r="AC21" s="265" t="s">
        <v>3</v>
      </c>
      <c r="AD21" s="263" t="s">
        <v>687</v>
      </c>
      <c r="AE21" s="263" t="s">
        <v>735</v>
      </c>
      <c r="AF21" s="265" t="s">
        <v>3</v>
      </c>
      <c r="AG21" s="163"/>
      <c r="AH21" s="163"/>
      <c r="AI21" s="263" t="s">
        <v>686</v>
      </c>
      <c r="AJ21" s="263" t="s">
        <v>687</v>
      </c>
      <c r="AK21" s="265" t="s">
        <v>3</v>
      </c>
      <c r="AL21" s="263" t="s">
        <v>639</v>
      </c>
      <c r="AM21" s="263">
        <v>23498</v>
      </c>
      <c r="AN21" s="265" t="s">
        <v>3</v>
      </c>
      <c r="AO21" s="163"/>
      <c r="AP21" s="163"/>
      <c r="AQ21" s="263" t="s">
        <v>638</v>
      </c>
      <c r="AR21" s="263" t="s">
        <v>639</v>
      </c>
      <c r="AS21" s="265" t="s">
        <v>3</v>
      </c>
      <c r="AT21" s="263" t="s">
        <v>593</v>
      </c>
      <c r="AU21" s="263" t="s">
        <v>639</v>
      </c>
      <c r="AV21" s="265" t="s">
        <v>3</v>
      </c>
      <c r="AW21" s="163"/>
      <c r="AX21" s="163"/>
      <c r="AY21" s="263">
        <v>22737</v>
      </c>
      <c r="AZ21" s="263">
        <v>22767</v>
      </c>
      <c r="BA21" s="265" t="s">
        <v>3</v>
      </c>
      <c r="BB21" s="263">
        <v>22402</v>
      </c>
      <c r="BC21" s="263">
        <v>22767</v>
      </c>
      <c r="BD21" s="265" t="s">
        <v>3</v>
      </c>
      <c r="BE21" s="163"/>
      <c r="BF21" s="163"/>
      <c r="BG21" s="263" t="s">
        <v>550</v>
      </c>
      <c r="BH21" s="263" t="s">
        <v>551</v>
      </c>
      <c r="BI21" s="265" t="s">
        <v>3</v>
      </c>
      <c r="BJ21" s="263" t="s">
        <v>502</v>
      </c>
      <c r="BK21" s="263" t="s">
        <v>551</v>
      </c>
      <c r="BL21" s="265" t="s">
        <v>3</v>
      </c>
      <c r="BM21" s="163"/>
      <c r="BN21" s="163"/>
      <c r="BO21" s="263" t="s">
        <v>503</v>
      </c>
      <c r="BP21" s="263" t="s">
        <v>502</v>
      </c>
      <c r="BQ21" s="265" t="s">
        <v>3</v>
      </c>
      <c r="BR21" s="263" t="s">
        <v>442</v>
      </c>
      <c r="BS21" s="263" t="s">
        <v>502</v>
      </c>
      <c r="BT21" s="265" t="s">
        <v>3</v>
      </c>
      <c r="BU21" s="163"/>
      <c r="BV21" s="163"/>
      <c r="BW21" s="263" t="s">
        <v>441</v>
      </c>
      <c r="BX21" s="263" t="s">
        <v>442</v>
      </c>
      <c r="BY21" s="265" t="s">
        <v>3</v>
      </c>
      <c r="BZ21" s="263" t="s">
        <v>443</v>
      </c>
      <c r="CA21" s="263" t="s">
        <v>442</v>
      </c>
      <c r="CB21" s="265" t="s">
        <v>3</v>
      </c>
      <c r="CD21" s="163"/>
      <c r="CE21" s="163"/>
      <c r="CF21" s="172" t="s">
        <v>393</v>
      </c>
      <c r="CG21" s="172" t="s">
        <v>394</v>
      </c>
      <c r="CH21" s="163" t="s">
        <v>3</v>
      </c>
      <c r="CI21" s="172" t="s">
        <v>350</v>
      </c>
      <c r="CJ21" s="172" t="s">
        <v>395</v>
      </c>
      <c r="CK21" s="163" t="s">
        <v>3</v>
      </c>
      <c r="CM21" s="163"/>
      <c r="CN21" s="163"/>
      <c r="CO21" s="172" t="s">
        <v>346</v>
      </c>
      <c r="CP21" s="172" t="s">
        <v>350</v>
      </c>
      <c r="CQ21" s="163" t="s">
        <v>3</v>
      </c>
      <c r="CR21" s="172" t="s">
        <v>299</v>
      </c>
      <c r="CS21" s="172" t="s">
        <v>351</v>
      </c>
      <c r="CT21" s="163" t="s">
        <v>3</v>
      </c>
      <c r="CU21" s="62"/>
      <c r="CV21" s="239"/>
      <c r="CW21" s="239"/>
      <c r="CX21" s="240" t="s">
        <v>260</v>
      </c>
      <c r="CY21" s="240" t="s">
        <v>298</v>
      </c>
      <c r="CZ21" s="239" t="s">
        <v>3</v>
      </c>
      <c r="DA21" s="241" t="s">
        <v>261</v>
      </c>
      <c r="DB21" s="240" t="s">
        <v>298</v>
      </c>
      <c r="DC21" s="239" t="s">
        <v>3</v>
      </c>
      <c r="DD21" s="62"/>
      <c r="DE21" s="188"/>
      <c r="DF21" s="188"/>
      <c r="DG21" s="189" t="s">
        <v>260</v>
      </c>
      <c r="DH21" s="189" t="s">
        <v>261</v>
      </c>
      <c r="DI21" s="188" t="s">
        <v>3</v>
      </c>
      <c r="DJ21" s="190" t="s">
        <v>219</v>
      </c>
      <c r="DK21" s="189" t="s">
        <v>261</v>
      </c>
      <c r="DL21" s="188" t="s">
        <v>3</v>
      </c>
      <c r="DM21" s="62"/>
      <c r="DN21" s="141"/>
      <c r="DO21" s="141"/>
      <c r="DP21" s="144" t="s">
        <v>216</v>
      </c>
      <c r="DQ21" s="144" t="s">
        <v>219</v>
      </c>
      <c r="DR21" s="141" t="s">
        <v>3</v>
      </c>
      <c r="DS21" s="146" t="s">
        <v>183</v>
      </c>
      <c r="DT21" s="144" t="s">
        <v>219</v>
      </c>
      <c r="DU21" s="141" t="s">
        <v>3</v>
      </c>
      <c r="DV21" s="62"/>
      <c r="DW21" s="95"/>
      <c r="DX21" s="95"/>
      <c r="DY21" s="96" t="s">
        <v>180</v>
      </c>
      <c r="DZ21" s="96" t="s">
        <v>183</v>
      </c>
      <c r="EA21" s="95" t="s">
        <v>3</v>
      </c>
      <c r="EB21" s="96" t="s">
        <v>146</v>
      </c>
      <c r="EC21" s="96" t="s">
        <v>183</v>
      </c>
      <c r="ED21" s="95" t="s">
        <v>3</v>
      </c>
      <c r="EE21" s="62"/>
      <c r="EF21" s="107"/>
      <c r="EG21" s="107"/>
      <c r="EH21" s="108" t="s">
        <v>143</v>
      </c>
      <c r="EI21" s="108" t="s">
        <v>146</v>
      </c>
      <c r="EJ21" s="107" t="s">
        <v>3</v>
      </c>
      <c r="EK21" s="108" t="s">
        <v>100</v>
      </c>
      <c r="EL21" s="108" t="s">
        <v>146</v>
      </c>
      <c r="EM21" s="107" t="s">
        <v>3</v>
      </c>
      <c r="EN21" s="62"/>
      <c r="EO21" s="95"/>
      <c r="EP21" s="95"/>
      <c r="EQ21" s="96" t="s">
        <v>99</v>
      </c>
      <c r="ER21" s="96" t="s">
        <v>100</v>
      </c>
      <c r="ES21" s="95" t="s">
        <v>3</v>
      </c>
      <c r="ET21" s="96" t="s">
        <v>101</v>
      </c>
      <c r="EU21" s="96" t="s">
        <v>100</v>
      </c>
      <c r="EV21" s="95" t="s">
        <v>3</v>
      </c>
      <c r="EW21" s="62"/>
      <c r="EX21" s="54"/>
      <c r="EY21" s="54"/>
      <c r="EZ21" s="55">
        <v>18354</v>
      </c>
      <c r="FA21" s="55">
        <v>18384</v>
      </c>
      <c r="FB21" s="54" t="s">
        <v>3</v>
      </c>
      <c r="FC21" s="55">
        <v>18019</v>
      </c>
      <c r="FD21" s="55">
        <v>18384</v>
      </c>
      <c r="FE21" s="54" t="s">
        <v>3</v>
      </c>
      <c r="FF21" s="62"/>
    </row>
    <row r="22" spans="1:162" x14ac:dyDescent="0.5">
      <c r="A22" s="165" t="s">
        <v>0</v>
      </c>
      <c r="B22" s="165"/>
      <c r="C22" s="166">
        <v>104250</v>
      </c>
      <c r="D22" s="166">
        <v>139186</v>
      </c>
      <c r="E22" s="167">
        <f>((D22-C22)/C22)*100</f>
        <v>33.511750599520383</v>
      </c>
      <c r="F22" s="166">
        <v>126161</v>
      </c>
      <c r="G22" s="166">
        <f>D22</f>
        <v>139186</v>
      </c>
      <c r="H22" s="167">
        <f>((G22-F22)/F22)*100</f>
        <v>10.324109669390699</v>
      </c>
      <c r="I22" s="165" t="s">
        <v>0</v>
      </c>
      <c r="J22" s="165"/>
      <c r="K22" s="166">
        <v>104667</v>
      </c>
      <c r="L22" s="166">
        <v>126161</v>
      </c>
      <c r="M22" s="167">
        <f>((L22-K22)/K22)*100</f>
        <v>20.535603389798123</v>
      </c>
      <c r="N22" s="166">
        <v>150532</v>
      </c>
      <c r="O22" s="166">
        <v>126161</v>
      </c>
      <c r="P22" s="167">
        <f>((O22-N22)/N22)*100</f>
        <v>-16.189913108176334</v>
      </c>
      <c r="Q22" s="165" t="s">
        <v>0</v>
      </c>
      <c r="R22" s="165"/>
      <c r="S22" s="166">
        <v>117636</v>
      </c>
      <c r="T22" s="166">
        <v>150532</v>
      </c>
      <c r="U22" s="167">
        <f>((T22-S22)/S22)*100</f>
        <v>27.964228637491921</v>
      </c>
      <c r="V22" s="166">
        <v>129231</v>
      </c>
      <c r="W22" s="166">
        <v>150532</v>
      </c>
      <c r="X22" s="167">
        <f>((W22-V22)/V22)*100</f>
        <v>16.482887232939465</v>
      </c>
      <c r="Y22" s="165" t="s">
        <v>0</v>
      </c>
      <c r="Z22" s="165"/>
      <c r="AA22" s="166">
        <v>117786</v>
      </c>
      <c r="AB22" s="166">
        <v>129231</v>
      </c>
      <c r="AC22" s="167">
        <f>((AB22-AA22)/AA22)*100</f>
        <v>9.7167744893281025</v>
      </c>
      <c r="AD22" s="166">
        <v>140168</v>
      </c>
      <c r="AE22" s="166">
        <v>129231</v>
      </c>
      <c r="AF22" s="167">
        <f>((AE22-AD22)/AD22)*100</f>
        <v>-7.8027795217167979</v>
      </c>
      <c r="AG22" s="165" t="s">
        <v>0</v>
      </c>
      <c r="AH22" s="165"/>
      <c r="AI22" s="166">
        <v>104355</v>
      </c>
      <c r="AJ22" s="166">
        <v>140168</v>
      </c>
      <c r="AK22" s="167">
        <f>((AJ22-AI22)/AI22)*100</f>
        <v>34.318432274447794</v>
      </c>
      <c r="AL22" s="166">
        <v>56035</v>
      </c>
      <c r="AM22" s="166">
        <v>140168</v>
      </c>
      <c r="AN22" s="167">
        <f>((AM22-AL22)/AL22)*100</f>
        <v>150.14366021236728</v>
      </c>
      <c r="AO22" s="165" t="s">
        <v>0</v>
      </c>
      <c r="AP22" s="165"/>
      <c r="AQ22" s="166">
        <v>24711</v>
      </c>
      <c r="AR22" s="166">
        <v>56035</v>
      </c>
      <c r="AS22" s="167">
        <f>((AR22-AQ22)/AQ22)*100</f>
        <v>126.76136133705637</v>
      </c>
      <c r="AT22" s="166">
        <v>181338</v>
      </c>
      <c r="AU22" s="166">
        <v>56035</v>
      </c>
      <c r="AV22" s="167">
        <f>((AU22-AT22)/AT22)*100</f>
        <v>-69.099140830934502</v>
      </c>
      <c r="AW22" s="165" t="s">
        <v>0</v>
      </c>
      <c r="AX22" s="165"/>
      <c r="AY22" s="166">
        <v>150242</v>
      </c>
      <c r="AZ22" s="166">
        <v>181338</v>
      </c>
      <c r="BA22" s="167">
        <f>((AZ22-AY22)/AY22)*100</f>
        <v>20.697275062898523</v>
      </c>
      <c r="BB22" s="166">
        <v>193130</v>
      </c>
      <c r="BC22" s="166">
        <v>181338</v>
      </c>
      <c r="BD22" s="167">
        <f>((BC22-BB22)/BB22)*100</f>
        <v>-6.1057318904364939</v>
      </c>
      <c r="BE22" s="165" t="s">
        <v>0</v>
      </c>
      <c r="BF22" s="165"/>
      <c r="BG22" s="166">
        <v>134779</v>
      </c>
      <c r="BH22" s="166">
        <v>193130</v>
      </c>
      <c r="BI22" s="167">
        <f>((BH22-BG22)/BG22)*100</f>
        <v>43.293836576914799</v>
      </c>
      <c r="BJ22" s="166">
        <v>169495</v>
      </c>
      <c r="BK22" s="166">
        <v>193130</v>
      </c>
      <c r="BL22" s="167">
        <f t="shared" ref="BL22:BL32" si="50">((BK22-BJ22)/BJ22)*100</f>
        <v>13.94436414053512</v>
      </c>
      <c r="BM22" s="165" t="s">
        <v>0</v>
      </c>
      <c r="BN22" s="165"/>
      <c r="BO22" s="166">
        <v>120473</v>
      </c>
      <c r="BP22" s="166">
        <v>169495</v>
      </c>
      <c r="BQ22" s="167">
        <f>((BP22-BO22)/BO22)*100</f>
        <v>40.69127522349406</v>
      </c>
      <c r="BR22" s="166">
        <v>168394</v>
      </c>
      <c r="BS22" s="166">
        <v>169495</v>
      </c>
      <c r="BT22" s="167">
        <f t="shared" ref="BT22:BT32" si="51">((BS22-BR22)/BR22)*100</f>
        <v>0.65382377044312745</v>
      </c>
      <c r="BU22" s="165" t="s">
        <v>0</v>
      </c>
      <c r="BV22" s="165"/>
      <c r="BW22" s="166">
        <v>138237</v>
      </c>
      <c r="BX22" s="166">
        <v>168394</v>
      </c>
      <c r="BY22" s="167">
        <f>((BX22-BW22)/BW22)*100</f>
        <v>21.815432915934231</v>
      </c>
      <c r="BZ22" s="166">
        <v>135045</v>
      </c>
      <c r="CA22" s="166">
        <v>168394</v>
      </c>
      <c r="CB22" s="167">
        <f t="shared" ref="CB22:CB32" si="52">((CA22-BZ22)/BZ22)*100</f>
        <v>24.694731385834352</v>
      </c>
      <c r="CD22" s="165" t="s">
        <v>0</v>
      </c>
      <c r="CE22" s="165"/>
      <c r="CF22" s="166">
        <v>123968</v>
      </c>
      <c r="CG22" s="166">
        <v>135045</v>
      </c>
      <c r="CH22" s="167">
        <f>((CG22-CF22)/CF22)*100</f>
        <v>8.9353704181724325</v>
      </c>
      <c r="CI22" s="166">
        <v>148011</v>
      </c>
      <c r="CJ22" s="166">
        <v>135045</v>
      </c>
      <c r="CK22" s="167">
        <f t="shared" ref="CK22:CK32" si="53">((CJ22-CI22)/CI22)*100</f>
        <v>-8.7601597178588086</v>
      </c>
      <c r="CM22" s="165" t="s">
        <v>0</v>
      </c>
      <c r="CN22" s="165"/>
      <c r="CO22" s="166">
        <f>SUM(CO23:CO25)</f>
        <v>126730</v>
      </c>
      <c r="CP22" s="166">
        <f>SUM(CP23:CP25)</f>
        <v>148011</v>
      </c>
      <c r="CQ22" s="167">
        <f>((CP22-CO22)/CO22)*100</f>
        <v>16.792393277045687</v>
      </c>
      <c r="CR22" s="166">
        <f>SUM(CR23:CR25)</f>
        <v>231866</v>
      </c>
      <c r="CS22" s="166">
        <v>148011</v>
      </c>
      <c r="CT22" s="167">
        <f t="shared" ref="CT22:CT32" si="54">((CS22-CR22)/CR22)*100</f>
        <v>-36.165285121578847</v>
      </c>
      <c r="CU22" s="73"/>
      <c r="CV22" s="224" t="s">
        <v>0</v>
      </c>
      <c r="CW22" s="224"/>
      <c r="CX22" s="238">
        <f>SUM(CX23:CX25)</f>
        <v>170451</v>
      </c>
      <c r="CY22" s="238">
        <f>SUM(CY23:CY25)</f>
        <v>231101</v>
      </c>
      <c r="CZ22" s="225">
        <f>((CY22-CX22)/CX22)*100</f>
        <v>35.582073440460896</v>
      </c>
      <c r="DA22" s="238">
        <v>202834</v>
      </c>
      <c r="DB22" s="238">
        <v>231101</v>
      </c>
      <c r="DC22" s="225">
        <f>((DB22-DA22)/DA22)*100</f>
        <v>13.936026504432194</v>
      </c>
      <c r="DD22" s="73"/>
      <c r="DE22" s="191" t="s">
        <v>0</v>
      </c>
      <c r="DF22" s="191"/>
      <c r="DG22" s="192">
        <f>SUM(DG23:DG25)</f>
        <v>142298</v>
      </c>
      <c r="DH22" s="192">
        <f>SUM(DH23:DH25)</f>
        <v>202834</v>
      </c>
      <c r="DI22" s="193">
        <f>((DH22-DG22)/DG22)*100</f>
        <v>42.541708246075139</v>
      </c>
      <c r="DJ22" s="192">
        <v>98804</v>
      </c>
      <c r="DK22" s="192">
        <f>SUM(DK23:DK25)</f>
        <v>202834</v>
      </c>
      <c r="DL22" s="193">
        <f>((DK22-DJ22)/DJ22)*100</f>
        <v>105.28925954414801</v>
      </c>
      <c r="DM22" s="73"/>
      <c r="DN22" s="150" t="s">
        <v>0</v>
      </c>
      <c r="DO22" s="150"/>
      <c r="DP22" s="147">
        <f>SUM(DP23:DP25)</f>
        <v>89179</v>
      </c>
      <c r="DQ22" s="147">
        <f>SUM(DQ23:DQ25)</f>
        <v>98804</v>
      </c>
      <c r="DR22" s="151">
        <f>((DQ22-DP22)/DP22)*100</f>
        <v>10.792899673689995</v>
      </c>
      <c r="DS22" s="147">
        <v>132165</v>
      </c>
      <c r="DT22" s="147">
        <v>98804</v>
      </c>
      <c r="DU22" s="151">
        <f>((DT22-DS22)/DS22)*100</f>
        <v>-25.241932432943671</v>
      </c>
      <c r="DV22" s="73"/>
      <c r="DW22" s="86" t="s">
        <v>0</v>
      </c>
      <c r="DX22" s="86"/>
      <c r="DY22" s="87">
        <v>105110</v>
      </c>
      <c r="DZ22" s="87">
        <f>SUM(DZ23:DZ25)</f>
        <v>132165</v>
      </c>
      <c r="EA22" s="126">
        <f>((DZ22-DY22)/DY22)*100</f>
        <v>25.739701265341068</v>
      </c>
      <c r="EB22" s="87">
        <v>61752</v>
      </c>
      <c r="EC22" s="87">
        <f>SUM(EC23:EC25)</f>
        <v>132165</v>
      </c>
      <c r="ED22" s="126">
        <f>((EC22-EB22)/EB22)*100</f>
        <v>114.02545666537117</v>
      </c>
      <c r="EE22" s="127"/>
      <c r="EF22" s="63" t="s">
        <v>0</v>
      </c>
      <c r="EG22" s="63"/>
      <c r="EH22" s="68">
        <f>SUM(EH23:EH25)</f>
        <v>53644</v>
      </c>
      <c r="EI22" s="68">
        <f>SUM(EI23:EI25)</f>
        <v>61752</v>
      </c>
      <c r="EJ22" s="65">
        <f t="shared" ref="EJ22:EJ32" si="55">(EI22-EH22)/EH22*100</f>
        <v>15.114458280515993</v>
      </c>
      <c r="EK22" s="68">
        <f>SUM(EK23:EK25)</f>
        <v>125862</v>
      </c>
      <c r="EL22" s="68">
        <v>61752</v>
      </c>
      <c r="EM22" s="65">
        <f t="shared" ref="EM22:EM32" si="56">(EL22-EK22)/EK22*100</f>
        <v>-50.936740239309721</v>
      </c>
      <c r="EN22" s="73"/>
      <c r="EO22" s="86" t="s">
        <v>0</v>
      </c>
      <c r="EP22" s="86"/>
      <c r="EQ22" s="87">
        <f>SUM(EQ23:EQ25)</f>
        <v>97453</v>
      </c>
      <c r="ER22" s="87">
        <f>SUM(ER23:ER25)</f>
        <v>125564</v>
      </c>
      <c r="ES22" s="88">
        <f t="shared" ref="ES22:ES32" si="57">(ER22-EQ22)/EQ22*100</f>
        <v>28.845699978451151</v>
      </c>
      <c r="ET22" s="87">
        <v>111585</v>
      </c>
      <c r="EU22" s="87">
        <v>125564</v>
      </c>
      <c r="EV22" s="88">
        <f t="shared" ref="EV22:EV32" si="58">(EU22-ET22)/ET22*100</f>
        <v>12.527669489626742</v>
      </c>
      <c r="EW22" s="73"/>
      <c r="EX22" s="63" t="s">
        <v>0</v>
      </c>
      <c r="EY22" s="63"/>
      <c r="EZ22" s="68">
        <f>SUM(EZ23:EZ25)</f>
        <v>82980</v>
      </c>
      <c r="FA22" s="68">
        <v>111585</v>
      </c>
      <c r="FB22" s="65">
        <f t="shared" ref="FB22:FB32" si="59">(FA22-EZ22)/EZ22*100</f>
        <v>34.472161966738973</v>
      </c>
      <c r="FC22" s="68">
        <v>108084</v>
      </c>
      <c r="FD22" s="68">
        <v>111585</v>
      </c>
      <c r="FE22" s="65">
        <f t="shared" ref="FE22:FE32" si="60">(FD22-FC22)/FC22*100</f>
        <v>3.2391473298545574</v>
      </c>
      <c r="FF22" s="73"/>
    </row>
    <row r="23" spans="1:162" x14ac:dyDescent="0.5">
      <c r="A23" s="168"/>
      <c r="B23" s="168" t="s">
        <v>51</v>
      </c>
      <c r="C23" s="169">
        <v>39262</v>
      </c>
      <c r="D23" s="169">
        <v>53203</v>
      </c>
      <c r="E23" s="167">
        <f t="shared" ref="E23:E32" si="61">((D23-C23)/C23)*100</f>
        <v>35.507615506087312</v>
      </c>
      <c r="F23" s="169">
        <v>46252</v>
      </c>
      <c r="G23" s="166">
        <f t="shared" ref="G23:G31" si="62">D23</f>
        <v>53203</v>
      </c>
      <c r="H23" s="167">
        <f>((G23-F23)/F23)*100</f>
        <v>15.028539306408373</v>
      </c>
      <c r="I23" s="168"/>
      <c r="J23" s="168" t="s">
        <v>51</v>
      </c>
      <c r="K23" s="169">
        <v>37523</v>
      </c>
      <c r="L23" s="169">
        <v>46252</v>
      </c>
      <c r="M23" s="167">
        <f t="shared" ref="M23:M32" si="63">((L23-K23)/K23)*100</f>
        <v>23.263065319937105</v>
      </c>
      <c r="N23" s="169">
        <v>50064</v>
      </c>
      <c r="O23" s="169">
        <v>46252</v>
      </c>
      <c r="P23" s="167">
        <f>((O23-N23)/N23)*100</f>
        <v>-7.614253755193352</v>
      </c>
      <c r="Q23" s="168"/>
      <c r="R23" s="168" t="s">
        <v>51</v>
      </c>
      <c r="S23" s="169">
        <v>39765</v>
      </c>
      <c r="T23" s="169">
        <v>50064</v>
      </c>
      <c r="U23" s="167">
        <f t="shared" ref="U23:U32" si="64">((T23-S23)/S23)*100</f>
        <v>25.899660505469633</v>
      </c>
      <c r="V23" s="169">
        <v>39695</v>
      </c>
      <c r="W23" s="169">
        <v>50064</v>
      </c>
      <c r="X23" s="167">
        <f>((W23-V23)/V23)*100</f>
        <v>26.121677793172942</v>
      </c>
      <c r="Y23" s="168"/>
      <c r="Z23" s="168" t="s">
        <v>51</v>
      </c>
      <c r="AA23" s="169">
        <v>36180</v>
      </c>
      <c r="AB23" s="169">
        <v>39695</v>
      </c>
      <c r="AC23" s="167">
        <f t="shared" ref="AC23:AC32" si="65">((AB23-AA23)/AA23)*100</f>
        <v>9.7153123272526258</v>
      </c>
      <c r="AD23" s="169">
        <v>43986</v>
      </c>
      <c r="AE23" s="169">
        <v>39695</v>
      </c>
      <c r="AF23" s="167">
        <f>((AE23-AD23)/AD23)*100</f>
        <v>-9.7553767107716087</v>
      </c>
      <c r="AG23" s="168"/>
      <c r="AH23" s="168" t="s">
        <v>51</v>
      </c>
      <c r="AI23" s="169">
        <v>32767</v>
      </c>
      <c r="AJ23" s="169">
        <v>43986</v>
      </c>
      <c r="AK23" s="167">
        <f t="shared" ref="AK23:AK32" si="66">((AJ23-AI23)/AI23)*100</f>
        <v>34.23871578112125</v>
      </c>
      <c r="AL23" s="169">
        <v>19661</v>
      </c>
      <c r="AM23" s="169">
        <v>43986</v>
      </c>
      <c r="AN23" s="167">
        <f>((AM23-AL23)/AL23)*100</f>
        <v>123.72208941559433</v>
      </c>
      <c r="AO23" s="168"/>
      <c r="AP23" s="168" t="s">
        <v>51</v>
      </c>
      <c r="AQ23" s="169">
        <v>8635</v>
      </c>
      <c r="AR23" s="169">
        <v>19661</v>
      </c>
      <c r="AS23" s="167">
        <f t="shared" ref="AS23:AS32" si="67">((AR23-AQ23)/AQ23)*100</f>
        <v>127.68963520555879</v>
      </c>
      <c r="AT23" s="169">
        <v>70850</v>
      </c>
      <c r="AU23" s="169">
        <v>19661</v>
      </c>
      <c r="AV23" s="167">
        <f>((AU23-AT23)/AT23)*100</f>
        <v>-72.249823570924491</v>
      </c>
      <c r="AW23" s="168"/>
      <c r="AX23" s="168" t="s">
        <v>51</v>
      </c>
      <c r="AY23" s="169">
        <v>60704</v>
      </c>
      <c r="AZ23" s="169">
        <v>70850</v>
      </c>
      <c r="BA23" s="167">
        <f t="shared" ref="BA23:BA32" si="68">((AZ23-AY23)/AY23)*100</f>
        <v>16.713890353189246</v>
      </c>
      <c r="BB23" s="169">
        <v>79556</v>
      </c>
      <c r="BC23" s="169">
        <v>70850</v>
      </c>
      <c r="BD23" s="167">
        <f>((BC23-BB23)/BB23)*100</f>
        <v>-10.94323495399467</v>
      </c>
      <c r="BE23" s="168"/>
      <c r="BF23" s="168" t="s">
        <v>51</v>
      </c>
      <c r="BG23" s="169">
        <v>55596</v>
      </c>
      <c r="BH23" s="169">
        <v>79556</v>
      </c>
      <c r="BI23" s="167">
        <f t="shared" ref="BI23:BI32" si="69">((BH23-BG23)/BG23)*100</f>
        <v>43.09662565652205</v>
      </c>
      <c r="BJ23" s="169">
        <v>70465</v>
      </c>
      <c r="BK23" s="169">
        <v>79556</v>
      </c>
      <c r="BL23" s="167">
        <f t="shared" si="50"/>
        <v>12.901440431419854</v>
      </c>
      <c r="BM23" s="168"/>
      <c r="BN23" s="168" t="s">
        <v>51</v>
      </c>
      <c r="BO23" s="169">
        <v>46325</v>
      </c>
      <c r="BP23" s="169">
        <v>70465</v>
      </c>
      <c r="BQ23" s="167">
        <f t="shared" ref="BQ23:BQ32" si="70">((BP23-BO23)/BO23)*100</f>
        <v>52.11009174311927</v>
      </c>
      <c r="BR23" s="169">
        <v>68513</v>
      </c>
      <c r="BS23" s="169">
        <v>70465</v>
      </c>
      <c r="BT23" s="167">
        <f t="shared" si="51"/>
        <v>2.8490943324624523</v>
      </c>
      <c r="BU23" s="168"/>
      <c r="BV23" s="168" t="s">
        <v>51</v>
      </c>
      <c r="BW23" s="169">
        <v>57283</v>
      </c>
      <c r="BX23" s="169">
        <v>68513</v>
      </c>
      <c r="BY23" s="167">
        <f t="shared" ref="BY23:BY32" si="71">((BX23-BW23)/BW23)*100</f>
        <v>19.604420159558682</v>
      </c>
      <c r="BZ23" s="169">
        <v>65181</v>
      </c>
      <c r="CA23" s="169">
        <v>68513</v>
      </c>
      <c r="CB23" s="167">
        <f t="shared" si="52"/>
        <v>5.1119191175342502</v>
      </c>
      <c r="CD23" s="168"/>
      <c r="CE23" s="168" t="s">
        <v>51</v>
      </c>
      <c r="CF23" s="169">
        <v>54049</v>
      </c>
      <c r="CG23" s="169">
        <v>65181</v>
      </c>
      <c r="CH23" s="167">
        <f t="shared" ref="CH23:CH32" si="72">((CG23-CF23)/CF23)*100</f>
        <v>20.596125737756481</v>
      </c>
      <c r="CI23" s="169">
        <v>56640</v>
      </c>
      <c r="CJ23" s="169">
        <v>65181</v>
      </c>
      <c r="CK23" s="167">
        <f t="shared" si="53"/>
        <v>15.079449152542374</v>
      </c>
      <c r="CM23" s="168"/>
      <c r="CN23" s="168" t="s">
        <v>51</v>
      </c>
      <c r="CO23" s="169">
        <v>51067</v>
      </c>
      <c r="CP23" s="169">
        <v>56640</v>
      </c>
      <c r="CQ23" s="167">
        <f t="shared" ref="CQ23:CQ32" si="73">((CP23-CO23)/CO23)*100</f>
        <v>10.913114144163549</v>
      </c>
      <c r="CR23" s="169">
        <v>100182</v>
      </c>
      <c r="CS23" s="169">
        <v>56640</v>
      </c>
      <c r="CT23" s="167">
        <f t="shared" si="54"/>
        <v>-43.462897526501763</v>
      </c>
      <c r="CU23" s="73"/>
      <c r="CV23" s="226"/>
      <c r="CW23" s="226" t="s">
        <v>51</v>
      </c>
      <c r="CX23" s="227">
        <v>69602</v>
      </c>
      <c r="CY23" s="227">
        <v>100182</v>
      </c>
      <c r="CZ23" s="225">
        <f t="shared" ref="CZ23:CZ32" si="74">((CY23-CX23)/CX23)*100</f>
        <v>43.935519094278902</v>
      </c>
      <c r="DA23" s="227">
        <v>81639</v>
      </c>
      <c r="DB23" s="227">
        <v>100182</v>
      </c>
      <c r="DC23" s="225">
        <f t="shared" ref="DC23:DC32" si="75">((DB23-DA23)/DA23)*100</f>
        <v>22.713409032447725</v>
      </c>
      <c r="DD23" s="73"/>
      <c r="DE23" s="194"/>
      <c r="DF23" s="194" t="s">
        <v>51</v>
      </c>
      <c r="DG23" s="195">
        <v>52425</v>
      </c>
      <c r="DH23" s="195">
        <v>81639</v>
      </c>
      <c r="DI23" s="193">
        <f t="shared" ref="DI23:DI32" si="76">((DH23-DG23)/DG23)*100</f>
        <v>55.725321888412019</v>
      </c>
      <c r="DJ23" s="195">
        <v>35393</v>
      </c>
      <c r="DK23" s="195">
        <v>81639</v>
      </c>
      <c r="DL23" s="193">
        <f t="shared" ref="DL23:DL32" si="77">((DK23-DJ23)/DJ23)*100</f>
        <v>130.66425564377138</v>
      </c>
      <c r="DM23" s="73"/>
      <c r="DN23" s="152"/>
      <c r="DO23" s="152" t="s">
        <v>51</v>
      </c>
      <c r="DP23" s="148">
        <v>35078</v>
      </c>
      <c r="DQ23" s="148">
        <v>35393</v>
      </c>
      <c r="DR23" s="151">
        <f t="shared" ref="DR23:DR32" si="78">((DQ23-DP23)/DP23)*100</f>
        <v>0.89799874565254578</v>
      </c>
      <c r="DS23" s="148">
        <v>45303</v>
      </c>
      <c r="DT23" s="148">
        <v>35393</v>
      </c>
      <c r="DU23" s="151">
        <f t="shared" ref="DU23:DU32" si="79">((DT23-DS23)/DS23)*100</f>
        <v>-21.87493102002075</v>
      </c>
      <c r="DV23" s="73"/>
      <c r="DW23" s="89"/>
      <c r="DX23" s="89" t="s">
        <v>51</v>
      </c>
      <c r="DY23" s="90">
        <v>31915</v>
      </c>
      <c r="DZ23" s="90">
        <v>45303</v>
      </c>
      <c r="EA23" s="129">
        <f t="shared" ref="EA23:EA32" si="80">((DZ23-DY23)/DY23)*100</f>
        <v>41.948926836910545</v>
      </c>
      <c r="EB23" s="90">
        <v>21385</v>
      </c>
      <c r="EC23" s="90">
        <v>45303</v>
      </c>
      <c r="ED23" s="129">
        <f t="shared" ref="ED23:ED32" si="81">((EC23-EB23)/EB23)*100</f>
        <v>111.84475099368716</v>
      </c>
      <c r="EE23" s="130"/>
      <c r="EF23" s="42"/>
      <c r="EG23" s="42" t="s">
        <v>51</v>
      </c>
      <c r="EH23" s="43">
        <v>18859</v>
      </c>
      <c r="EI23" s="43">
        <f>10414+6159+2711+1836+33+232</f>
        <v>21385</v>
      </c>
      <c r="EJ23" s="44">
        <f t="shared" si="55"/>
        <v>13.394135426056526</v>
      </c>
      <c r="EK23" s="45">
        <v>36683</v>
      </c>
      <c r="EL23" s="43">
        <v>21385</v>
      </c>
      <c r="EM23" s="44">
        <f t="shared" si="56"/>
        <v>-41.703241283428291</v>
      </c>
      <c r="EN23" s="61"/>
      <c r="EO23" s="89"/>
      <c r="EP23" s="89" t="s">
        <v>51</v>
      </c>
      <c r="EQ23" s="90">
        <v>25599</v>
      </c>
      <c r="ER23" s="90">
        <f>13012+11864+4457+5980+24+1181</f>
        <v>36518</v>
      </c>
      <c r="ES23" s="91">
        <f t="shared" si="57"/>
        <v>42.654009922262588</v>
      </c>
      <c r="ET23" s="92">
        <v>29285</v>
      </c>
      <c r="EU23" s="90">
        <v>36518</v>
      </c>
      <c r="EV23" s="91">
        <f t="shared" si="58"/>
        <v>24.698651186614306</v>
      </c>
      <c r="EW23" s="61"/>
      <c r="EX23" s="42"/>
      <c r="EY23" s="42" t="s">
        <v>51</v>
      </c>
      <c r="EZ23" s="43">
        <v>17584</v>
      </c>
      <c r="FA23" s="43">
        <v>29285</v>
      </c>
      <c r="FB23" s="44">
        <f t="shared" si="59"/>
        <v>66.543448589626934</v>
      </c>
      <c r="FC23" s="45">
        <v>27967</v>
      </c>
      <c r="FD23" s="43">
        <v>29285</v>
      </c>
      <c r="FE23" s="44">
        <f t="shared" si="60"/>
        <v>4.7126971073050381</v>
      </c>
      <c r="FF23" s="61"/>
    </row>
    <row r="24" spans="1:162" x14ac:dyDescent="0.5">
      <c r="A24" s="168"/>
      <c r="B24" s="168" t="s">
        <v>52</v>
      </c>
      <c r="C24" s="169">
        <v>63740</v>
      </c>
      <c r="D24" s="169">
        <v>84475</v>
      </c>
      <c r="E24" s="167">
        <f t="shared" si="61"/>
        <v>32.530593034201445</v>
      </c>
      <c r="F24" s="169">
        <v>78319</v>
      </c>
      <c r="G24" s="166">
        <f t="shared" si="62"/>
        <v>84475</v>
      </c>
      <c r="H24" s="167">
        <f>((G24-F24)/F24)*100</f>
        <v>7.8601616465991651</v>
      </c>
      <c r="I24" s="168"/>
      <c r="J24" s="168" t="s">
        <v>52</v>
      </c>
      <c r="K24" s="169">
        <v>65752</v>
      </c>
      <c r="L24" s="169">
        <v>78319</v>
      </c>
      <c r="M24" s="167">
        <f t="shared" si="63"/>
        <v>19.112726609076532</v>
      </c>
      <c r="N24" s="169">
        <v>96748</v>
      </c>
      <c r="O24" s="169">
        <v>78319</v>
      </c>
      <c r="P24" s="167">
        <f>((O24-N24)/N24)*100</f>
        <v>-19.04845578203167</v>
      </c>
      <c r="Q24" s="168"/>
      <c r="R24" s="168" t="s">
        <v>52</v>
      </c>
      <c r="S24" s="169">
        <v>75148</v>
      </c>
      <c r="T24" s="169">
        <v>96748</v>
      </c>
      <c r="U24" s="167">
        <f t="shared" si="64"/>
        <v>28.743279927609517</v>
      </c>
      <c r="V24" s="169">
        <v>85736</v>
      </c>
      <c r="W24" s="169">
        <v>96748</v>
      </c>
      <c r="X24" s="167">
        <f>((W24-V24)/V24)*100</f>
        <v>12.844079499860037</v>
      </c>
      <c r="Y24" s="168"/>
      <c r="Z24" s="168" t="s">
        <v>52</v>
      </c>
      <c r="AA24" s="169">
        <v>78592</v>
      </c>
      <c r="AB24" s="169">
        <v>85736</v>
      </c>
      <c r="AC24" s="167">
        <f t="shared" si="65"/>
        <v>9.0899837133550481</v>
      </c>
      <c r="AD24" s="169">
        <v>92811</v>
      </c>
      <c r="AE24" s="169">
        <v>85736</v>
      </c>
      <c r="AF24" s="167">
        <f>((AE24-AD24)/AD24)*100</f>
        <v>-7.6230188231998355</v>
      </c>
      <c r="AG24" s="168"/>
      <c r="AH24" s="168" t="s">
        <v>52</v>
      </c>
      <c r="AI24" s="169">
        <v>69015</v>
      </c>
      <c r="AJ24" s="169">
        <v>92811</v>
      </c>
      <c r="AK24" s="167">
        <f t="shared" si="66"/>
        <v>34.479460986742012</v>
      </c>
      <c r="AL24" s="169">
        <v>35257</v>
      </c>
      <c r="AM24" s="169">
        <v>92811</v>
      </c>
      <c r="AN24" s="167">
        <f>((AM24-AL24)/AL24)*100</f>
        <v>163.24134214482231</v>
      </c>
      <c r="AO24" s="168"/>
      <c r="AP24" s="168" t="s">
        <v>52</v>
      </c>
      <c r="AQ24" s="169">
        <v>15397</v>
      </c>
      <c r="AR24" s="169">
        <v>35257</v>
      </c>
      <c r="AS24" s="167">
        <f t="shared" si="67"/>
        <v>128.98616613626029</v>
      </c>
      <c r="AT24" s="169">
        <v>107255</v>
      </c>
      <c r="AU24" s="169">
        <v>35257</v>
      </c>
      <c r="AV24" s="167">
        <f>((AU24-AT24)/AT24)*100</f>
        <v>-67.12787282644166</v>
      </c>
      <c r="AW24" s="168"/>
      <c r="AX24" s="168" t="s">
        <v>52</v>
      </c>
      <c r="AY24" s="169">
        <v>87096</v>
      </c>
      <c r="AZ24" s="169">
        <v>107255</v>
      </c>
      <c r="BA24" s="167">
        <f t="shared" si="68"/>
        <v>23.145724258289704</v>
      </c>
      <c r="BB24" s="169">
        <v>109859</v>
      </c>
      <c r="BC24" s="169">
        <v>107255</v>
      </c>
      <c r="BD24" s="167">
        <f>((BC24-BB24)/BB24)*100</f>
        <v>-2.3703110350540237</v>
      </c>
      <c r="BE24" s="168"/>
      <c r="BF24" s="168" t="s">
        <v>52</v>
      </c>
      <c r="BG24" s="169">
        <v>76848</v>
      </c>
      <c r="BH24" s="169">
        <v>109859</v>
      </c>
      <c r="BI24" s="167">
        <f t="shared" si="69"/>
        <v>42.956225275869251</v>
      </c>
      <c r="BJ24" s="169">
        <v>95561</v>
      </c>
      <c r="BK24" s="169">
        <v>109859</v>
      </c>
      <c r="BL24" s="167">
        <f t="shared" si="50"/>
        <v>14.96217076003809</v>
      </c>
      <c r="BM24" s="168"/>
      <c r="BN24" s="168" t="s">
        <v>52</v>
      </c>
      <c r="BO24" s="169">
        <v>71545</v>
      </c>
      <c r="BP24" s="169">
        <v>95561</v>
      </c>
      <c r="BQ24" s="167">
        <f t="shared" si="70"/>
        <v>33.567684673981411</v>
      </c>
      <c r="BR24" s="169">
        <v>96888</v>
      </c>
      <c r="BS24" s="169">
        <v>95561</v>
      </c>
      <c r="BT24" s="167">
        <f t="shared" si="51"/>
        <v>-1.3696226570885972</v>
      </c>
      <c r="BU24" s="168"/>
      <c r="BV24" s="168" t="s">
        <v>52</v>
      </c>
      <c r="BW24" s="169">
        <v>78741</v>
      </c>
      <c r="BX24" s="169">
        <v>96888</v>
      </c>
      <c r="BY24" s="167">
        <f t="shared" si="71"/>
        <v>23.046443403055587</v>
      </c>
      <c r="BZ24" s="169">
        <v>67738</v>
      </c>
      <c r="CA24" s="169">
        <v>96888</v>
      </c>
      <c r="CB24" s="167">
        <f t="shared" si="52"/>
        <v>43.033452419616758</v>
      </c>
      <c r="CD24" s="168"/>
      <c r="CE24" s="168" t="s">
        <v>52</v>
      </c>
      <c r="CF24" s="169">
        <v>68054</v>
      </c>
      <c r="CG24" s="169">
        <v>67738</v>
      </c>
      <c r="CH24" s="167">
        <f t="shared" si="72"/>
        <v>-0.46433714403267995</v>
      </c>
      <c r="CI24" s="169">
        <v>90404</v>
      </c>
      <c r="CJ24" s="169">
        <v>67738</v>
      </c>
      <c r="CK24" s="167">
        <f t="shared" si="53"/>
        <v>-25.071899473474623</v>
      </c>
      <c r="CM24" s="168"/>
      <c r="CN24" s="168" t="s">
        <v>52</v>
      </c>
      <c r="CO24" s="169">
        <v>74402</v>
      </c>
      <c r="CP24" s="169">
        <v>90404</v>
      </c>
      <c r="CQ24" s="167">
        <f t="shared" si="73"/>
        <v>21.507486357893605</v>
      </c>
      <c r="CR24" s="169">
        <v>125767</v>
      </c>
      <c r="CS24" s="169">
        <v>90404</v>
      </c>
      <c r="CT24" s="167">
        <f t="shared" si="54"/>
        <v>-28.117868757305175</v>
      </c>
      <c r="CU24" s="73"/>
      <c r="CV24" s="226"/>
      <c r="CW24" s="226" t="s">
        <v>52</v>
      </c>
      <c r="CX24" s="227">
        <v>97149</v>
      </c>
      <c r="CY24" s="227">
        <v>125767</v>
      </c>
      <c r="CZ24" s="225">
        <f t="shared" si="74"/>
        <v>29.457843106979997</v>
      </c>
      <c r="DA24" s="227">
        <v>122815</v>
      </c>
      <c r="DB24" s="227">
        <v>125767</v>
      </c>
      <c r="DC24" s="225">
        <f t="shared" si="75"/>
        <v>2.4036151935838457</v>
      </c>
      <c r="DD24" s="73"/>
      <c r="DE24" s="194"/>
      <c r="DF24" s="194" t="s">
        <v>52</v>
      </c>
      <c r="DG24" s="195">
        <v>86608</v>
      </c>
      <c r="DH24" s="195">
        <v>117647</v>
      </c>
      <c r="DI24" s="193">
        <f t="shared" si="76"/>
        <v>35.838490670607797</v>
      </c>
      <c r="DJ24" s="195">
        <v>62223</v>
      </c>
      <c r="DK24" s="195">
        <v>117647</v>
      </c>
      <c r="DL24" s="193">
        <f t="shared" si="77"/>
        <v>89.073172299631963</v>
      </c>
      <c r="DM24" s="73"/>
      <c r="DN24" s="152"/>
      <c r="DO24" s="152" t="s">
        <v>52</v>
      </c>
      <c r="DP24" s="148">
        <v>52882</v>
      </c>
      <c r="DQ24" s="148">
        <v>62223</v>
      </c>
      <c r="DR24" s="151">
        <f t="shared" si="78"/>
        <v>17.66385537612042</v>
      </c>
      <c r="DS24" s="148">
        <v>85041</v>
      </c>
      <c r="DT24" s="148">
        <v>62223</v>
      </c>
      <c r="DU24" s="151">
        <f t="shared" si="79"/>
        <v>-26.83176350231065</v>
      </c>
      <c r="DV24" s="73"/>
      <c r="DW24" s="89"/>
      <c r="DX24" s="89" t="s">
        <v>52</v>
      </c>
      <c r="DY24" s="90">
        <v>71727</v>
      </c>
      <c r="DZ24" s="90">
        <v>85041</v>
      </c>
      <c r="EA24" s="129">
        <f t="shared" si="80"/>
        <v>18.562047764440166</v>
      </c>
      <c r="EB24" s="90">
        <v>39491</v>
      </c>
      <c r="EC24" s="90">
        <v>85041</v>
      </c>
      <c r="ED24" s="129">
        <f t="shared" si="81"/>
        <v>115.34273631966778</v>
      </c>
      <c r="EE24" s="130"/>
      <c r="EF24" s="42"/>
      <c r="EG24" s="42" t="s">
        <v>52</v>
      </c>
      <c r="EH24" s="43">
        <v>33955</v>
      </c>
      <c r="EI24" s="43">
        <f>3207+17080+19204</f>
        <v>39491</v>
      </c>
      <c r="EJ24" s="44">
        <f t="shared" si="55"/>
        <v>16.303931674274775</v>
      </c>
      <c r="EK24" s="45">
        <v>87396</v>
      </c>
      <c r="EL24" s="43">
        <v>39491</v>
      </c>
      <c r="EM24" s="44">
        <f t="shared" si="56"/>
        <v>-54.813721451782691</v>
      </c>
      <c r="EN24" s="61"/>
      <c r="EO24" s="89"/>
      <c r="EP24" s="89" t="s">
        <v>52</v>
      </c>
      <c r="EQ24" s="90">
        <v>70384</v>
      </c>
      <c r="ER24" s="90">
        <f>4646+40200+42417</f>
        <v>87263</v>
      </c>
      <c r="ES24" s="91">
        <f t="shared" si="57"/>
        <v>23.981302568765628</v>
      </c>
      <c r="ET24" s="92">
        <v>80178</v>
      </c>
      <c r="EU24" s="90">
        <v>87263</v>
      </c>
      <c r="EV24" s="91">
        <f t="shared" si="58"/>
        <v>8.8365885903863912</v>
      </c>
      <c r="EW24" s="61"/>
      <c r="EX24" s="42"/>
      <c r="EY24" s="42" t="s">
        <v>52</v>
      </c>
      <c r="EZ24" s="43">
        <v>63681</v>
      </c>
      <c r="FA24" s="43">
        <v>80178</v>
      </c>
      <c r="FB24" s="44">
        <f t="shared" si="59"/>
        <v>25.905686154425965</v>
      </c>
      <c r="FC24" s="45">
        <v>77919</v>
      </c>
      <c r="FD24" s="43">
        <v>80178</v>
      </c>
      <c r="FE24" s="44">
        <f t="shared" si="60"/>
        <v>2.8991645169984213</v>
      </c>
      <c r="FF24" s="61"/>
    </row>
    <row r="25" spans="1:162" x14ac:dyDescent="0.5">
      <c r="A25" s="168"/>
      <c r="B25" s="168" t="s">
        <v>53</v>
      </c>
      <c r="C25" s="169">
        <f>C22-C23-C24</f>
        <v>1248</v>
      </c>
      <c r="D25" s="169">
        <f>D22-D23-D24</f>
        <v>1508</v>
      </c>
      <c r="E25" s="167">
        <f t="shared" si="61"/>
        <v>20.833333333333336</v>
      </c>
      <c r="F25" s="169">
        <v>1590</v>
      </c>
      <c r="G25" s="166">
        <f t="shared" si="62"/>
        <v>1508</v>
      </c>
      <c r="H25" s="167">
        <f>((G25-F25)/F25)*100</f>
        <v>-5.1572327044025164</v>
      </c>
      <c r="I25" s="168"/>
      <c r="J25" s="168" t="s">
        <v>53</v>
      </c>
      <c r="K25" s="169">
        <v>1392</v>
      </c>
      <c r="L25" s="169">
        <v>1590</v>
      </c>
      <c r="M25" s="167">
        <f t="shared" si="63"/>
        <v>14.224137931034484</v>
      </c>
      <c r="N25" s="169">
        <v>3720</v>
      </c>
      <c r="O25" s="169">
        <v>1590</v>
      </c>
      <c r="P25" s="167">
        <f>((O25-N25)/N25)*100</f>
        <v>-57.258064516129039</v>
      </c>
      <c r="Q25" s="168"/>
      <c r="R25" s="168" t="s">
        <v>53</v>
      </c>
      <c r="S25" s="169">
        <v>2723</v>
      </c>
      <c r="T25" s="169">
        <v>3720</v>
      </c>
      <c r="U25" s="167">
        <f t="shared" si="64"/>
        <v>36.614028644876974</v>
      </c>
      <c r="V25" s="169">
        <v>3800</v>
      </c>
      <c r="W25" s="169">
        <v>3720</v>
      </c>
      <c r="X25" s="167">
        <f>((W25-V25)/V25)*100</f>
        <v>-2.1052631578947367</v>
      </c>
      <c r="Y25" s="168"/>
      <c r="Z25" s="168" t="s">
        <v>53</v>
      </c>
      <c r="AA25" s="169">
        <v>3014</v>
      </c>
      <c r="AB25" s="169">
        <v>3800</v>
      </c>
      <c r="AC25" s="167">
        <f t="shared" si="65"/>
        <v>26.078301260783011</v>
      </c>
      <c r="AD25" s="169">
        <v>3371</v>
      </c>
      <c r="AE25" s="169">
        <v>3800</v>
      </c>
      <c r="AF25" s="167">
        <f>((AE25-AD25)/AD25)*100</f>
        <v>12.726194007712847</v>
      </c>
      <c r="AG25" s="168"/>
      <c r="AH25" s="168" t="s">
        <v>53</v>
      </c>
      <c r="AI25" s="169">
        <v>2573</v>
      </c>
      <c r="AJ25" s="169">
        <v>3371</v>
      </c>
      <c r="AK25" s="167">
        <f t="shared" si="66"/>
        <v>31.014380101049362</v>
      </c>
      <c r="AL25" s="169">
        <v>1117</v>
      </c>
      <c r="AM25" s="169">
        <v>3371</v>
      </c>
      <c r="AN25" s="167">
        <f>((AM25-AL25)/AL25)*100</f>
        <v>201.79051029543419</v>
      </c>
      <c r="AO25" s="168"/>
      <c r="AP25" s="168" t="s">
        <v>53</v>
      </c>
      <c r="AQ25" s="169">
        <v>679</v>
      </c>
      <c r="AR25" s="169">
        <v>1117</v>
      </c>
      <c r="AS25" s="167">
        <f t="shared" si="67"/>
        <v>64.50662739322533</v>
      </c>
      <c r="AT25" s="169">
        <v>3233</v>
      </c>
      <c r="AU25" s="169">
        <v>1117</v>
      </c>
      <c r="AV25" s="167">
        <f>((AU25-AT25)/AT25)*100</f>
        <v>-65.450046396535726</v>
      </c>
      <c r="AW25" s="168"/>
      <c r="AX25" s="168" t="s">
        <v>53</v>
      </c>
      <c r="AY25" s="169">
        <v>2442</v>
      </c>
      <c r="AZ25" s="169">
        <v>3233</v>
      </c>
      <c r="BA25" s="167">
        <f t="shared" si="68"/>
        <v>32.391482391482391</v>
      </c>
      <c r="BB25" s="169">
        <v>3715</v>
      </c>
      <c r="BC25" s="169">
        <v>3233</v>
      </c>
      <c r="BD25" s="167">
        <f>((BC25-BB25)/BB25)*100</f>
        <v>-12.97442799461642</v>
      </c>
      <c r="BE25" s="168"/>
      <c r="BF25" s="168" t="s">
        <v>53</v>
      </c>
      <c r="BG25" s="169">
        <v>2335</v>
      </c>
      <c r="BH25" s="169">
        <v>3715</v>
      </c>
      <c r="BI25" s="167">
        <f t="shared" si="69"/>
        <v>59.100642398286936</v>
      </c>
      <c r="BJ25" s="169">
        <v>3469</v>
      </c>
      <c r="BK25" s="169">
        <v>3715</v>
      </c>
      <c r="BL25" s="167">
        <f t="shared" si="50"/>
        <v>7.0913808013836839</v>
      </c>
      <c r="BM25" s="168"/>
      <c r="BN25" s="168" t="s">
        <v>53</v>
      </c>
      <c r="BO25" s="169">
        <v>2603</v>
      </c>
      <c r="BP25" s="169">
        <v>3469</v>
      </c>
      <c r="BQ25" s="167">
        <f t="shared" si="70"/>
        <v>33.269304648482525</v>
      </c>
      <c r="BR25" s="169">
        <v>2993</v>
      </c>
      <c r="BS25" s="169">
        <v>3469</v>
      </c>
      <c r="BT25" s="167">
        <f t="shared" si="51"/>
        <v>15.903775476110926</v>
      </c>
      <c r="BU25" s="168"/>
      <c r="BV25" s="168" t="s">
        <v>53</v>
      </c>
      <c r="BW25" s="169">
        <v>2213</v>
      </c>
      <c r="BX25" s="169">
        <v>2993</v>
      </c>
      <c r="BY25" s="167">
        <f t="shared" si="71"/>
        <v>35.246272028920018</v>
      </c>
      <c r="BZ25" s="169">
        <v>2126</v>
      </c>
      <c r="CA25" s="169">
        <v>2993</v>
      </c>
      <c r="CB25" s="167">
        <f t="shared" si="52"/>
        <v>40.780809031044214</v>
      </c>
      <c r="CD25" s="168"/>
      <c r="CE25" s="168" t="s">
        <v>53</v>
      </c>
      <c r="CF25" s="169">
        <v>1865</v>
      </c>
      <c r="CG25" s="169">
        <v>2126</v>
      </c>
      <c r="CH25" s="167">
        <f t="shared" si="72"/>
        <v>13.994638069705093</v>
      </c>
      <c r="CI25" s="169">
        <v>967</v>
      </c>
      <c r="CJ25" s="169">
        <v>2126</v>
      </c>
      <c r="CK25" s="167">
        <f t="shared" si="53"/>
        <v>119.85522233712513</v>
      </c>
      <c r="CM25" s="168"/>
      <c r="CN25" s="168" t="s">
        <v>53</v>
      </c>
      <c r="CO25" s="169">
        <v>1261</v>
      </c>
      <c r="CP25" s="169">
        <v>967</v>
      </c>
      <c r="CQ25" s="167">
        <f t="shared" si="73"/>
        <v>-23.31482950039651</v>
      </c>
      <c r="CR25" s="169">
        <v>5917</v>
      </c>
      <c r="CS25" s="169">
        <v>967</v>
      </c>
      <c r="CT25" s="167">
        <f t="shared" si="54"/>
        <v>-83.657258745986141</v>
      </c>
      <c r="CU25" s="73"/>
      <c r="CV25" s="226"/>
      <c r="CW25" s="226" t="s">
        <v>53</v>
      </c>
      <c r="CX25" s="227">
        <v>3700</v>
      </c>
      <c r="CY25" s="227">
        <v>5152</v>
      </c>
      <c r="CZ25" s="225">
        <f t="shared" si="74"/>
        <v>39.243243243243242</v>
      </c>
      <c r="DA25" s="227">
        <v>3548</v>
      </c>
      <c r="DB25" s="227">
        <v>5152</v>
      </c>
      <c r="DC25" s="225">
        <f t="shared" si="75"/>
        <v>45.208568207440813</v>
      </c>
      <c r="DD25" s="73"/>
      <c r="DE25" s="194"/>
      <c r="DF25" s="194" t="s">
        <v>53</v>
      </c>
      <c r="DG25" s="195">
        <v>3265</v>
      </c>
      <c r="DH25" s="195">
        <v>3548</v>
      </c>
      <c r="DI25" s="193">
        <f t="shared" si="76"/>
        <v>8.6676875957120973</v>
      </c>
      <c r="DJ25" s="195">
        <v>1188</v>
      </c>
      <c r="DK25" s="195">
        <v>3548</v>
      </c>
      <c r="DL25" s="193">
        <f t="shared" si="77"/>
        <v>198.65319865319867</v>
      </c>
      <c r="DM25" s="73"/>
      <c r="DN25" s="152"/>
      <c r="DO25" s="152" t="s">
        <v>53</v>
      </c>
      <c r="DP25" s="148">
        <v>1219</v>
      </c>
      <c r="DQ25" s="148">
        <v>1188</v>
      </c>
      <c r="DR25" s="151">
        <f t="shared" si="78"/>
        <v>-2.5430680885972108</v>
      </c>
      <c r="DS25" s="148">
        <v>1821</v>
      </c>
      <c r="DT25" s="148">
        <v>1188</v>
      </c>
      <c r="DU25" s="151">
        <f t="shared" si="79"/>
        <v>-34.76112026359143</v>
      </c>
      <c r="DV25" s="73"/>
      <c r="DW25" s="89"/>
      <c r="DX25" s="89" t="s">
        <v>53</v>
      </c>
      <c r="DY25" s="90">
        <v>1468</v>
      </c>
      <c r="DZ25" s="90">
        <v>1821</v>
      </c>
      <c r="EA25" s="129">
        <f t="shared" si="80"/>
        <v>24.04632152588556</v>
      </c>
      <c r="EB25" s="90">
        <v>876</v>
      </c>
      <c r="EC25" s="90">
        <v>1821</v>
      </c>
      <c r="ED25" s="129">
        <f t="shared" si="81"/>
        <v>107.87671232876713</v>
      </c>
      <c r="EE25" s="130"/>
      <c r="EF25" s="42"/>
      <c r="EG25" s="42" t="s">
        <v>53</v>
      </c>
      <c r="EH25" s="43">
        <v>830</v>
      </c>
      <c r="EI25" s="43">
        <f>6+246+172+452</f>
        <v>876</v>
      </c>
      <c r="EJ25" s="44">
        <f t="shared" si="55"/>
        <v>5.5421686746987948</v>
      </c>
      <c r="EK25" s="45">
        <v>1783</v>
      </c>
      <c r="EL25" s="43">
        <v>876</v>
      </c>
      <c r="EM25" s="44">
        <f t="shared" si="56"/>
        <v>-50.869321368480094</v>
      </c>
      <c r="EN25" s="61"/>
      <c r="EO25" s="89"/>
      <c r="EP25" s="89" t="s">
        <v>53</v>
      </c>
      <c r="EQ25" s="90">
        <v>1470</v>
      </c>
      <c r="ER25" s="90">
        <f>45+688+340+710</f>
        <v>1783</v>
      </c>
      <c r="ES25" s="91">
        <f t="shared" si="57"/>
        <v>21.292517006802722</v>
      </c>
      <c r="ET25" s="92">
        <v>2122</v>
      </c>
      <c r="EU25" s="90">
        <v>1783</v>
      </c>
      <c r="EV25" s="91">
        <f t="shared" si="58"/>
        <v>-15.975494816211121</v>
      </c>
      <c r="EW25" s="61"/>
      <c r="EX25" s="42"/>
      <c r="EY25" s="42" t="s">
        <v>53</v>
      </c>
      <c r="EZ25" s="43">
        <v>1715</v>
      </c>
      <c r="FA25" s="43">
        <v>2122</v>
      </c>
      <c r="FB25" s="44">
        <f t="shared" si="59"/>
        <v>23.731778425655978</v>
      </c>
      <c r="FC25" s="45">
        <v>2198</v>
      </c>
      <c r="FD25" s="43">
        <v>2122</v>
      </c>
      <c r="FE25" s="44">
        <f t="shared" si="60"/>
        <v>-3.4576888080072794</v>
      </c>
      <c r="FF25" s="61"/>
    </row>
    <row r="26" spans="1:162" x14ac:dyDescent="0.5">
      <c r="A26" s="165" t="s">
        <v>1</v>
      </c>
      <c r="B26" s="165"/>
      <c r="C26" s="166">
        <v>47193</v>
      </c>
      <c r="D26" s="166">
        <v>52229</v>
      </c>
      <c r="E26" s="167">
        <f t="shared" si="61"/>
        <v>10.671074099972454</v>
      </c>
      <c r="F26" s="166">
        <v>49871</v>
      </c>
      <c r="G26" s="166">
        <f t="shared" si="62"/>
        <v>52229</v>
      </c>
      <c r="H26" s="167">
        <f t="shared" ref="H26:H32" si="82">((G26-F26)/F26)*100</f>
        <v>4.7281987527821778</v>
      </c>
      <c r="I26" s="165" t="s">
        <v>1</v>
      </c>
      <c r="J26" s="165"/>
      <c r="K26" s="166">
        <v>46738</v>
      </c>
      <c r="L26" s="166">
        <v>49871</v>
      </c>
      <c r="M26" s="167">
        <f t="shared" si="63"/>
        <v>6.7033249176259151</v>
      </c>
      <c r="N26" s="166">
        <v>65088</v>
      </c>
      <c r="O26" s="166">
        <v>49871</v>
      </c>
      <c r="P26" s="167">
        <f t="shared" ref="P26:P32" si="83">((O26-N26)/N26)*100</f>
        <v>-23.379117502458211</v>
      </c>
      <c r="Q26" s="165" t="s">
        <v>1</v>
      </c>
      <c r="R26" s="165"/>
      <c r="S26" s="166">
        <v>59530</v>
      </c>
      <c r="T26" s="166">
        <v>65088</v>
      </c>
      <c r="U26" s="167">
        <f t="shared" si="64"/>
        <v>9.3364690072232488</v>
      </c>
      <c r="V26" s="166">
        <v>64735</v>
      </c>
      <c r="W26" s="166">
        <v>65088</v>
      </c>
      <c r="X26" s="167">
        <f t="shared" ref="X26:X32" si="84">((W26-V26)/V26)*100</f>
        <v>0.5453000695141732</v>
      </c>
      <c r="Y26" s="165" t="s">
        <v>1</v>
      </c>
      <c r="Z26" s="165"/>
      <c r="AA26" s="166">
        <v>63427</v>
      </c>
      <c r="AB26" s="166">
        <v>64735</v>
      </c>
      <c r="AC26" s="167">
        <f t="shared" si="65"/>
        <v>2.0622132530310435</v>
      </c>
      <c r="AD26" s="166">
        <v>55948</v>
      </c>
      <c r="AE26" s="166">
        <v>64735</v>
      </c>
      <c r="AF26" s="167">
        <f t="shared" ref="AF26:AF32" si="85">((AE26-AD26)/AD26)*100</f>
        <v>15.705655251304783</v>
      </c>
      <c r="AG26" s="165" t="s">
        <v>1</v>
      </c>
      <c r="AH26" s="165"/>
      <c r="AI26" s="166">
        <v>58132</v>
      </c>
      <c r="AJ26" s="166">
        <v>55948</v>
      </c>
      <c r="AK26" s="167">
        <f t="shared" si="66"/>
        <v>-3.7569669029106167</v>
      </c>
      <c r="AL26" s="166">
        <v>40418</v>
      </c>
      <c r="AM26" s="166">
        <v>55948</v>
      </c>
      <c r="AN26" s="167">
        <f t="shared" ref="AN26:AN32" si="86">((AM26-AL26)/AL26)*100</f>
        <v>38.423474689494782</v>
      </c>
      <c r="AO26" s="165" t="s">
        <v>1</v>
      </c>
      <c r="AP26" s="165"/>
      <c r="AQ26" s="166">
        <v>30109</v>
      </c>
      <c r="AR26" s="166">
        <v>40418</v>
      </c>
      <c r="AS26" s="167">
        <f t="shared" si="67"/>
        <v>34.238931880832972</v>
      </c>
      <c r="AT26" s="166">
        <v>88097</v>
      </c>
      <c r="AU26" s="166">
        <v>40418</v>
      </c>
      <c r="AV26" s="167">
        <f t="shared" ref="AV26:AV32" si="87">((AU26-AT26)/AT26)*100</f>
        <v>-54.121025687594361</v>
      </c>
      <c r="AW26" s="165" t="s">
        <v>1</v>
      </c>
      <c r="AX26" s="165"/>
      <c r="AY26" s="166">
        <v>86076</v>
      </c>
      <c r="AZ26" s="166">
        <v>88097</v>
      </c>
      <c r="BA26" s="167">
        <f t="shared" si="68"/>
        <v>2.3479250894558295</v>
      </c>
      <c r="BB26" s="166">
        <v>84965</v>
      </c>
      <c r="BC26" s="166">
        <v>88097</v>
      </c>
      <c r="BD26" s="167">
        <f t="shared" ref="BD26:BD32" si="88">((BC26-BB26)/BB26)*100</f>
        <v>3.6862237391867239</v>
      </c>
      <c r="BE26" s="165" t="s">
        <v>1</v>
      </c>
      <c r="BF26" s="165"/>
      <c r="BG26" s="166">
        <v>79206</v>
      </c>
      <c r="BH26" s="166">
        <v>84965</v>
      </c>
      <c r="BI26" s="167">
        <f t="shared" si="69"/>
        <v>7.2709138196601266</v>
      </c>
      <c r="BJ26" s="166">
        <v>66425</v>
      </c>
      <c r="BK26" s="166">
        <v>84965</v>
      </c>
      <c r="BL26" s="167">
        <f t="shared" si="50"/>
        <v>27.911178020323675</v>
      </c>
      <c r="BM26" s="165" t="s">
        <v>1</v>
      </c>
      <c r="BN26" s="165"/>
      <c r="BO26" s="166">
        <v>63267</v>
      </c>
      <c r="BP26" s="166">
        <v>66425</v>
      </c>
      <c r="BQ26" s="167">
        <f t="shared" si="70"/>
        <v>4.9915437747957068</v>
      </c>
      <c r="BR26" s="166">
        <v>66035</v>
      </c>
      <c r="BS26" s="166">
        <v>66425</v>
      </c>
      <c r="BT26" s="167">
        <f t="shared" si="51"/>
        <v>0.59059589611569629</v>
      </c>
      <c r="BU26" s="165" t="s">
        <v>1</v>
      </c>
      <c r="BV26" s="165"/>
      <c r="BW26" s="166">
        <v>54986</v>
      </c>
      <c r="BX26" s="166">
        <v>66035</v>
      </c>
      <c r="BY26" s="167">
        <f t="shared" si="71"/>
        <v>20.09420579783945</v>
      </c>
      <c r="BZ26" s="166">
        <v>56942</v>
      </c>
      <c r="CA26" s="166">
        <v>66035</v>
      </c>
      <c r="CB26" s="167">
        <f t="shared" si="52"/>
        <v>15.968880615363002</v>
      </c>
      <c r="CD26" s="165" t="s">
        <v>1</v>
      </c>
      <c r="CE26" s="165"/>
      <c r="CF26" s="166">
        <v>54058</v>
      </c>
      <c r="CG26" s="166">
        <v>56942</v>
      </c>
      <c r="CH26" s="167">
        <f t="shared" si="72"/>
        <v>5.3350105442302711</v>
      </c>
      <c r="CI26" s="166">
        <v>69681</v>
      </c>
      <c r="CJ26" s="166">
        <v>56942</v>
      </c>
      <c r="CK26" s="167">
        <f t="shared" si="53"/>
        <v>-18.281884588338286</v>
      </c>
      <c r="CM26" s="165" t="s">
        <v>1</v>
      </c>
      <c r="CN26" s="165"/>
      <c r="CO26" s="166">
        <f>SUM(CO27:CO30)</f>
        <v>73260</v>
      </c>
      <c r="CP26" s="166">
        <f>SUM(CP27:CP30)</f>
        <v>69681</v>
      </c>
      <c r="CQ26" s="167">
        <f t="shared" si="73"/>
        <v>-4.8853398853398851</v>
      </c>
      <c r="CR26" s="166">
        <v>110267</v>
      </c>
      <c r="CS26" s="166">
        <v>69681</v>
      </c>
      <c r="CT26" s="167">
        <f t="shared" si="54"/>
        <v>-36.807022953376809</v>
      </c>
      <c r="CU26" s="73"/>
      <c r="CV26" s="224" t="s">
        <v>1</v>
      </c>
      <c r="CW26" s="224"/>
      <c r="CX26" s="238">
        <f>SUM(CX27:CX30)</f>
        <v>109673</v>
      </c>
      <c r="CY26" s="238">
        <f>SUM(CY27:CY30)</f>
        <v>110267</v>
      </c>
      <c r="CZ26" s="225">
        <f t="shared" si="74"/>
        <v>0.54161005899355352</v>
      </c>
      <c r="DA26" s="238">
        <v>115943</v>
      </c>
      <c r="DB26" s="238">
        <v>110267</v>
      </c>
      <c r="DC26" s="225">
        <f t="shared" si="75"/>
        <v>-4.8955090001121242</v>
      </c>
      <c r="DD26" s="73"/>
      <c r="DE26" s="191" t="s">
        <v>1</v>
      </c>
      <c r="DF26" s="191"/>
      <c r="DG26" s="192">
        <f>SUM(DG27:DG30)</f>
        <v>87788</v>
      </c>
      <c r="DH26" s="192">
        <f>SUM(DH27:DH30)</f>
        <v>115943</v>
      </c>
      <c r="DI26" s="193">
        <f t="shared" si="76"/>
        <v>32.071581537339952</v>
      </c>
      <c r="DJ26" s="192">
        <v>55851</v>
      </c>
      <c r="DK26" s="192">
        <f>SUM(DK27:DK30)</f>
        <v>115943</v>
      </c>
      <c r="DL26" s="193">
        <f t="shared" si="77"/>
        <v>107.59341820200174</v>
      </c>
      <c r="DM26" s="73"/>
      <c r="DN26" s="150" t="s">
        <v>1</v>
      </c>
      <c r="DO26" s="150"/>
      <c r="DP26" s="147">
        <f>SUM(DP27:DP30)</f>
        <v>67283</v>
      </c>
      <c r="DQ26" s="147">
        <f>SUM(DQ27:DQ30)</f>
        <v>55851</v>
      </c>
      <c r="DR26" s="151">
        <f t="shared" si="78"/>
        <v>-16.990918954267794</v>
      </c>
      <c r="DS26" s="147">
        <v>62205</v>
      </c>
      <c r="DT26" s="147">
        <v>55851</v>
      </c>
      <c r="DU26" s="151">
        <f t="shared" si="79"/>
        <v>-10.214612973233663</v>
      </c>
      <c r="DV26" s="73"/>
      <c r="DW26" s="86" t="s">
        <v>1</v>
      </c>
      <c r="DX26" s="86"/>
      <c r="DY26" s="87">
        <v>57128</v>
      </c>
      <c r="DZ26" s="87">
        <f>SUM(DZ27:DZ30)</f>
        <v>62205</v>
      </c>
      <c r="EA26" s="126">
        <f t="shared" si="80"/>
        <v>8.8870606357652999</v>
      </c>
      <c r="EB26" s="87">
        <v>40539</v>
      </c>
      <c r="EC26" s="87">
        <f>SUM(EC27:EC30)</f>
        <v>62205</v>
      </c>
      <c r="ED26" s="126">
        <f t="shared" si="81"/>
        <v>53.444830903574335</v>
      </c>
      <c r="EE26" s="127"/>
      <c r="EF26" s="63" t="s">
        <v>1</v>
      </c>
      <c r="EG26" s="63"/>
      <c r="EH26" s="68">
        <f>SUM(EH27:EH30)</f>
        <v>39713</v>
      </c>
      <c r="EI26" s="68">
        <f>SUM(EI27:EI30)</f>
        <v>40539</v>
      </c>
      <c r="EJ26" s="65">
        <f t="shared" si="55"/>
        <v>2.079923450759197</v>
      </c>
      <c r="EK26" s="68">
        <f>SUM(EK27:EK30)</f>
        <v>54910</v>
      </c>
      <c r="EL26" s="68">
        <v>40539</v>
      </c>
      <c r="EM26" s="65">
        <f t="shared" si="56"/>
        <v>-26.171917683482061</v>
      </c>
      <c r="EN26" s="73"/>
      <c r="EO26" s="86" t="s">
        <v>1</v>
      </c>
      <c r="EP26" s="86"/>
      <c r="EQ26" s="87">
        <f>SUM(EQ27:EQ30)</f>
        <v>54479</v>
      </c>
      <c r="ER26" s="87">
        <v>54910</v>
      </c>
      <c r="ES26" s="88">
        <f t="shared" si="57"/>
        <v>0.79113052735916589</v>
      </c>
      <c r="ET26" s="87">
        <v>51364</v>
      </c>
      <c r="EU26" s="87">
        <v>54910</v>
      </c>
      <c r="EV26" s="88">
        <f t="shared" si="58"/>
        <v>6.9036679386340634</v>
      </c>
      <c r="EW26" s="73"/>
      <c r="EX26" s="63" t="s">
        <v>1</v>
      </c>
      <c r="EY26" s="63"/>
      <c r="EZ26" s="68">
        <f>SUM(EZ27:EZ30)</f>
        <v>49658</v>
      </c>
      <c r="FA26" s="68">
        <v>51364</v>
      </c>
      <c r="FB26" s="65">
        <f t="shared" si="59"/>
        <v>3.4354988118732126</v>
      </c>
      <c r="FC26" s="68">
        <v>55700</v>
      </c>
      <c r="FD26" s="68">
        <v>51364</v>
      </c>
      <c r="FE26" s="65">
        <f t="shared" si="60"/>
        <v>-7.7845601436265701</v>
      </c>
      <c r="FF26" s="73"/>
    </row>
    <row r="27" spans="1:162" x14ac:dyDescent="0.5">
      <c r="A27" s="168"/>
      <c r="B27" s="168" t="s">
        <v>51</v>
      </c>
      <c r="C27" s="169">
        <f>C26-C28-C29-C30</f>
        <v>17917</v>
      </c>
      <c r="D27" s="169">
        <f>D26-D28-D29-D30</f>
        <v>21935</v>
      </c>
      <c r="E27" s="167">
        <f t="shared" si="61"/>
        <v>22.425629290617849</v>
      </c>
      <c r="F27" s="169">
        <v>18686</v>
      </c>
      <c r="G27" s="166">
        <f t="shared" si="62"/>
        <v>21935</v>
      </c>
      <c r="H27" s="167">
        <f t="shared" si="82"/>
        <v>17.38734881729637</v>
      </c>
      <c r="I27" s="168"/>
      <c r="J27" s="168" t="s">
        <v>51</v>
      </c>
      <c r="K27" s="169">
        <v>17288</v>
      </c>
      <c r="L27" s="169">
        <v>18686</v>
      </c>
      <c r="M27" s="167">
        <f t="shared" si="63"/>
        <v>8.0865340120314677</v>
      </c>
      <c r="N27" s="169">
        <v>25985</v>
      </c>
      <c r="O27" s="169">
        <v>18686</v>
      </c>
      <c r="P27" s="167">
        <f t="shared" si="83"/>
        <v>-28.089282278237445</v>
      </c>
      <c r="Q27" s="168"/>
      <c r="R27" s="168" t="s">
        <v>51</v>
      </c>
      <c r="S27" s="169">
        <v>20203</v>
      </c>
      <c r="T27" s="169">
        <v>25985</v>
      </c>
      <c r="U27" s="167">
        <f t="shared" si="64"/>
        <v>28.619511953670244</v>
      </c>
      <c r="V27" s="169">
        <v>20084</v>
      </c>
      <c r="W27" s="169">
        <v>25985</v>
      </c>
      <c r="X27" s="167">
        <f t="shared" si="84"/>
        <v>29.38159729137622</v>
      </c>
      <c r="Y27" s="168"/>
      <c r="Z27" s="168" t="s">
        <v>51</v>
      </c>
      <c r="AA27" s="169">
        <v>20492</v>
      </c>
      <c r="AB27" s="169">
        <v>20084</v>
      </c>
      <c r="AC27" s="167">
        <f t="shared" si="65"/>
        <v>-1.9910208861994925</v>
      </c>
      <c r="AD27" s="169">
        <v>15569</v>
      </c>
      <c r="AE27" s="169">
        <v>20084</v>
      </c>
      <c r="AF27" s="167">
        <f t="shared" si="85"/>
        <v>28.999935769798956</v>
      </c>
      <c r="AG27" s="168"/>
      <c r="AH27" s="168" t="s">
        <v>51</v>
      </c>
      <c r="AI27" s="169">
        <v>16988</v>
      </c>
      <c r="AJ27" s="169">
        <v>15569</v>
      </c>
      <c r="AK27" s="167">
        <f t="shared" si="66"/>
        <v>-8.3529550270779378</v>
      </c>
      <c r="AL27" s="169">
        <v>11733</v>
      </c>
      <c r="AM27" s="169">
        <v>15569</v>
      </c>
      <c r="AN27" s="167">
        <f t="shared" si="86"/>
        <v>32.694110628142845</v>
      </c>
      <c r="AO27" s="168"/>
      <c r="AP27" s="168" t="s">
        <v>51</v>
      </c>
      <c r="AQ27" s="169">
        <v>8830</v>
      </c>
      <c r="AR27" s="169">
        <v>11733</v>
      </c>
      <c r="AS27" s="167">
        <f t="shared" si="67"/>
        <v>32.876557191392983</v>
      </c>
      <c r="AT27" s="169">
        <v>33580</v>
      </c>
      <c r="AU27" s="169">
        <v>11733</v>
      </c>
      <c r="AV27" s="167">
        <f t="shared" si="87"/>
        <v>-65.059559261465154</v>
      </c>
      <c r="AW27" s="168"/>
      <c r="AX27" s="168" t="s">
        <v>51</v>
      </c>
      <c r="AY27" s="169">
        <v>34931</v>
      </c>
      <c r="AZ27" s="169">
        <v>33580</v>
      </c>
      <c r="BA27" s="167">
        <f t="shared" si="68"/>
        <v>-3.8676247459276865</v>
      </c>
      <c r="BB27" s="169">
        <v>33160</v>
      </c>
      <c r="BC27" s="169">
        <v>33580</v>
      </c>
      <c r="BD27" s="167">
        <f t="shared" si="88"/>
        <v>1.2665862484921593</v>
      </c>
      <c r="BE27" s="168"/>
      <c r="BF27" s="168" t="s">
        <v>51</v>
      </c>
      <c r="BG27" s="169">
        <v>29888</v>
      </c>
      <c r="BH27" s="169">
        <v>33160</v>
      </c>
      <c r="BI27" s="167">
        <f t="shared" si="69"/>
        <v>10.947537473233403</v>
      </c>
      <c r="BJ27" s="169">
        <v>26154</v>
      </c>
      <c r="BK27" s="169">
        <v>33160</v>
      </c>
      <c r="BL27" s="167">
        <f t="shared" si="50"/>
        <v>26.78748948535597</v>
      </c>
      <c r="BM27" s="168"/>
      <c r="BN27" s="168" t="s">
        <v>51</v>
      </c>
      <c r="BO27" s="169">
        <v>25493</v>
      </c>
      <c r="BP27" s="169">
        <v>26154</v>
      </c>
      <c r="BQ27" s="167">
        <f t="shared" si="70"/>
        <v>2.5928686306044795</v>
      </c>
      <c r="BR27" s="169">
        <v>25050</v>
      </c>
      <c r="BS27" s="169">
        <v>26154</v>
      </c>
      <c r="BT27" s="167">
        <f t="shared" si="51"/>
        <v>4.4071856287425151</v>
      </c>
      <c r="BU27" s="168"/>
      <c r="BV27" s="168" t="s">
        <v>51</v>
      </c>
      <c r="BW27" s="169">
        <v>20687</v>
      </c>
      <c r="BX27" s="169">
        <v>25050</v>
      </c>
      <c r="BY27" s="167">
        <f t="shared" si="71"/>
        <v>21.090539952627253</v>
      </c>
      <c r="BZ27" s="169">
        <v>23139</v>
      </c>
      <c r="CA27" s="169">
        <v>25050</v>
      </c>
      <c r="CB27" s="167">
        <f t="shared" si="52"/>
        <v>8.2587838713859725</v>
      </c>
      <c r="CD27" s="168"/>
      <c r="CE27" s="168" t="s">
        <v>51</v>
      </c>
      <c r="CF27" s="169">
        <v>23470</v>
      </c>
      <c r="CG27" s="169">
        <v>23139</v>
      </c>
      <c r="CH27" s="167">
        <f t="shared" si="72"/>
        <v>-1.4103110353642949</v>
      </c>
      <c r="CI27" s="169">
        <v>29330</v>
      </c>
      <c r="CJ27" s="169">
        <v>23139</v>
      </c>
      <c r="CK27" s="167">
        <f t="shared" si="53"/>
        <v>-21.108080463689056</v>
      </c>
      <c r="CM27" s="168"/>
      <c r="CN27" s="168" t="s">
        <v>51</v>
      </c>
      <c r="CO27" s="169">
        <v>31168</v>
      </c>
      <c r="CP27" s="169">
        <v>29330</v>
      </c>
      <c r="CQ27" s="167">
        <f t="shared" si="73"/>
        <v>-5.8970739219712529</v>
      </c>
      <c r="CR27" s="169">
        <v>51469</v>
      </c>
      <c r="CS27" s="169">
        <v>29330</v>
      </c>
      <c r="CT27" s="167">
        <f t="shared" si="54"/>
        <v>-43.014241582311683</v>
      </c>
      <c r="CU27" s="73"/>
      <c r="CV27" s="226"/>
      <c r="CW27" s="226" t="s">
        <v>51</v>
      </c>
      <c r="CX27" s="227">
        <v>47511</v>
      </c>
      <c r="CY27" s="227">
        <v>51469</v>
      </c>
      <c r="CZ27" s="225">
        <f t="shared" si="74"/>
        <v>8.3307023636631516</v>
      </c>
      <c r="DA27" s="227">
        <v>55983</v>
      </c>
      <c r="DB27" s="227">
        <v>51469</v>
      </c>
      <c r="DC27" s="225">
        <f t="shared" si="75"/>
        <v>-8.0631620313309398</v>
      </c>
      <c r="DD27" s="73"/>
      <c r="DE27" s="194"/>
      <c r="DF27" s="194" t="s">
        <v>51</v>
      </c>
      <c r="DG27" s="195">
        <v>38656</v>
      </c>
      <c r="DH27" s="195">
        <v>55983</v>
      </c>
      <c r="DI27" s="193">
        <f t="shared" si="76"/>
        <v>44.823572019867548</v>
      </c>
      <c r="DJ27" s="195">
        <v>23576</v>
      </c>
      <c r="DK27" s="195">
        <v>55983</v>
      </c>
      <c r="DL27" s="193">
        <f t="shared" si="77"/>
        <v>137.45758398371223</v>
      </c>
      <c r="DM27" s="73"/>
      <c r="DN27" s="152"/>
      <c r="DO27" s="152" t="s">
        <v>51</v>
      </c>
      <c r="DP27" s="148">
        <v>30953</v>
      </c>
      <c r="DQ27" s="148">
        <v>23576</v>
      </c>
      <c r="DR27" s="151">
        <f t="shared" si="78"/>
        <v>-23.832907957225473</v>
      </c>
      <c r="DS27" s="148">
        <v>27808</v>
      </c>
      <c r="DT27" s="148">
        <v>23576</v>
      </c>
      <c r="DU27" s="151">
        <f t="shared" si="79"/>
        <v>-15.218642117376294</v>
      </c>
      <c r="DV27" s="73"/>
      <c r="DW27" s="89"/>
      <c r="DX27" s="89" t="s">
        <v>51</v>
      </c>
      <c r="DY27" s="90">
        <v>26274</v>
      </c>
      <c r="DZ27" s="90">
        <f>23977+2306+947+578</f>
        <v>27808</v>
      </c>
      <c r="EA27" s="129">
        <f t="shared" si="80"/>
        <v>5.8384714927304557</v>
      </c>
      <c r="EB27" s="90">
        <v>17361</v>
      </c>
      <c r="EC27" s="90">
        <f>23977+2306+947+578</f>
        <v>27808</v>
      </c>
      <c r="ED27" s="129">
        <f t="shared" si="81"/>
        <v>60.175105120672768</v>
      </c>
      <c r="EE27" s="130"/>
      <c r="EF27" s="42"/>
      <c r="EG27" s="42" t="s">
        <v>51</v>
      </c>
      <c r="EH27" s="43">
        <v>15981</v>
      </c>
      <c r="EI27" s="43">
        <v>17361</v>
      </c>
      <c r="EJ27" s="44">
        <f t="shared" si="55"/>
        <v>8.6352543645579125</v>
      </c>
      <c r="EK27" s="45">
        <v>21255</v>
      </c>
      <c r="EL27" s="43">
        <v>17361</v>
      </c>
      <c r="EM27" s="44">
        <f t="shared" si="56"/>
        <v>-18.320395201129148</v>
      </c>
      <c r="EN27" s="61"/>
      <c r="EO27" s="89"/>
      <c r="EP27" s="89" t="s">
        <v>51</v>
      </c>
      <c r="EQ27" s="90">
        <v>15170</v>
      </c>
      <c r="ER27" s="90">
        <f>17680+2313+869+393</f>
        <v>21255</v>
      </c>
      <c r="ES27" s="91">
        <f t="shared" si="57"/>
        <v>40.112063282794992</v>
      </c>
      <c r="ET27" s="92">
        <v>16422</v>
      </c>
      <c r="EU27" s="90">
        <v>21255</v>
      </c>
      <c r="EV27" s="91">
        <f t="shared" si="58"/>
        <v>29.430032882718304</v>
      </c>
      <c r="EW27" s="61"/>
      <c r="EX27" s="42"/>
      <c r="EY27" s="42" t="s">
        <v>51</v>
      </c>
      <c r="EZ27" s="43">
        <v>13343</v>
      </c>
      <c r="FA27" s="43">
        <v>16422</v>
      </c>
      <c r="FB27" s="44">
        <f t="shared" si="59"/>
        <v>23.075770066701644</v>
      </c>
      <c r="FC27" s="45">
        <v>17227</v>
      </c>
      <c r="FD27" s="43">
        <v>16422</v>
      </c>
      <c r="FE27" s="44">
        <f t="shared" si="60"/>
        <v>-4.6728971962616823</v>
      </c>
      <c r="FF27" s="61"/>
    </row>
    <row r="28" spans="1:162" x14ac:dyDescent="0.5">
      <c r="A28" s="168"/>
      <c r="B28" s="168" t="s">
        <v>52</v>
      </c>
      <c r="C28" s="169">
        <v>11017</v>
      </c>
      <c r="D28" s="169">
        <v>11234</v>
      </c>
      <c r="E28" s="167">
        <f t="shared" si="61"/>
        <v>1.9696832168466916</v>
      </c>
      <c r="F28" s="169">
        <v>14832</v>
      </c>
      <c r="G28" s="166">
        <f t="shared" si="62"/>
        <v>11234</v>
      </c>
      <c r="H28" s="167">
        <f t="shared" si="82"/>
        <v>-24.258360302049624</v>
      </c>
      <c r="I28" s="168"/>
      <c r="J28" s="168" t="s">
        <v>52</v>
      </c>
      <c r="K28" s="169">
        <v>14067</v>
      </c>
      <c r="L28" s="169">
        <v>14832</v>
      </c>
      <c r="M28" s="167">
        <f t="shared" si="63"/>
        <v>5.4382597568777991</v>
      </c>
      <c r="N28" s="169">
        <v>22427</v>
      </c>
      <c r="O28" s="169">
        <v>14832</v>
      </c>
      <c r="P28" s="167">
        <f t="shared" si="83"/>
        <v>-33.865430061978863</v>
      </c>
      <c r="Q28" s="168"/>
      <c r="R28" s="168" t="s">
        <v>52</v>
      </c>
      <c r="S28" s="169">
        <v>21874</v>
      </c>
      <c r="T28" s="169">
        <v>22427</v>
      </c>
      <c r="U28" s="167">
        <f t="shared" si="64"/>
        <v>2.5281155709975316</v>
      </c>
      <c r="V28" s="169">
        <v>29237</v>
      </c>
      <c r="W28" s="169">
        <v>22427</v>
      </c>
      <c r="X28" s="167">
        <f t="shared" si="84"/>
        <v>-23.292403461367446</v>
      </c>
      <c r="Y28" s="168"/>
      <c r="Z28" s="168" t="s">
        <v>52</v>
      </c>
      <c r="AA28" s="169">
        <v>29070</v>
      </c>
      <c r="AB28" s="169">
        <v>29237</v>
      </c>
      <c r="AC28" s="167">
        <f t="shared" si="65"/>
        <v>0.57447540419676646</v>
      </c>
      <c r="AD28" s="169">
        <v>27739</v>
      </c>
      <c r="AE28" s="169">
        <v>29237</v>
      </c>
      <c r="AF28" s="167">
        <f t="shared" si="85"/>
        <v>5.4003388730668007</v>
      </c>
      <c r="AG28" s="168"/>
      <c r="AH28" s="168" t="s">
        <v>52</v>
      </c>
      <c r="AI28" s="169">
        <v>27458</v>
      </c>
      <c r="AJ28" s="169">
        <v>27739</v>
      </c>
      <c r="AK28" s="167">
        <f t="shared" si="66"/>
        <v>1.0233811639595018</v>
      </c>
      <c r="AL28" s="169">
        <v>20567</v>
      </c>
      <c r="AM28" s="169">
        <v>27739</v>
      </c>
      <c r="AN28" s="167">
        <f t="shared" si="86"/>
        <v>34.871395925511742</v>
      </c>
      <c r="AO28" s="168"/>
      <c r="AP28" s="168" t="s">
        <v>52</v>
      </c>
      <c r="AQ28" s="169">
        <v>15158</v>
      </c>
      <c r="AR28" s="169">
        <v>20567</v>
      </c>
      <c r="AS28" s="167">
        <f t="shared" si="67"/>
        <v>35.684127193561153</v>
      </c>
      <c r="AT28" s="169">
        <v>38686</v>
      </c>
      <c r="AU28" s="169">
        <v>20567</v>
      </c>
      <c r="AV28" s="167">
        <f t="shared" si="87"/>
        <v>-46.836064726257561</v>
      </c>
      <c r="AW28" s="168"/>
      <c r="AX28" s="168" t="s">
        <v>52</v>
      </c>
      <c r="AY28" s="169">
        <v>36257</v>
      </c>
      <c r="AZ28" s="169">
        <v>38686</v>
      </c>
      <c r="BA28" s="167">
        <f t="shared" si="68"/>
        <v>6.6993959787075603</v>
      </c>
      <c r="BB28" s="169">
        <v>35647</v>
      </c>
      <c r="BC28" s="169">
        <v>38686</v>
      </c>
      <c r="BD28" s="167">
        <f t="shared" si="88"/>
        <v>8.525261592840911</v>
      </c>
      <c r="BE28" s="168"/>
      <c r="BF28" s="168" t="s">
        <v>52</v>
      </c>
      <c r="BG28" s="169">
        <v>33204</v>
      </c>
      <c r="BH28" s="169">
        <v>35647</v>
      </c>
      <c r="BI28" s="167">
        <f t="shared" si="69"/>
        <v>7.3575472834598239</v>
      </c>
      <c r="BJ28" s="169">
        <v>27688</v>
      </c>
      <c r="BK28" s="169">
        <v>35647</v>
      </c>
      <c r="BL28" s="167">
        <f t="shared" si="50"/>
        <v>28.745304825195028</v>
      </c>
      <c r="BM28" s="168"/>
      <c r="BN28" s="168" t="s">
        <v>52</v>
      </c>
      <c r="BO28" s="169">
        <v>26146</v>
      </c>
      <c r="BP28" s="169">
        <v>27688</v>
      </c>
      <c r="BQ28" s="167">
        <f t="shared" si="70"/>
        <v>5.8976516484357075</v>
      </c>
      <c r="BR28" s="169">
        <v>28904</v>
      </c>
      <c r="BS28" s="169">
        <v>27688</v>
      </c>
      <c r="BT28" s="167">
        <f t="shared" si="51"/>
        <v>-4.2070301688347636</v>
      </c>
      <c r="BU28" s="168"/>
      <c r="BV28" s="168" t="s">
        <v>52</v>
      </c>
      <c r="BW28" s="169">
        <v>23019</v>
      </c>
      <c r="BX28" s="169">
        <v>28904</v>
      </c>
      <c r="BY28" s="167">
        <f t="shared" si="71"/>
        <v>25.565836917329165</v>
      </c>
      <c r="BZ28" s="169">
        <v>23267</v>
      </c>
      <c r="CA28" s="169">
        <v>28904</v>
      </c>
      <c r="CB28" s="167">
        <f t="shared" si="52"/>
        <v>24.227446598186273</v>
      </c>
      <c r="CD28" s="168"/>
      <c r="CE28" s="168" t="s">
        <v>52</v>
      </c>
      <c r="CF28" s="169">
        <v>20211</v>
      </c>
      <c r="CG28" s="169">
        <v>23267</v>
      </c>
      <c r="CH28" s="167">
        <f t="shared" si="72"/>
        <v>15.12047894710801</v>
      </c>
      <c r="CI28" s="169">
        <v>28841</v>
      </c>
      <c r="CJ28" s="169">
        <v>23267</v>
      </c>
      <c r="CK28" s="167">
        <f t="shared" si="53"/>
        <v>-19.326653028674457</v>
      </c>
      <c r="CM28" s="168"/>
      <c r="CN28" s="168" t="s">
        <v>52</v>
      </c>
      <c r="CO28" s="169">
        <v>30292</v>
      </c>
      <c r="CP28" s="169">
        <v>28841</v>
      </c>
      <c r="CQ28" s="167">
        <f t="shared" si="73"/>
        <v>-4.7900435758616133</v>
      </c>
      <c r="CR28" s="169">
        <v>45128</v>
      </c>
      <c r="CS28" s="169">
        <v>28841</v>
      </c>
      <c r="CT28" s="167">
        <f t="shared" si="54"/>
        <v>-36.090675412160969</v>
      </c>
      <c r="CU28" s="73"/>
      <c r="CV28" s="226"/>
      <c r="CW28" s="226" t="s">
        <v>52</v>
      </c>
      <c r="CX28" s="227">
        <v>48052</v>
      </c>
      <c r="CY28" s="227">
        <v>45128</v>
      </c>
      <c r="CZ28" s="225">
        <f t="shared" si="74"/>
        <v>-6.0850745026221595</v>
      </c>
      <c r="DA28" s="227">
        <v>47445</v>
      </c>
      <c r="DB28" s="227">
        <v>45128</v>
      </c>
      <c r="DC28" s="225">
        <f t="shared" si="75"/>
        <v>-4.8835493729581616</v>
      </c>
      <c r="DD28" s="73"/>
      <c r="DE28" s="194"/>
      <c r="DF28" s="194" t="s">
        <v>52</v>
      </c>
      <c r="DG28" s="195">
        <v>37148</v>
      </c>
      <c r="DH28" s="195">
        <v>47445</v>
      </c>
      <c r="DI28" s="193">
        <f t="shared" si="76"/>
        <v>27.718854312479813</v>
      </c>
      <c r="DJ28" s="195">
        <v>24442</v>
      </c>
      <c r="DK28" s="195">
        <v>47445</v>
      </c>
      <c r="DL28" s="193">
        <f t="shared" si="77"/>
        <v>94.112593077489564</v>
      </c>
      <c r="DM28" s="73"/>
      <c r="DN28" s="152"/>
      <c r="DO28" s="152" t="s">
        <v>52</v>
      </c>
      <c r="DP28" s="148">
        <v>28191</v>
      </c>
      <c r="DQ28" s="148">
        <v>24442</v>
      </c>
      <c r="DR28" s="151">
        <f t="shared" si="78"/>
        <v>-13.29857046575148</v>
      </c>
      <c r="DS28" s="148">
        <v>26081</v>
      </c>
      <c r="DT28" s="148">
        <v>24442</v>
      </c>
      <c r="DU28" s="151">
        <f t="shared" si="79"/>
        <v>-6.2842682412484185</v>
      </c>
      <c r="DV28" s="73"/>
      <c r="DW28" s="89"/>
      <c r="DX28" s="89" t="s">
        <v>52</v>
      </c>
      <c r="DY28" s="90">
        <v>22550</v>
      </c>
      <c r="DZ28" s="90">
        <f>29119-3038</f>
        <v>26081</v>
      </c>
      <c r="EA28" s="129">
        <f t="shared" si="80"/>
        <v>15.658536585365853</v>
      </c>
      <c r="EB28" s="90">
        <v>18076</v>
      </c>
      <c r="EC28" s="90">
        <f>29119-3038</f>
        <v>26081</v>
      </c>
      <c r="ED28" s="129">
        <f t="shared" si="81"/>
        <v>44.285240097366675</v>
      </c>
      <c r="EE28" s="130"/>
      <c r="EF28" s="42"/>
      <c r="EG28" s="42" t="s">
        <v>52</v>
      </c>
      <c r="EH28" s="43">
        <v>18901</v>
      </c>
      <c r="EI28" s="43">
        <f>20209-2133</f>
        <v>18076</v>
      </c>
      <c r="EJ28" s="44">
        <f t="shared" si="55"/>
        <v>-4.3648484207184808</v>
      </c>
      <c r="EK28" s="45">
        <v>27106</v>
      </c>
      <c r="EL28" s="43">
        <v>18076</v>
      </c>
      <c r="EM28" s="44">
        <f t="shared" si="56"/>
        <v>-33.313657492806023</v>
      </c>
      <c r="EN28" s="61"/>
      <c r="EO28" s="89"/>
      <c r="EP28" s="89" t="s">
        <v>52</v>
      </c>
      <c r="EQ28" s="90">
        <v>32338</v>
      </c>
      <c r="ER28" s="90">
        <f>29133-2027</f>
        <v>27106</v>
      </c>
      <c r="ES28" s="91">
        <f t="shared" si="57"/>
        <v>-16.179108169954851</v>
      </c>
      <c r="ET28" s="92">
        <v>28711</v>
      </c>
      <c r="EU28" s="90">
        <v>27106</v>
      </c>
      <c r="EV28" s="91">
        <f t="shared" si="58"/>
        <v>-5.5901919125074011</v>
      </c>
      <c r="EW28" s="61"/>
      <c r="EX28" s="42"/>
      <c r="EY28" s="42" t="s">
        <v>52</v>
      </c>
      <c r="EZ28" s="43">
        <v>30212</v>
      </c>
      <c r="FA28" s="43">
        <v>28711</v>
      </c>
      <c r="FB28" s="44">
        <f t="shared" si="59"/>
        <v>-4.9682245465377992</v>
      </c>
      <c r="FC28" s="45">
        <v>33121</v>
      </c>
      <c r="FD28" s="43">
        <v>28711</v>
      </c>
      <c r="FE28" s="44">
        <f t="shared" si="60"/>
        <v>-13.314815373931946</v>
      </c>
      <c r="FF28" s="61"/>
    </row>
    <row r="29" spans="1:162" x14ac:dyDescent="0.5">
      <c r="A29" s="168"/>
      <c r="B29" s="168" t="s">
        <v>53</v>
      </c>
      <c r="C29" s="169">
        <v>2182</v>
      </c>
      <c r="D29" s="169">
        <v>2336</v>
      </c>
      <c r="E29" s="167">
        <f t="shared" si="61"/>
        <v>7.0577451879010082</v>
      </c>
      <c r="F29" s="169">
        <v>2541</v>
      </c>
      <c r="G29" s="166">
        <f t="shared" si="62"/>
        <v>2336</v>
      </c>
      <c r="H29" s="167">
        <f t="shared" si="82"/>
        <v>-8.0676898858717045</v>
      </c>
      <c r="I29" s="168"/>
      <c r="J29" s="168" t="s">
        <v>53</v>
      </c>
      <c r="K29" s="169">
        <v>1971</v>
      </c>
      <c r="L29" s="169">
        <v>2541</v>
      </c>
      <c r="M29" s="167">
        <f t="shared" si="63"/>
        <v>28.919330289193301</v>
      </c>
      <c r="N29" s="169">
        <v>3369</v>
      </c>
      <c r="O29" s="169">
        <v>2541</v>
      </c>
      <c r="P29" s="167">
        <f t="shared" si="83"/>
        <v>-24.577025823686554</v>
      </c>
      <c r="Q29" s="168"/>
      <c r="R29" s="168" t="s">
        <v>53</v>
      </c>
      <c r="S29" s="169">
        <v>3334</v>
      </c>
      <c r="T29" s="169">
        <v>3369</v>
      </c>
      <c r="U29" s="167">
        <f t="shared" si="64"/>
        <v>1.0497900419916015</v>
      </c>
      <c r="V29" s="169">
        <v>3903</v>
      </c>
      <c r="W29" s="169">
        <v>3369</v>
      </c>
      <c r="X29" s="167">
        <f t="shared" si="84"/>
        <v>-13.681783243658725</v>
      </c>
      <c r="Y29" s="168"/>
      <c r="Z29" s="168" t="s">
        <v>53</v>
      </c>
      <c r="AA29" s="169">
        <v>3469</v>
      </c>
      <c r="AB29" s="169">
        <v>3903</v>
      </c>
      <c r="AC29" s="167">
        <f t="shared" si="65"/>
        <v>12.510810031709427</v>
      </c>
      <c r="AD29" s="169">
        <v>3323</v>
      </c>
      <c r="AE29" s="169">
        <v>3903</v>
      </c>
      <c r="AF29" s="167">
        <f t="shared" si="85"/>
        <v>17.454107733975324</v>
      </c>
      <c r="AG29" s="168"/>
      <c r="AH29" s="168" t="s">
        <v>53</v>
      </c>
      <c r="AI29" s="169">
        <v>2997</v>
      </c>
      <c r="AJ29" s="169">
        <v>3323</v>
      </c>
      <c r="AK29" s="167">
        <f t="shared" si="66"/>
        <v>10.877544210877545</v>
      </c>
      <c r="AL29" s="169">
        <v>2466</v>
      </c>
      <c r="AM29" s="169">
        <v>3323</v>
      </c>
      <c r="AN29" s="167">
        <f t="shared" si="86"/>
        <v>34.752635847526356</v>
      </c>
      <c r="AO29" s="168"/>
      <c r="AP29" s="168" t="s">
        <v>53</v>
      </c>
      <c r="AQ29" s="169">
        <v>2253</v>
      </c>
      <c r="AR29" s="169">
        <v>2466</v>
      </c>
      <c r="AS29" s="167">
        <f t="shared" si="67"/>
        <v>9.4540612516644469</v>
      </c>
      <c r="AT29" s="169">
        <v>4290</v>
      </c>
      <c r="AU29" s="169">
        <v>2466</v>
      </c>
      <c r="AV29" s="167">
        <f t="shared" si="87"/>
        <v>-42.51748251748252</v>
      </c>
      <c r="AW29" s="168"/>
      <c r="AX29" s="168" t="s">
        <v>53</v>
      </c>
      <c r="AY29" s="169">
        <v>3400</v>
      </c>
      <c r="AZ29" s="169">
        <v>4290</v>
      </c>
      <c r="BA29" s="167">
        <f t="shared" si="68"/>
        <v>26.176470588235297</v>
      </c>
      <c r="BB29" s="169">
        <v>3828</v>
      </c>
      <c r="BC29" s="169">
        <v>4290</v>
      </c>
      <c r="BD29" s="167">
        <f t="shared" si="88"/>
        <v>12.068965517241379</v>
      </c>
      <c r="BE29" s="168"/>
      <c r="BF29" s="168" t="s">
        <v>53</v>
      </c>
      <c r="BG29" s="169">
        <v>3914</v>
      </c>
      <c r="BH29" s="169">
        <v>3828</v>
      </c>
      <c r="BI29" s="167">
        <f t="shared" si="69"/>
        <v>-2.1972406745017885</v>
      </c>
      <c r="BJ29" s="169">
        <v>3457</v>
      </c>
      <c r="BK29" s="169">
        <v>3828</v>
      </c>
      <c r="BL29" s="167">
        <f t="shared" si="50"/>
        <v>10.731848423488573</v>
      </c>
      <c r="BM29" s="168"/>
      <c r="BN29" s="168" t="s">
        <v>53</v>
      </c>
      <c r="BO29" s="169">
        <v>3507</v>
      </c>
      <c r="BP29" s="169">
        <v>3457</v>
      </c>
      <c r="BQ29" s="167">
        <f t="shared" si="70"/>
        <v>-1.4257199885942402</v>
      </c>
      <c r="BR29" s="169">
        <v>3210</v>
      </c>
      <c r="BS29" s="169">
        <v>3457</v>
      </c>
      <c r="BT29" s="167">
        <f t="shared" si="51"/>
        <v>7.6947040498442369</v>
      </c>
      <c r="BU29" s="168"/>
      <c r="BV29" s="168" t="s">
        <v>53</v>
      </c>
      <c r="BW29" s="169">
        <v>3143</v>
      </c>
      <c r="BX29" s="169">
        <v>3210</v>
      </c>
      <c r="BY29" s="167">
        <f t="shared" si="71"/>
        <v>2.1317212853961185</v>
      </c>
      <c r="BZ29" s="169">
        <v>3804</v>
      </c>
      <c r="CA29" s="169">
        <v>3210</v>
      </c>
      <c r="CB29" s="167">
        <f t="shared" si="52"/>
        <v>-15.615141955835963</v>
      </c>
      <c r="CD29" s="168"/>
      <c r="CE29" s="168" t="s">
        <v>53</v>
      </c>
      <c r="CF29" s="169">
        <v>3710</v>
      </c>
      <c r="CG29" s="169">
        <v>3804</v>
      </c>
      <c r="CH29" s="167">
        <f t="shared" si="72"/>
        <v>2.5336927223719679</v>
      </c>
      <c r="CI29" s="169">
        <v>3818</v>
      </c>
      <c r="CJ29" s="169">
        <v>3804</v>
      </c>
      <c r="CK29" s="167">
        <f t="shared" si="53"/>
        <v>-0.36668412781561027</v>
      </c>
      <c r="CM29" s="168"/>
      <c r="CN29" s="168" t="s">
        <v>53</v>
      </c>
      <c r="CO29" s="169">
        <v>3884</v>
      </c>
      <c r="CP29" s="169">
        <v>3818</v>
      </c>
      <c r="CQ29" s="167">
        <f t="shared" si="73"/>
        <v>-1.6992790937178166</v>
      </c>
      <c r="CR29" s="169">
        <v>6530</v>
      </c>
      <c r="CS29" s="169">
        <v>3818</v>
      </c>
      <c r="CT29" s="167">
        <f t="shared" si="54"/>
        <v>-41.53139356814701</v>
      </c>
      <c r="CU29" s="73"/>
      <c r="CV29" s="226"/>
      <c r="CW29" s="226" t="s">
        <v>53</v>
      </c>
      <c r="CX29" s="227">
        <v>6914</v>
      </c>
      <c r="CY29" s="227">
        <v>6530</v>
      </c>
      <c r="CZ29" s="225">
        <f t="shared" si="74"/>
        <v>-5.55394851026902</v>
      </c>
      <c r="DA29" s="227">
        <v>5939</v>
      </c>
      <c r="DB29" s="227">
        <v>6530</v>
      </c>
      <c r="DC29" s="225">
        <f t="shared" si="75"/>
        <v>9.9511702306785654</v>
      </c>
      <c r="DD29" s="73"/>
      <c r="DE29" s="194"/>
      <c r="DF29" s="194" t="s">
        <v>53</v>
      </c>
      <c r="DG29" s="195">
        <v>5715</v>
      </c>
      <c r="DH29" s="195">
        <v>5939</v>
      </c>
      <c r="DI29" s="193">
        <f t="shared" si="76"/>
        <v>3.9195100612423448</v>
      </c>
      <c r="DJ29" s="195">
        <v>3839</v>
      </c>
      <c r="DK29" s="195">
        <v>5939</v>
      </c>
      <c r="DL29" s="193">
        <f t="shared" si="77"/>
        <v>54.701745246157849</v>
      </c>
      <c r="DM29" s="73"/>
      <c r="DN29" s="152"/>
      <c r="DO29" s="152" t="s">
        <v>53</v>
      </c>
      <c r="DP29" s="148">
        <v>3821</v>
      </c>
      <c r="DQ29" s="148">
        <v>3839</v>
      </c>
      <c r="DR29" s="151">
        <f t="shared" si="78"/>
        <v>0.47108086888249151</v>
      </c>
      <c r="DS29" s="148">
        <v>3978</v>
      </c>
      <c r="DT29" s="148">
        <v>3839</v>
      </c>
      <c r="DU29" s="151">
        <f t="shared" si="79"/>
        <v>-3.4942182001005531</v>
      </c>
      <c r="DV29" s="73"/>
      <c r="DW29" s="89"/>
      <c r="DX29" s="89" t="s">
        <v>53</v>
      </c>
      <c r="DY29" s="90">
        <v>3825</v>
      </c>
      <c r="DZ29" s="90">
        <f>1885+313+656+1089+35</f>
        <v>3978</v>
      </c>
      <c r="EA29" s="129">
        <f t="shared" si="80"/>
        <v>4</v>
      </c>
      <c r="EB29" s="90">
        <v>2403</v>
      </c>
      <c r="EC29" s="90">
        <f>1885+313+656+1089+35</f>
        <v>3978</v>
      </c>
      <c r="ED29" s="129">
        <f t="shared" si="81"/>
        <v>65.543071161048687</v>
      </c>
      <c r="EE29" s="130"/>
      <c r="EF29" s="42"/>
      <c r="EG29" s="42" t="s">
        <v>53</v>
      </c>
      <c r="EH29" s="43">
        <v>2287</v>
      </c>
      <c r="EI29" s="43">
        <f>1063+166+426+729+19</f>
        <v>2403</v>
      </c>
      <c r="EJ29" s="44">
        <f t="shared" si="55"/>
        <v>5.0721469173589853</v>
      </c>
      <c r="EK29" s="45">
        <v>3361</v>
      </c>
      <c r="EL29" s="43">
        <v>2403</v>
      </c>
      <c r="EM29" s="44">
        <f t="shared" si="56"/>
        <v>-28.503421600714073</v>
      </c>
      <c r="EN29" s="61"/>
      <c r="EO29" s="89"/>
      <c r="EP29" s="89" t="s">
        <v>53</v>
      </c>
      <c r="EQ29" s="90">
        <v>3455</v>
      </c>
      <c r="ER29" s="90">
        <f>1408+701+501+693+58</f>
        <v>3361</v>
      </c>
      <c r="ES29" s="91">
        <f t="shared" si="57"/>
        <v>-2.7206946454413896</v>
      </c>
      <c r="ET29" s="92">
        <v>3136</v>
      </c>
      <c r="EU29" s="90">
        <v>3361</v>
      </c>
      <c r="EV29" s="91">
        <f t="shared" si="58"/>
        <v>7.1747448979591848</v>
      </c>
      <c r="EW29" s="61"/>
      <c r="EX29" s="42"/>
      <c r="EY29" s="42" t="s">
        <v>53</v>
      </c>
      <c r="EZ29" s="43">
        <v>3390</v>
      </c>
      <c r="FA29" s="43">
        <v>3136</v>
      </c>
      <c r="FB29" s="44">
        <f t="shared" si="59"/>
        <v>-7.4926253687315629</v>
      </c>
      <c r="FC29" s="45">
        <v>2897</v>
      </c>
      <c r="FD29" s="43">
        <v>3136</v>
      </c>
      <c r="FE29" s="44">
        <f t="shared" si="60"/>
        <v>8.2499137038315506</v>
      </c>
      <c r="FF29" s="61"/>
    </row>
    <row r="30" spans="1:162" x14ac:dyDescent="0.5">
      <c r="A30" s="168"/>
      <c r="B30" s="168" t="s">
        <v>54</v>
      </c>
      <c r="C30" s="169">
        <v>16077</v>
      </c>
      <c r="D30" s="169">
        <f>13625+3099</f>
        <v>16724</v>
      </c>
      <c r="E30" s="167">
        <f t="shared" si="61"/>
        <v>4.0243826584561795</v>
      </c>
      <c r="F30" s="169">
        <v>13812</v>
      </c>
      <c r="G30" s="166">
        <f t="shared" si="62"/>
        <v>16724</v>
      </c>
      <c r="H30" s="167">
        <f t="shared" si="82"/>
        <v>21.083116130900667</v>
      </c>
      <c r="I30" s="168"/>
      <c r="J30" s="168" t="s">
        <v>54</v>
      </c>
      <c r="K30" s="169">
        <v>13412</v>
      </c>
      <c r="L30" s="169">
        <v>13812</v>
      </c>
      <c r="M30" s="167">
        <f t="shared" si="63"/>
        <v>2.9824038174768863</v>
      </c>
      <c r="N30" s="169">
        <v>13307</v>
      </c>
      <c r="O30" s="169">
        <v>13812</v>
      </c>
      <c r="P30" s="167">
        <f t="shared" si="83"/>
        <v>3.7949951153528221</v>
      </c>
      <c r="Q30" s="168"/>
      <c r="R30" s="168" t="s">
        <v>54</v>
      </c>
      <c r="S30" s="169">
        <v>14119</v>
      </c>
      <c r="T30" s="169">
        <v>13307</v>
      </c>
      <c r="U30" s="167">
        <f t="shared" si="64"/>
        <v>-5.7511155180961824</v>
      </c>
      <c r="V30" s="169">
        <v>11511</v>
      </c>
      <c r="W30" s="169">
        <v>13307</v>
      </c>
      <c r="X30" s="167">
        <f t="shared" si="84"/>
        <v>15.602467205281902</v>
      </c>
      <c r="Y30" s="168"/>
      <c r="Z30" s="168" t="s">
        <v>54</v>
      </c>
      <c r="AA30" s="169">
        <v>10396</v>
      </c>
      <c r="AB30" s="169">
        <v>11511</v>
      </c>
      <c r="AC30" s="167">
        <f t="shared" si="65"/>
        <v>10.725278953443631</v>
      </c>
      <c r="AD30" s="169">
        <v>9317</v>
      </c>
      <c r="AE30" s="169">
        <v>11511</v>
      </c>
      <c r="AF30" s="167">
        <f t="shared" si="85"/>
        <v>23.548352473972308</v>
      </c>
      <c r="AG30" s="168"/>
      <c r="AH30" s="168" t="s">
        <v>54</v>
      </c>
      <c r="AI30" s="169">
        <v>10689</v>
      </c>
      <c r="AJ30" s="169">
        <v>9317</v>
      </c>
      <c r="AK30" s="167">
        <f t="shared" si="66"/>
        <v>-12.835625409299279</v>
      </c>
      <c r="AL30" s="169">
        <v>5652</v>
      </c>
      <c r="AM30" s="169">
        <v>9317</v>
      </c>
      <c r="AN30" s="167">
        <f t="shared" si="86"/>
        <v>64.844302901627742</v>
      </c>
      <c r="AO30" s="168"/>
      <c r="AP30" s="168" t="s">
        <v>54</v>
      </c>
      <c r="AQ30" s="169">
        <v>3868</v>
      </c>
      <c r="AR30" s="169">
        <v>5652</v>
      </c>
      <c r="AS30" s="167">
        <f t="shared" si="67"/>
        <v>46.122026887280249</v>
      </c>
      <c r="AT30" s="169">
        <v>11541</v>
      </c>
      <c r="AU30" s="169">
        <v>5652</v>
      </c>
      <c r="AV30" s="167">
        <f t="shared" si="87"/>
        <v>-51.026774109695872</v>
      </c>
      <c r="AW30" s="168"/>
      <c r="AX30" s="168" t="s">
        <v>54</v>
      </c>
      <c r="AY30" s="169">
        <v>11488</v>
      </c>
      <c r="AZ30" s="169">
        <v>11541</v>
      </c>
      <c r="BA30" s="167">
        <f t="shared" si="68"/>
        <v>0.46135097493036209</v>
      </c>
      <c r="BB30" s="169">
        <v>12330</v>
      </c>
      <c r="BC30" s="169">
        <v>11541</v>
      </c>
      <c r="BD30" s="167">
        <f t="shared" si="88"/>
        <v>-6.3990267639902676</v>
      </c>
      <c r="BE30" s="168"/>
      <c r="BF30" s="168" t="s">
        <v>54</v>
      </c>
      <c r="BG30" s="169">
        <v>12200</v>
      </c>
      <c r="BH30" s="169">
        <v>12330</v>
      </c>
      <c r="BI30" s="167">
        <f t="shared" si="69"/>
        <v>1.0655737704918031</v>
      </c>
      <c r="BJ30" s="169">
        <v>9126</v>
      </c>
      <c r="BK30" s="169">
        <v>12330</v>
      </c>
      <c r="BL30" s="167">
        <f t="shared" si="50"/>
        <v>35.108481262327416</v>
      </c>
      <c r="BM30" s="168"/>
      <c r="BN30" s="168" t="s">
        <v>54</v>
      </c>
      <c r="BO30" s="169">
        <v>8121</v>
      </c>
      <c r="BP30" s="169">
        <v>9126</v>
      </c>
      <c r="BQ30" s="167">
        <f t="shared" si="70"/>
        <v>12.375323236054674</v>
      </c>
      <c r="BR30" s="169">
        <v>8871</v>
      </c>
      <c r="BS30" s="169">
        <v>9126</v>
      </c>
      <c r="BT30" s="167">
        <f t="shared" si="51"/>
        <v>2.8745350016909028</v>
      </c>
      <c r="BU30" s="168"/>
      <c r="BV30" s="168" t="s">
        <v>54</v>
      </c>
      <c r="BW30" s="169">
        <v>8137</v>
      </c>
      <c r="BX30" s="169">
        <v>8871</v>
      </c>
      <c r="BY30" s="167">
        <f t="shared" si="71"/>
        <v>9.020523534472165</v>
      </c>
      <c r="BZ30" s="169">
        <v>6732</v>
      </c>
      <c r="CA30" s="169">
        <v>8871</v>
      </c>
      <c r="CB30" s="167">
        <f t="shared" si="52"/>
        <v>31.773618538324421</v>
      </c>
      <c r="CD30" s="168"/>
      <c r="CE30" s="168" t="s">
        <v>54</v>
      </c>
      <c r="CF30" s="169">
        <v>6667</v>
      </c>
      <c r="CG30" s="169">
        <v>6732</v>
      </c>
      <c r="CH30" s="167">
        <f t="shared" si="72"/>
        <v>0.97495125243737801</v>
      </c>
      <c r="CI30" s="169">
        <v>7692</v>
      </c>
      <c r="CJ30" s="169">
        <v>6732</v>
      </c>
      <c r="CK30" s="167">
        <f t="shared" si="53"/>
        <v>-12.480499219968799</v>
      </c>
      <c r="CM30" s="168"/>
      <c r="CN30" s="168" t="s">
        <v>54</v>
      </c>
      <c r="CO30" s="169">
        <v>7916</v>
      </c>
      <c r="CP30" s="169">
        <v>7692</v>
      </c>
      <c r="CQ30" s="167">
        <f t="shared" si="73"/>
        <v>-2.829711975745326</v>
      </c>
      <c r="CR30" s="169">
        <v>7140</v>
      </c>
      <c r="CS30" s="169">
        <v>7692</v>
      </c>
      <c r="CT30" s="167">
        <f t="shared" si="54"/>
        <v>7.73109243697479</v>
      </c>
      <c r="CU30" s="73"/>
      <c r="CV30" s="226"/>
      <c r="CW30" s="226" t="s">
        <v>54</v>
      </c>
      <c r="CX30" s="227">
        <v>7196</v>
      </c>
      <c r="CY30" s="227">
        <v>7140</v>
      </c>
      <c r="CZ30" s="225">
        <f t="shared" si="74"/>
        <v>-0.77821011673151752</v>
      </c>
      <c r="DA30" s="227">
        <v>6576</v>
      </c>
      <c r="DB30" s="227">
        <v>7140</v>
      </c>
      <c r="DC30" s="225">
        <f t="shared" si="75"/>
        <v>8.5766423357664241</v>
      </c>
      <c r="DD30" s="73"/>
      <c r="DE30" s="194"/>
      <c r="DF30" s="194" t="s">
        <v>54</v>
      </c>
      <c r="DG30" s="195">
        <v>6269</v>
      </c>
      <c r="DH30" s="195">
        <v>6576</v>
      </c>
      <c r="DI30" s="193">
        <f t="shared" si="76"/>
        <v>4.8971127771574414</v>
      </c>
      <c r="DJ30" s="195">
        <v>3994</v>
      </c>
      <c r="DK30" s="195">
        <v>6576</v>
      </c>
      <c r="DL30" s="193">
        <f t="shared" si="77"/>
        <v>64.64697045568353</v>
      </c>
      <c r="DM30" s="73"/>
      <c r="DN30" s="152"/>
      <c r="DO30" s="152" t="s">
        <v>54</v>
      </c>
      <c r="DP30" s="148">
        <v>4318</v>
      </c>
      <c r="DQ30" s="148">
        <v>3994</v>
      </c>
      <c r="DR30" s="151">
        <f t="shared" si="78"/>
        <v>-7.5034738304770725</v>
      </c>
      <c r="DS30" s="148">
        <v>4338</v>
      </c>
      <c r="DT30" s="148">
        <v>3994</v>
      </c>
      <c r="DU30" s="151">
        <f t="shared" si="79"/>
        <v>-7.9299216228676803</v>
      </c>
      <c r="DV30" s="73"/>
      <c r="DW30" s="89"/>
      <c r="DX30" s="89" t="s">
        <v>54</v>
      </c>
      <c r="DY30" s="90">
        <v>4479</v>
      </c>
      <c r="DZ30" s="90">
        <f>3038+1300</f>
        <v>4338</v>
      </c>
      <c r="EA30" s="129">
        <f t="shared" si="80"/>
        <v>-3.1480241125251172</v>
      </c>
      <c r="EB30" s="90">
        <v>2699</v>
      </c>
      <c r="EC30" s="90">
        <f>3038+1300</f>
        <v>4338</v>
      </c>
      <c r="ED30" s="129">
        <f t="shared" si="81"/>
        <v>60.726194886995188</v>
      </c>
      <c r="EE30" s="130"/>
      <c r="EF30" s="42"/>
      <c r="EG30" s="42" t="s">
        <v>54</v>
      </c>
      <c r="EH30" s="43">
        <v>2544</v>
      </c>
      <c r="EI30" s="43">
        <f>2133+566</f>
        <v>2699</v>
      </c>
      <c r="EJ30" s="44">
        <f t="shared" si="55"/>
        <v>6.0927672955974845</v>
      </c>
      <c r="EK30" s="45">
        <v>3188</v>
      </c>
      <c r="EL30" s="43">
        <v>2699</v>
      </c>
      <c r="EM30" s="44">
        <f t="shared" si="56"/>
        <v>-15.338770388958595</v>
      </c>
      <c r="EN30" s="61"/>
      <c r="EO30" s="89"/>
      <c r="EP30" s="89" t="s">
        <v>54</v>
      </c>
      <c r="EQ30" s="90">
        <v>3516</v>
      </c>
      <c r="ER30" s="90">
        <f>2027+1161</f>
        <v>3188</v>
      </c>
      <c r="ES30" s="91">
        <f t="shared" si="57"/>
        <v>-9.3287827076222971</v>
      </c>
      <c r="ET30" s="92">
        <v>3095</v>
      </c>
      <c r="EU30" s="90">
        <v>3188</v>
      </c>
      <c r="EV30" s="91">
        <f t="shared" si="58"/>
        <v>3.0048465266558964</v>
      </c>
      <c r="EW30" s="61"/>
      <c r="EX30" s="42"/>
      <c r="EY30" s="42" t="s">
        <v>54</v>
      </c>
      <c r="EZ30" s="43">
        <v>2713</v>
      </c>
      <c r="FA30" s="43">
        <v>3095</v>
      </c>
      <c r="FB30" s="44">
        <f t="shared" si="59"/>
        <v>14.080353851824547</v>
      </c>
      <c r="FC30" s="45">
        <v>2455</v>
      </c>
      <c r="FD30" s="43">
        <v>3095</v>
      </c>
      <c r="FE30" s="44">
        <f t="shared" si="60"/>
        <v>26.069246435845212</v>
      </c>
      <c r="FF30" s="61"/>
    </row>
    <row r="31" spans="1:162" x14ac:dyDescent="0.5">
      <c r="A31" s="165" t="s">
        <v>2</v>
      </c>
      <c r="B31" s="165" t="s">
        <v>55</v>
      </c>
      <c r="C31" s="166">
        <v>65730</v>
      </c>
      <c r="D31" s="166">
        <v>81071</v>
      </c>
      <c r="E31" s="167">
        <f t="shared" si="61"/>
        <v>23.339418834626503</v>
      </c>
      <c r="F31" s="166">
        <v>89284</v>
      </c>
      <c r="G31" s="166">
        <f t="shared" si="62"/>
        <v>81071</v>
      </c>
      <c r="H31" s="167">
        <f t="shared" si="82"/>
        <v>-9.198736615743023</v>
      </c>
      <c r="I31" s="165" t="s">
        <v>2</v>
      </c>
      <c r="J31" s="165" t="s">
        <v>55</v>
      </c>
      <c r="K31" s="166">
        <v>70160</v>
      </c>
      <c r="L31" s="166">
        <v>89284</v>
      </c>
      <c r="M31" s="167">
        <f t="shared" si="63"/>
        <v>27.257696693272521</v>
      </c>
      <c r="N31" s="166">
        <v>86358</v>
      </c>
      <c r="O31" s="166">
        <v>89284</v>
      </c>
      <c r="P31" s="167">
        <f t="shared" si="83"/>
        <v>3.388221126010329</v>
      </c>
      <c r="Q31" s="165" t="s">
        <v>2</v>
      </c>
      <c r="R31" s="165" t="s">
        <v>55</v>
      </c>
      <c r="S31" s="166">
        <v>79940</v>
      </c>
      <c r="T31" s="166">
        <v>86358</v>
      </c>
      <c r="U31" s="167">
        <f t="shared" si="64"/>
        <v>8.0285213910432827</v>
      </c>
      <c r="V31" s="166">
        <v>76937</v>
      </c>
      <c r="W31" s="166">
        <v>86358</v>
      </c>
      <c r="X31" s="167">
        <f t="shared" si="84"/>
        <v>12.245083639861184</v>
      </c>
      <c r="Y31" s="165" t="s">
        <v>2</v>
      </c>
      <c r="Z31" s="165" t="s">
        <v>55</v>
      </c>
      <c r="AA31" s="166">
        <v>55696</v>
      </c>
      <c r="AB31" s="166">
        <v>76937</v>
      </c>
      <c r="AC31" s="167">
        <f t="shared" si="65"/>
        <v>38.137388681413384</v>
      </c>
      <c r="AD31" s="166">
        <v>79479</v>
      </c>
      <c r="AE31" s="166">
        <v>76937</v>
      </c>
      <c r="AF31" s="167">
        <f t="shared" si="85"/>
        <v>-3.1983291183834721</v>
      </c>
      <c r="AG31" s="165" t="s">
        <v>2</v>
      </c>
      <c r="AH31" s="165" t="s">
        <v>55</v>
      </c>
      <c r="AI31" s="166">
        <v>52880</v>
      </c>
      <c r="AJ31" s="166">
        <v>79479</v>
      </c>
      <c r="AK31" s="167">
        <f t="shared" si="66"/>
        <v>50.300680786686833</v>
      </c>
      <c r="AL31" s="166">
        <v>29894</v>
      </c>
      <c r="AM31" s="166">
        <v>79479</v>
      </c>
      <c r="AN31" s="167">
        <f t="shared" si="86"/>
        <v>165.86940523181909</v>
      </c>
      <c r="AO31" s="165" t="s">
        <v>2</v>
      </c>
      <c r="AP31" s="165" t="s">
        <v>55</v>
      </c>
      <c r="AQ31" s="166">
        <v>20326</v>
      </c>
      <c r="AR31" s="166">
        <v>29894</v>
      </c>
      <c r="AS31" s="167">
        <f t="shared" si="67"/>
        <v>47.07271474958182</v>
      </c>
      <c r="AT31" s="166">
        <v>95331</v>
      </c>
      <c r="AU31" s="166">
        <v>29894</v>
      </c>
      <c r="AV31" s="167">
        <f t="shared" si="87"/>
        <v>-68.641889836464529</v>
      </c>
      <c r="AW31" s="165" t="s">
        <v>2</v>
      </c>
      <c r="AX31" s="165" t="s">
        <v>55</v>
      </c>
      <c r="AY31" s="166">
        <v>67114</v>
      </c>
      <c r="AZ31" s="166">
        <v>95331</v>
      </c>
      <c r="BA31" s="167">
        <f t="shared" si="68"/>
        <v>42.043388860744408</v>
      </c>
      <c r="BB31" s="166">
        <v>98875</v>
      </c>
      <c r="BC31" s="166">
        <v>95331</v>
      </c>
      <c r="BD31" s="167">
        <f t="shared" si="88"/>
        <v>-3.5843236409608092</v>
      </c>
      <c r="BE31" s="165" t="s">
        <v>2</v>
      </c>
      <c r="BF31" s="165" t="s">
        <v>55</v>
      </c>
      <c r="BG31" s="166">
        <v>72571</v>
      </c>
      <c r="BH31" s="166">
        <v>98875</v>
      </c>
      <c r="BI31" s="167">
        <f t="shared" si="69"/>
        <v>36.245883341830762</v>
      </c>
      <c r="BJ31" s="166">
        <v>90092</v>
      </c>
      <c r="BK31" s="166">
        <v>98875</v>
      </c>
      <c r="BL31" s="167">
        <f t="shared" si="50"/>
        <v>9.7489233228255561</v>
      </c>
      <c r="BM31" s="165" t="s">
        <v>2</v>
      </c>
      <c r="BN31" s="165" t="s">
        <v>55</v>
      </c>
      <c r="BO31" s="166">
        <v>68927</v>
      </c>
      <c r="BP31" s="166">
        <v>90092</v>
      </c>
      <c r="BQ31" s="167">
        <f t="shared" si="70"/>
        <v>30.70639952413423</v>
      </c>
      <c r="BR31" s="166">
        <v>99547</v>
      </c>
      <c r="BS31" s="166">
        <v>90092</v>
      </c>
      <c r="BT31" s="167">
        <f t="shared" si="51"/>
        <v>-9.4980260580429334</v>
      </c>
      <c r="BU31" s="165" t="s">
        <v>2</v>
      </c>
      <c r="BV31" s="165" t="s">
        <v>55</v>
      </c>
      <c r="BW31" s="166">
        <v>80491</v>
      </c>
      <c r="BX31" s="166">
        <v>99547</v>
      </c>
      <c r="BY31" s="167">
        <f t="shared" si="71"/>
        <v>23.674696549924835</v>
      </c>
      <c r="BZ31" s="166">
        <v>88937</v>
      </c>
      <c r="CA31" s="166">
        <v>99547</v>
      </c>
      <c r="CB31" s="167">
        <f t="shared" si="52"/>
        <v>11.929792999538998</v>
      </c>
      <c r="CD31" s="165" t="s">
        <v>2</v>
      </c>
      <c r="CE31" s="165" t="s">
        <v>55</v>
      </c>
      <c r="CF31" s="166">
        <v>82130</v>
      </c>
      <c r="CG31" s="166">
        <v>88937</v>
      </c>
      <c r="CH31" s="167">
        <f t="shared" si="72"/>
        <v>8.2880798733714851</v>
      </c>
      <c r="CI31" s="166">
        <v>94788</v>
      </c>
      <c r="CJ31" s="166">
        <v>88937</v>
      </c>
      <c r="CK31" s="167">
        <f t="shared" si="53"/>
        <v>-6.1727222855213739</v>
      </c>
      <c r="CM31" s="165" t="s">
        <v>2</v>
      </c>
      <c r="CN31" s="165" t="s">
        <v>55</v>
      </c>
      <c r="CO31" s="166">
        <v>69804</v>
      </c>
      <c r="CP31" s="166">
        <v>94788</v>
      </c>
      <c r="CQ31" s="167">
        <f t="shared" si="73"/>
        <v>35.791645177926767</v>
      </c>
      <c r="CR31" s="166">
        <v>86947</v>
      </c>
      <c r="CS31" s="166">
        <v>94788</v>
      </c>
      <c r="CT31" s="167">
        <f t="shared" si="54"/>
        <v>9.018137486054723</v>
      </c>
      <c r="CU31" s="73"/>
      <c r="CV31" s="224" t="s">
        <v>2</v>
      </c>
      <c r="CW31" s="224" t="s">
        <v>55</v>
      </c>
      <c r="CX31" s="238">
        <v>67641</v>
      </c>
      <c r="CY31" s="238">
        <v>86577</v>
      </c>
      <c r="CZ31" s="225">
        <f t="shared" si="74"/>
        <v>27.994855191378008</v>
      </c>
      <c r="DA31" s="238">
        <v>85988</v>
      </c>
      <c r="DB31" s="238">
        <v>86577</v>
      </c>
      <c r="DC31" s="225">
        <f t="shared" si="75"/>
        <v>0.68497929943713076</v>
      </c>
      <c r="DD31" s="73"/>
      <c r="DE31" s="191" t="s">
        <v>2</v>
      </c>
      <c r="DF31" s="191" t="s">
        <v>55</v>
      </c>
      <c r="DG31" s="192">
        <v>55433</v>
      </c>
      <c r="DH31" s="192">
        <v>85988</v>
      </c>
      <c r="DI31" s="193">
        <f t="shared" si="76"/>
        <v>55.120596034852888</v>
      </c>
      <c r="DJ31" s="192">
        <v>38656</v>
      </c>
      <c r="DK31" s="192">
        <v>85988</v>
      </c>
      <c r="DL31" s="193">
        <f t="shared" si="77"/>
        <v>122.44412251655629</v>
      </c>
      <c r="DM31" s="73"/>
      <c r="DN31" s="150" t="s">
        <v>2</v>
      </c>
      <c r="DO31" s="150" t="s">
        <v>55</v>
      </c>
      <c r="DP31" s="147">
        <v>52191</v>
      </c>
      <c r="DQ31" s="147">
        <v>38656</v>
      </c>
      <c r="DR31" s="151">
        <f t="shared" si="78"/>
        <v>-25.933590082581286</v>
      </c>
      <c r="DS31" s="147">
        <v>75075</v>
      </c>
      <c r="DT31" s="147">
        <v>38656</v>
      </c>
      <c r="DU31" s="151">
        <f t="shared" si="79"/>
        <v>-48.510156510156513</v>
      </c>
      <c r="DV31" s="73"/>
      <c r="DW31" s="86" t="s">
        <v>2</v>
      </c>
      <c r="DX31" s="86" t="s">
        <v>55</v>
      </c>
      <c r="DY31" s="87">
        <v>57139</v>
      </c>
      <c r="DZ31" s="87">
        <v>75075</v>
      </c>
      <c r="EA31" s="126">
        <f t="shared" si="80"/>
        <v>31.39011883302123</v>
      </c>
      <c r="EB31" s="87">
        <v>31913</v>
      </c>
      <c r="EC31" s="87">
        <v>75075</v>
      </c>
      <c r="ED31" s="126">
        <f t="shared" si="81"/>
        <v>135.24895810484756</v>
      </c>
      <c r="EE31" s="127"/>
      <c r="EF31" s="63" t="s">
        <v>2</v>
      </c>
      <c r="EG31" s="63" t="s">
        <v>55</v>
      </c>
      <c r="EH31" s="68">
        <v>28663</v>
      </c>
      <c r="EI31" s="68">
        <v>31913</v>
      </c>
      <c r="EJ31" s="65">
        <f t="shared" si="55"/>
        <v>11.338659595994836</v>
      </c>
      <c r="EK31" s="68">
        <v>70430</v>
      </c>
      <c r="EL31" s="68">
        <v>31913</v>
      </c>
      <c r="EM31" s="65">
        <f t="shared" si="56"/>
        <v>-54.688343035638219</v>
      </c>
      <c r="EN31" s="73"/>
      <c r="EO31" s="86" t="s">
        <v>2</v>
      </c>
      <c r="EP31" s="86" t="s">
        <v>55</v>
      </c>
      <c r="EQ31" s="87">
        <v>52900</v>
      </c>
      <c r="ER31" s="87">
        <v>69930</v>
      </c>
      <c r="ES31" s="88">
        <f t="shared" si="57"/>
        <v>32.192816635160682</v>
      </c>
      <c r="ET31" s="87">
        <v>54035</v>
      </c>
      <c r="EU31" s="87">
        <v>69930</v>
      </c>
      <c r="EV31" s="88">
        <f t="shared" si="58"/>
        <v>29.416119182011656</v>
      </c>
      <c r="EW31" s="73"/>
      <c r="EX31" s="63" t="s">
        <v>2</v>
      </c>
      <c r="EY31" s="63" t="s">
        <v>55</v>
      </c>
      <c r="EZ31" s="68">
        <v>43115</v>
      </c>
      <c r="FA31" s="68">
        <v>54035</v>
      </c>
      <c r="FB31" s="65">
        <f t="shared" si="59"/>
        <v>25.327612199930417</v>
      </c>
      <c r="FC31" s="68">
        <v>43137</v>
      </c>
      <c r="FD31" s="68">
        <v>54035</v>
      </c>
      <c r="FE31" s="65">
        <f t="shared" si="60"/>
        <v>25.263694740014376</v>
      </c>
      <c r="FF31" s="73"/>
    </row>
    <row r="32" spans="1:162" x14ac:dyDescent="0.5">
      <c r="A32" s="168"/>
      <c r="B32" s="168" t="s">
        <v>56</v>
      </c>
      <c r="C32" s="170">
        <v>46031.326411053204</v>
      </c>
      <c r="D32" s="170">
        <v>55163.351905351898</v>
      </c>
      <c r="E32" s="167">
        <f t="shared" si="61"/>
        <v>19.838718990521812</v>
      </c>
      <c r="F32" s="170">
        <v>63073.519367342989</v>
      </c>
      <c r="G32" s="166">
        <v>55163.351905351898</v>
      </c>
      <c r="H32" s="167">
        <f t="shared" si="82"/>
        <v>-12.541186129034473</v>
      </c>
      <c r="I32" s="168"/>
      <c r="J32" s="168" t="s">
        <v>56</v>
      </c>
      <c r="K32" s="170">
        <v>48146.789675020002</v>
      </c>
      <c r="L32" s="170">
        <v>63073.519367342989</v>
      </c>
      <c r="M32" s="167">
        <f t="shared" si="63"/>
        <v>31.002544080456985</v>
      </c>
      <c r="N32" s="170">
        <v>54969.768235850897</v>
      </c>
      <c r="O32" s="170">
        <v>63073.519367342989</v>
      </c>
      <c r="P32" s="167">
        <f t="shared" si="83"/>
        <v>14.742196286370518</v>
      </c>
      <c r="Q32" s="168"/>
      <c r="R32" s="168" t="s">
        <v>56</v>
      </c>
      <c r="S32" s="170">
        <v>50164.308916690046</v>
      </c>
      <c r="T32" s="170">
        <v>54969.768235850897</v>
      </c>
      <c r="U32" s="167">
        <f t="shared" si="64"/>
        <v>9.5794388937789954</v>
      </c>
      <c r="V32" s="170">
        <v>46226.522286224303</v>
      </c>
      <c r="W32" s="170">
        <v>54969.768235850897</v>
      </c>
      <c r="X32" s="167">
        <f t="shared" si="84"/>
        <v>18.913916767284306</v>
      </c>
      <c r="Y32" s="168"/>
      <c r="Z32" s="168" t="s">
        <v>56</v>
      </c>
      <c r="AA32" s="170">
        <v>33480.956707543613</v>
      </c>
      <c r="AB32" s="170">
        <v>46226.522286224303</v>
      </c>
      <c r="AC32" s="167">
        <f t="shared" si="65"/>
        <v>38.068104475070086</v>
      </c>
      <c r="AD32" s="170">
        <v>48416.836261980236</v>
      </c>
      <c r="AE32" s="170">
        <v>46226.522286224303</v>
      </c>
      <c r="AF32" s="167">
        <f t="shared" si="85"/>
        <v>-4.5238684409371395</v>
      </c>
      <c r="AG32" s="168"/>
      <c r="AH32" s="168" t="s">
        <v>56</v>
      </c>
      <c r="AI32" s="170">
        <v>30071.588991967299</v>
      </c>
      <c r="AJ32" s="170">
        <v>48416.836261980236</v>
      </c>
      <c r="AK32" s="167">
        <f t="shared" si="66"/>
        <v>61.005247427774123</v>
      </c>
      <c r="AL32" s="170">
        <v>17503.119706691399</v>
      </c>
      <c r="AM32" s="170">
        <v>48416.836261980236</v>
      </c>
      <c r="AN32" s="167">
        <f t="shared" si="86"/>
        <v>176.61832332364497</v>
      </c>
      <c r="AO32" s="168"/>
      <c r="AP32" s="168" t="s">
        <v>56</v>
      </c>
      <c r="AQ32" s="170">
        <v>12389.069433295401</v>
      </c>
      <c r="AR32" s="170">
        <v>17503.119706691399</v>
      </c>
      <c r="AS32" s="167">
        <f t="shared" si="67"/>
        <v>41.278728002379907</v>
      </c>
      <c r="AT32" s="170">
        <v>48649.820535691797</v>
      </c>
      <c r="AU32" s="170">
        <v>17503.119706691399</v>
      </c>
      <c r="AV32" s="167">
        <f t="shared" si="87"/>
        <v>-64.022231708233562</v>
      </c>
      <c r="AW32" s="168"/>
      <c r="AX32" s="168" t="s">
        <v>56</v>
      </c>
      <c r="AY32" s="170">
        <v>35545.33</v>
      </c>
      <c r="AZ32" s="170">
        <v>48649.820535691797</v>
      </c>
      <c r="BA32" s="167">
        <f t="shared" si="68"/>
        <v>36.86698234533705</v>
      </c>
      <c r="BB32" s="170">
        <v>51877.43</v>
      </c>
      <c r="BC32" s="170">
        <v>48649.820535691797</v>
      </c>
      <c r="BD32" s="167">
        <f t="shared" si="88"/>
        <v>-6.2216063214931872</v>
      </c>
      <c r="BE32" s="168"/>
      <c r="BF32" s="168" t="s">
        <v>56</v>
      </c>
      <c r="BG32" s="170">
        <v>36654.03</v>
      </c>
      <c r="BH32" s="170">
        <v>51877.43</v>
      </c>
      <c r="BI32" s="167">
        <f t="shared" si="69"/>
        <v>41.532677307242892</v>
      </c>
      <c r="BJ32" s="170">
        <v>48014.47</v>
      </c>
      <c r="BK32" s="170">
        <v>51877.43</v>
      </c>
      <c r="BL32" s="167">
        <f t="shared" si="50"/>
        <v>8.0454079780532801</v>
      </c>
      <c r="BM32" s="168"/>
      <c r="BN32" s="168" t="s">
        <v>56</v>
      </c>
      <c r="BO32" s="170">
        <v>38167.160000000003</v>
      </c>
      <c r="BP32" s="170">
        <v>48014.47</v>
      </c>
      <c r="BQ32" s="167">
        <f t="shared" si="70"/>
        <v>25.800478736170042</v>
      </c>
      <c r="BR32" s="170">
        <v>54990.82</v>
      </c>
      <c r="BS32" s="170">
        <v>48014.47</v>
      </c>
      <c r="BT32" s="167">
        <f t="shared" si="51"/>
        <v>-12.686390201128114</v>
      </c>
      <c r="BU32" s="168"/>
      <c r="BV32" s="168" t="s">
        <v>56</v>
      </c>
      <c r="BW32" s="170">
        <v>43084.55</v>
      </c>
      <c r="BX32" s="170">
        <v>54990.82</v>
      </c>
      <c r="BY32" s="167">
        <f t="shared" si="71"/>
        <v>27.634662541444659</v>
      </c>
      <c r="BZ32" s="170">
        <v>43548.7</v>
      </c>
      <c r="CA32" s="170">
        <v>54990.82</v>
      </c>
      <c r="CB32" s="167">
        <f t="shared" si="52"/>
        <v>26.274308992002066</v>
      </c>
      <c r="CD32" s="168"/>
      <c r="CE32" s="168" t="s">
        <v>56</v>
      </c>
      <c r="CF32" s="170">
        <v>39102.629999999997</v>
      </c>
      <c r="CG32" s="170">
        <v>43548.7</v>
      </c>
      <c r="CH32" s="167">
        <f t="shared" si="72"/>
        <v>11.370258215368121</v>
      </c>
      <c r="CI32" s="170">
        <v>45549.38</v>
      </c>
      <c r="CJ32" s="170">
        <v>43548.7</v>
      </c>
      <c r="CK32" s="167">
        <f t="shared" si="53"/>
        <v>-4.3923320141788986</v>
      </c>
      <c r="CM32" s="168"/>
      <c r="CN32" s="168" t="s">
        <v>56</v>
      </c>
      <c r="CO32" s="170">
        <v>33080.120000000003</v>
      </c>
      <c r="CP32" s="170">
        <v>45549.38</v>
      </c>
      <c r="CQ32" s="167">
        <f t="shared" si="73"/>
        <v>37.694119610206954</v>
      </c>
      <c r="CR32" s="170">
        <v>40016.21</v>
      </c>
      <c r="CS32" s="170">
        <v>45549.38</v>
      </c>
      <c r="CT32" s="167">
        <f t="shared" si="54"/>
        <v>13.827321477971047</v>
      </c>
      <c r="CU32" s="73"/>
      <c r="CV32" s="226"/>
      <c r="CW32" s="226" t="s">
        <v>56</v>
      </c>
      <c r="CX32" s="228">
        <v>30607.86</v>
      </c>
      <c r="CY32" s="228">
        <v>39890.28</v>
      </c>
      <c r="CZ32" s="225">
        <f t="shared" si="74"/>
        <v>30.326916027451766</v>
      </c>
      <c r="DA32" s="228">
        <v>41446.11</v>
      </c>
      <c r="DB32" s="228">
        <v>39890.28</v>
      </c>
      <c r="DC32" s="225">
        <f t="shared" si="75"/>
        <v>-3.7538625458456822</v>
      </c>
      <c r="DD32" s="73"/>
      <c r="DE32" s="194"/>
      <c r="DF32" s="194" t="s">
        <v>56</v>
      </c>
      <c r="DG32" s="196">
        <v>26516.06</v>
      </c>
      <c r="DH32" s="196">
        <v>41446.11</v>
      </c>
      <c r="DI32" s="193">
        <f t="shared" si="76"/>
        <v>56.305687949114599</v>
      </c>
      <c r="DJ32" s="196">
        <v>17363.62</v>
      </c>
      <c r="DK32" s="196">
        <v>41446.11</v>
      </c>
      <c r="DL32" s="193">
        <f t="shared" si="77"/>
        <v>138.69509929381087</v>
      </c>
      <c r="DM32" s="73"/>
      <c r="DN32" s="152"/>
      <c r="DO32" s="152" t="s">
        <v>56</v>
      </c>
      <c r="DP32" s="149">
        <v>23191.86</v>
      </c>
      <c r="DQ32" s="149">
        <v>17363.62</v>
      </c>
      <c r="DR32" s="151">
        <f t="shared" si="78"/>
        <v>-25.13054149171305</v>
      </c>
      <c r="DS32" s="149">
        <v>35326.54</v>
      </c>
      <c r="DT32" s="149">
        <v>17363.62</v>
      </c>
      <c r="DU32" s="151">
        <f t="shared" si="79"/>
        <v>-50.84822912178776</v>
      </c>
      <c r="DV32" s="73"/>
      <c r="DW32" s="89"/>
      <c r="DX32" s="89" t="s">
        <v>56</v>
      </c>
      <c r="DY32" s="93">
        <v>26437.21</v>
      </c>
      <c r="DZ32" s="93">
        <v>35326.54</v>
      </c>
      <c r="EA32" s="129">
        <f t="shared" si="80"/>
        <v>33.624312096473126</v>
      </c>
      <c r="EB32" s="93">
        <v>15171.98</v>
      </c>
      <c r="EC32" s="93">
        <v>35326.54</v>
      </c>
      <c r="ED32" s="129">
        <f t="shared" si="81"/>
        <v>132.84067076281409</v>
      </c>
      <c r="EE32" s="130"/>
      <c r="EF32" s="42"/>
      <c r="EG32" s="42" t="s">
        <v>56</v>
      </c>
      <c r="EH32" s="66">
        <v>13269.59</v>
      </c>
      <c r="EI32" s="66">
        <v>15171.98</v>
      </c>
      <c r="EJ32" s="44">
        <f t="shared" si="55"/>
        <v>14.336464050509468</v>
      </c>
      <c r="EK32" s="67">
        <v>32145.75</v>
      </c>
      <c r="EL32" s="66">
        <v>15171.98</v>
      </c>
      <c r="EM32" s="44">
        <f t="shared" si="56"/>
        <v>-52.802532216544961</v>
      </c>
      <c r="EN32" s="61"/>
      <c r="EO32" s="89"/>
      <c r="EP32" s="89" t="s">
        <v>56</v>
      </c>
      <c r="EQ32" s="93">
        <v>23779.55</v>
      </c>
      <c r="ER32" s="93">
        <v>32145.75</v>
      </c>
      <c r="ES32" s="91">
        <f t="shared" si="57"/>
        <v>35.18233103654191</v>
      </c>
      <c r="ET32" s="94">
        <v>23567.27</v>
      </c>
      <c r="EU32" s="93">
        <v>32145.75</v>
      </c>
      <c r="EV32" s="91">
        <f t="shared" si="58"/>
        <v>36.399973352874554</v>
      </c>
      <c r="EW32" s="61"/>
      <c r="EX32" s="42"/>
      <c r="EY32" s="42" t="s">
        <v>56</v>
      </c>
      <c r="EZ32" s="66">
        <v>18872.240000000002</v>
      </c>
      <c r="FA32" s="66">
        <v>23567.27</v>
      </c>
      <c r="FB32" s="44">
        <f t="shared" si="59"/>
        <v>24.877968910950678</v>
      </c>
      <c r="FC32" s="67">
        <v>19512.669999999998</v>
      </c>
      <c r="FD32" s="66">
        <v>23567.27</v>
      </c>
      <c r="FE32" s="44">
        <f t="shared" si="60"/>
        <v>20.779319283316955</v>
      </c>
      <c r="FF32" s="61"/>
    </row>
    <row r="33" spans="133:142" x14ac:dyDescent="0.5">
      <c r="EC33" s="97"/>
      <c r="EL33" s="97"/>
    </row>
  </sheetData>
  <phoneticPr fontId="10" type="noConversion"/>
  <pageMargins left="0.35433070866141736" right="0.35433070866141736" top="0.59055118110236227" bottom="0.59055118110236227" header="0.51181102362204722" footer="0.51181102362204722"/>
  <pageSetup paperSize="9" scale="115" orientation="portrait" r:id="rId1"/>
  <headerFooter alignWithMargins="0"/>
  <colBreaks count="1" manualBreakCount="1">
    <brk id="73" max="2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E33"/>
  <sheetViews>
    <sheetView view="pageBreakPreview" zoomScaleNormal="100" zoomScaleSheetLayoutView="100" workbookViewId="0">
      <selection activeCell="H12" sqref="H12"/>
    </sheetView>
  </sheetViews>
  <sheetFormatPr defaultRowHeight="21.75" x14ac:dyDescent="0.5"/>
  <cols>
    <col min="2" max="2" width="24.140625" customWidth="1"/>
    <col min="10" max="10" width="24.140625" customWidth="1"/>
    <col min="18" max="18" width="23.5703125" customWidth="1"/>
    <col min="26" max="26" width="23.85546875" customWidth="1"/>
    <col min="34" max="34" width="23.5703125" customWidth="1"/>
    <col min="42" max="42" width="25.5703125" customWidth="1"/>
    <col min="50" max="50" width="27.5703125" customWidth="1"/>
    <col min="56" max="56" width="9.140625" customWidth="1"/>
    <col min="58" max="58" width="22.7109375" customWidth="1"/>
    <col min="66" max="66" width="22.5703125" customWidth="1"/>
    <col min="83" max="83" width="12.42578125" customWidth="1"/>
    <col min="85" max="85" width="10.28515625" bestFit="1" customWidth="1"/>
    <col min="87" max="87" width="11" bestFit="1" customWidth="1"/>
    <col min="88" max="88" width="11.28515625" customWidth="1"/>
    <col min="91" max="92" width="9.140625" customWidth="1"/>
    <col min="93" max="93" width="12.42578125" customWidth="1"/>
    <col min="100" max="100" width="9.140625" customWidth="1"/>
    <col min="102" max="102" width="12.42578125" customWidth="1"/>
    <col min="109" max="109" width="9.140625" style="153" customWidth="1"/>
    <col min="111" max="111" width="12.42578125" customWidth="1"/>
    <col min="118" max="118" width="9.140625" customWidth="1"/>
    <col min="120" max="120" width="12.42578125" customWidth="1"/>
    <col min="127" max="127" width="9.140625" customWidth="1"/>
    <col min="129" max="129" width="12.42578125" customWidth="1"/>
    <col min="136" max="136" width="9.140625" customWidth="1"/>
    <col min="138" max="138" width="12.42578125" customWidth="1"/>
    <col min="147" max="153" width="9.140625" hidden="1" customWidth="1"/>
  </cols>
  <sheetData>
    <row r="1" spans="1:161" x14ac:dyDescent="0.5">
      <c r="C1" s="62" t="s">
        <v>867</v>
      </c>
      <c r="K1" s="62" t="s">
        <v>825</v>
      </c>
      <c r="S1" s="62" t="s">
        <v>822</v>
      </c>
      <c r="AA1" s="62" t="s">
        <v>730</v>
      </c>
      <c r="AI1" s="62" t="s">
        <v>682</v>
      </c>
      <c r="AQ1" t="s">
        <v>642</v>
      </c>
      <c r="AY1" t="s">
        <v>587</v>
      </c>
      <c r="BG1" t="s">
        <v>546</v>
      </c>
      <c r="BO1" t="s">
        <v>496</v>
      </c>
      <c r="BW1" t="s">
        <v>432</v>
      </c>
      <c r="CF1" t="s">
        <v>387</v>
      </c>
      <c r="CN1" t="s">
        <v>342</v>
      </c>
      <c r="CX1" t="s">
        <v>294</v>
      </c>
      <c r="DE1"/>
      <c r="DG1" t="s">
        <v>215</v>
      </c>
      <c r="DM1" s="153"/>
      <c r="DP1" t="s">
        <v>177</v>
      </c>
      <c r="DY1" t="s">
        <v>141</v>
      </c>
      <c r="EH1" t="s">
        <v>95</v>
      </c>
      <c r="EQ1" t="s">
        <v>49</v>
      </c>
      <c r="EZ1" t="s">
        <v>12</v>
      </c>
    </row>
    <row r="2" spans="1:161" x14ac:dyDescent="0.5">
      <c r="A2" s="257"/>
      <c r="B2" s="257"/>
      <c r="C2" s="323" t="s">
        <v>864</v>
      </c>
      <c r="D2" s="323" t="s">
        <v>868</v>
      </c>
      <c r="E2" s="262" t="s">
        <v>3</v>
      </c>
      <c r="F2" s="323" t="s">
        <v>826</v>
      </c>
      <c r="G2" s="323" t="s">
        <v>868</v>
      </c>
      <c r="H2" s="262" t="s">
        <v>3</v>
      </c>
      <c r="I2" s="257"/>
      <c r="J2" s="257"/>
      <c r="K2" s="323" t="s">
        <v>821</v>
      </c>
      <c r="L2" s="323" t="s">
        <v>826</v>
      </c>
      <c r="M2" s="262" t="s">
        <v>3</v>
      </c>
      <c r="N2" s="323" t="s">
        <v>827</v>
      </c>
      <c r="O2" s="323" t="s">
        <v>826</v>
      </c>
      <c r="P2" s="262" t="s">
        <v>3</v>
      </c>
      <c r="Q2" s="257"/>
      <c r="R2" s="257"/>
      <c r="S2" s="323" t="s">
        <v>770</v>
      </c>
      <c r="T2" s="323" t="s">
        <v>771</v>
      </c>
      <c r="U2" s="262" t="s">
        <v>3</v>
      </c>
      <c r="V2" s="323" t="s">
        <v>772</v>
      </c>
      <c r="W2" s="323" t="s">
        <v>771</v>
      </c>
      <c r="X2" s="262" t="s">
        <v>3</v>
      </c>
      <c r="Y2" s="257"/>
      <c r="Z2" s="257"/>
      <c r="AA2" s="323" t="s">
        <v>728</v>
      </c>
      <c r="AB2" s="323" t="s">
        <v>732</v>
      </c>
      <c r="AC2" s="262" t="s">
        <v>3</v>
      </c>
      <c r="AD2" s="323" t="s">
        <v>733</v>
      </c>
      <c r="AE2" s="323" t="s">
        <v>732</v>
      </c>
      <c r="AF2" s="262" t="s">
        <v>3</v>
      </c>
      <c r="AG2" s="257"/>
      <c r="AH2" s="257"/>
      <c r="AI2" s="323" t="s">
        <v>680</v>
      </c>
      <c r="AJ2" s="323" t="s">
        <v>683</v>
      </c>
      <c r="AK2" s="262" t="s">
        <v>3</v>
      </c>
      <c r="AL2" s="323" t="s">
        <v>684</v>
      </c>
      <c r="AM2" s="323" t="s">
        <v>683</v>
      </c>
      <c r="AN2" s="262" t="s">
        <v>3</v>
      </c>
      <c r="AO2" s="257"/>
      <c r="AP2" s="257"/>
      <c r="AQ2" s="322" t="s">
        <v>635</v>
      </c>
      <c r="AR2" s="322" t="s">
        <v>640</v>
      </c>
      <c r="AS2" s="262" t="s">
        <v>3</v>
      </c>
      <c r="AT2" s="322" t="s">
        <v>641</v>
      </c>
      <c r="AU2" s="322" t="s">
        <v>640</v>
      </c>
      <c r="AV2" s="262" t="s">
        <v>3</v>
      </c>
      <c r="AW2" s="257"/>
      <c r="AX2" s="257"/>
      <c r="AY2" s="322" t="s">
        <v>586</v>
      </c>
      <c r="AZ2" s="322" t="s">
        <v>588</v>
      </c>
      <c r="BA2" s="262" t="s">
        <v>3</v>
      </c>
      <c r="BB2" s="322" t="s">
        <v>589</v>
      </c>
      <c r="BC2" s="322" t="s">
        <v>588</v>
      </c>
      <c r="BD2" s="262" t="s">
        <v>3</v>
      </c>
      <c r="BE2" s="257"/>
      <c r="BF2" s="257"/>
      <c r="BG2" s="322" t="s">
        <v>545</v>
      </c>
      <c r="BH2" s="322" t="s">
        <v>547</v>
      </c>
      <c r="BI2" s="262" t="s">
        <v>3</v>
      </c>
      <c r="BJ2" s="322" t="s">
        <v>548</v>
      </c>
      <c r="BK2" s="322" t="s">
        <v>547</v>
      </c>
      <c r="BL2" s="262" t="s">
        <v>3</v>
      </c>
      <c r="BM2" s="257"/>
      <c r="BN2" s="257"/>
      <c r="BO2" s="322" t="s">
        <v>491</v>
      </c>
      <c r="BP2" s="322" t="s">
        <v>497</v>
      </c>
      <c r="BQ2" s="262" t="s">
        <v>3</v>
      </c>
      <c r="BR2" s="322" t="s">
        <v>498</v>
      </c>
      <c r="BS2" s="322" t="s">
        <v>497</v>
      </c>
      <c r="BT2" s="262" t="s">
        <v>3</v>
      </c>
      <c r="BU2" s="257"/>
      <c r="BV2" s="257"/>
      <c r="BW2" s="259" t="s">
        <v>430</v>
      </c>
      <c r="BX2" s="259" t="s">
        <v>433</v>
      </c>
      <c r="BY2" s="257" t="s">
        <v>3</v>
      </c>
      <c r="BZ2" s="259" t="s">
        <v>393</v>
      </c>
      <c r="CA2" s="259" t="s">
        <v>433</v>
      </c>
      <c r="CB2" s="257" t="s">
        <v>3</v>
      </c>
      <c r="CC2" s="62"/>
      <c r="CD2" s="257"/>
      <c r="CE2" s="257"/>
      <c r="CF2" s="259" t="s">
        <v>385</v>
      </c>
      <c r="CG2" s="259" t="s">
        <v>389</v>
      </c>
      <c r="CH2" s="257" t="s">
        <v>3</v>
      </c>
      <c r="CI2" s="259" t="s">
        <v>346</v>
      </c>
      <c r="CJ2" s="259" t="s">
        <v>389</v>
      </c>
      <c r="CK2" s="257" t="s">
        <v>3</v>
      </c>
      <c r="CL2" s="62"/>
      <c r="CM2" s="257"/>
      <c r="CN2" s="259" t="s">
        <v>338</v>
      </c>
      <c r="CO2" s="259" t="s">
        <v>343</v>
      </c>
      <c r="CP2" s="257" t="s">
        <v>3</v>
      </c>
      <c r="CQ2" s="259" t="s">
        <v>344</v>
      </c>
      <c r="CR2" s="259" t="s">
        <v>343</v>
      </c>
      <c r="CS2" s="257" t="s">
        <v>3</v>
      </c>
      <c r="CT2" s="257"/>
      <c r="CU2" s="62"/>
      <c r="CV2" s="236"/>
      <c r="CW2" s="236"/>
      <c r="CX2" s="237" t="s">
        <v>296</v>
      </c>
      <c r="CY2" s="237" t="s">
        <v>260</v>
      </c>
      <c r="CZ2" s="236" t="s">
        <v>3</v>
      </c>
      <c r="DA2" s="237" t="s">
        <v>216</v>
      </c>
      <c r="DB2" s="237" t="s">
        <v>260</v>
      </c>
      <c r="DC2" s="236" t="s">
        <v>3</v>
      </c>
      <c r="DD2" s="62"/>
      <c r="DE2" s="98"/>
      <c r="DF2" s="98"/>
      <c r="DG2" s="143" t="s">
        <v>212</v>
      </c>
      <c r="DH2" s="143" t="s">
        <v>216</v>
      </c>
      <c r="DI2" s="98" t="s">
        <v>3</v>
      </c>
      <c r="DJ2" s="145" t="s">
        <v>180</v>
      </c>
      <c r="DK2" s="143" t="s">
        <v>216</v>
      </c>
      <c r="DL2" s="98" t="s">
        <v>3</v>
      </c>
      <c r="DM2" s="154"/>
      <c r="DN2" s="118"/>
      <c r="DO2" s="118"/>
      <c r="DP2" s="119" t="s">
        <v>175</v>
      </c>
      <c r="DQ2" s="119" t="s">
        <v>180</v>
      </c>
      <c r="DR2" s="118" t="s">
        <v>3</v>
      </c>
      <c r="DS2" s="119" t="s">
        <v>143</v>
      </c>
      <c r="DT2" s="119" t="s">
        <v>180</v>
      </c>
      <c r="DU2" s="118" t="s">
        <v>3</v>
      </c>
      <c r="DV2" s="62"/>
      <c r="DW2" s="98"/>
      <c r="DX2" s="98"/>
      <c r="DY2" s="99" t="s">
        <v>140</v>
      </c>
      <c r="DZ2" s="99" t="s">
        <v>143</v>
      </c>
      <c r="EA2" s="98" t="s">
        <v>3</v>
      </c>
      <c r="EB2" s="99" t="s">
        <v>144</v>
      </c>
      <c r="EC2" s="99" t="s">
        <v>143</v>
      </c>
      <c r="ED2" s="98" t="s">
        <v>3</v>
      </c>
      <c r="EE2" s="62"/>
      <c r="EF2" s="84"/>
      <c r="EG2" s="84"/>
      <c r="EH2" s="85" t="s">
        <v>91</v>
      </c>
      <c r="EI2" s="85" t="s">
        <v>96</v>
      </c>
      <c r="EJ2" s="84" t="s">
        <v>3</v>
      </c>
      <c r="EK2" s="85" t="s">
        <v>98</v>
      </c>
      <c r="EL2" s="85" t="s">
        <v>96</v>
      </c>
      <c r="EM2" s="84" t="s">
        <v>3</v>
      </c>
      <c r="EN2" s="62"/>
      <c r="EO2" s="54"/>
      <c r="EP2" s="54"/>
      <c r="EQ2" s="55">
        <v>18323</v>
      </c>
      <c r="ER2" s="55">
        <v>18354</v>
      </c>
      <c r="ES2" s="54" t="s">
        <v>3</v>
      </c>
      <c r="ET2" s="55">
        <v>17989</v>
      </c>
      <c r="EU2" s="55">
        <v>18354</v>
      </c>
      <c r="EV2" s="54" t="s">
        <v>3</v>
      </c>
      <c r="EY2" s="29"/>
      <c r="EZ2" s="30">
        <v>17958</v>
      </c>
      <c r="FA2" s="30">
        <v>17989</v>
      </c>
      <c r="FB2" s="29" t="s">
        <v>3</v>
      </c>
      <c r="FC2" s="30">
        <v>17624</v>
      </c>
      <c r="FD2" s="30">
        <v>17989</v>
      </c>
      <c r="FE2" s="29" t="s">
        <v>3</v>
      </c>
    </row>
    <row r="3" spans="1:161" x14ac:dyDescent="0.5">
      <c r="A3" s="247" t="s">
        <v>0</v>
      </c>
      <c r="B3" s="247"/>
      <c r="C3" s="248">
        <v>185931</v>
      </c>
      <c r="D3" s="248">
        <v>157091</v>
      </c>
      <c r="E3" s="249">
        <f>((D3-C3)/C3)*100</f>
        <v>-15.511130473132507</v>
      </c>
      <c r="F3" s="248">
        <v>136387</v>
      </c>
      <c r="G3" s="248">
        <f>G4+G5+G6+G7</f>
        <v>157091</v>
      </c>
      <c r="H3" s="249">
        <f>((G3-F3)/F3)*100</f>
        <v>15.180332436375901</v>
      </c>
      <c r="I3" s="247" t="s">
        <v>0</v>
      </c>
      <c r="J3" s="247"/>
      <c r="K3" s="248">
        <v>179806</v>
      </c>
      <c r="L3" s="248">
        <v>136387</v>
      </c>
      <c r="M3" s="249">
        <f>((L3-K3)/K3)*100</f>
        <v>-24.147692513041836</v>
      </c>
      <c r="N3" s="248">
        <v>140444</v>
      </c>
      <c r="O3" s="248">
        <v>136387</v>
      </c>
      <c r="P3" s="249">
        <f>((O3-N3)/N3)*100</f>
        <v>-2.8886958503033235</v>
      </c>
      <c r="Q3" s="247" t="s">
        <v>0</v>
      </c>
      <c r="R3" s="247"/>
      <c r="S3" s="248">
        <v>198496</v>
      </c>
      <c r="T3" s="248">
        <v>140444</v>
      </c>
      <c r="U3" s="249">
        <f>((T3-S3)/S3)*100</f>
        <v>-29.245929389005319</v>
      </c>
      <c r="V3" s="248">
        <v>130737</v>
      </c>
      <c r="W3" s="248">
        <v>140444</v>
      </c>
      <c r="X3" s="249">
        <f>((W3-V3)/V3)*100</f>
        <v>7.4248300022181937</v>
      </c>
      <c r="Y3" s="247" t="s">
        <v>0</v>
      </c>
      <c r="Z3" s="247"/>
      <c r="AA3" s="248">
        <v>178471</v>
      </c>
      <c r="AB3" s="248">
        <v>130737</v>
      </c>
      <c r="AC3" s="249">
        <f>((AB3-AA3)/AA3)*100</f>
        <v>-26.746081996514842</v>
      </c>
      <c r="AD3" s="248">
        <v>131427</v>
      </c>
      <c r="AE3" s="248">
        <v>130737</v>
      </c>
      <c r="AF3" s="249">
        <f>((AE3-AD3)/AD3)*100</f>
        <v>-0.52500627724896709</v>
      </c>
      <c r="AG3" s="247" t="s">
        <v>0</v>
      </c>
      <c r="AH3" s="247"/>
      <c r="AI3" s="248">
        <v>182359</v>
      </c>
      <c r="AJ3" s="248">
        <v>131427</v>
      </c>
      <c r="AK3" s="249">
        <f>((AJ3-AI3)/AI3)*100</f>
        <v>-27.929523631956744</v>
      </c>
      <c r="AL3" s="248">
        <v>63517</v>
      </c>
      <c r="AM3" s="248">
        <v>131427</v>
      </c>
      <c r="AN3" s="249">
        <f>((AM3-AL3)/AL3)*100</f>
        <v>106.91625863941935</v>
      </c>
      <c r="AO3" s="247" t="s">
        <v>0</v>
      </c>
      <c r="AP3" s="247"/>
      <c r="AQ3" s="248">
        <v>151703</v>
      </c>
      <c r="AR3" s="248">
        <v>63517</v>
      </c>
      <c r="AS3" s="249">
        <f>((AR3-AQ3)/AQ3)*100</f>
        <v>-58.13068957106978</v>
      </c>
      <c r="AT3" s="248">
        <v>135386</v>
      </c>
      <c r="AU3" s="248">
        <v>63517</v>
      </c>
      <c r="AV3" s="249">
        <f>((AU3-AT3)/AT3)*100</f>
        <v>-53.08451390838048</v>
      </c>
      <c r="AW3" s="247" t="s">
        <v>0</v>
      </c>
      <c r="AX3" s="247"/>
      <c r="AY3" s="248">
        <v>183424</v>
      </c>
      <c r="AZ3" s="248">
        <v>135386</v>
      </c>
      <c r="BA3" s="249">
        <f>((AZ3-AY3)/AY3)*100</f>
        <v>-26.18959351011863</v>
      </c>
      <c r="BB3" s="248">
        <v>127830</v>
      </c>
      <c r="BC3" s="248">
        <v>135386</v>
      </c>
      <c r="BD3" s="249">
        <f>((BC3-BB3)/BB3)*100</f>
        <v>5.9109755143550027</v>
      </c>
      <c r="BE3" s="247" t="s">
        <v>0</v>
      </c>
      <c r="BF3" s="247"/>
      <c r="BG3" s="248">
        <v>178047</v>
      </c>
      <c r="BH3" s="248">
        <v>127830</v>
      </c>
      <c r="BI3" s="249">
        <f>((BH3-BG3)/BG3)*100</f>
        <v>-28.204350536656055</v>
      </c>
      <c r="BJ3" s="248">
        <v>138329</v>
      </c>
      <c r="BK3" s="248">
        <v>127830</v>
      </c>
      <c r="BL3" s="249">
        <f>((BK3-BJ3)/BJ3)*100</f>
        <v>-7.5898763093783659</v>
      </c>
      <c r="BM3" s="247" t="s">
        <v>0</v>
      </c>
      <c r="BN3" s="247"/>
      <c r="BO3" s="248">
        <v>188278</v>
      </c>
      <c r="BP3" s="248">
        <v>138329</v>
      </c>
      <c r="BQ3" s="249">
        <f>((BP3-BO3)/BO3)*100</f>
        <v>-26.529387395234703</v>
      </c>
      <c r="BR3" s="248">
        <v>122101</v>
      </c>
      <c r="BS3" s="248">
        <v>138329</v>
      </c>
      <c r="BT3" s="249">
        <f>((BS3-BR3)/BR3)*100</f>
        <v>13.290636440323993</v>
      </c>
      <c r="BU3" s="247" t="s">
        <v>0</v>
      </c>
      <c r="BV3" s="247"/>
      <c r="BW3" s="248">
        <v>151313</v>
      </c>
      <c r="BX3" s="248">
        <v>122101</v>
      </c>
      <c r="BY3" s="249">
        <f>((BX3-BW3)/BW3)*100</f>
        <v>-19.30567763510075</v>
      </c>
      <c r="BZ3" s="248">
        <v>133134</v>
      </c>
      <c r="CA3" s="248">
        <v>122101</v>
      </c>
      <c r="CB3" s="249">
        <f>((CA3-BZ3)/BZ3)*100</f>
        <v>-8.2871392732134534</v>
      </c>
      <c r="CC3" s="73"/>
      <c r="CD3" s="247" t="s">
        <v>0</v>
      </c>
      <c r="CE3" s="247"/>
      <c r="CF3" s="248">
        <v>184373</v>
      </c>
      <c r="CG3" s="248">
        <v>133134</v>
      </c>
      <c r="CH3" s="249">
        <f>((CG3-CF3)/CF3)*100</f>
        <v>-27.79094552890065</v>
      </c>
      <c r="CI3" s="248">
        <v>149616</v>
      </c>
      <c r="CJ3" s="248">
        <v>133134</v>
      </c>
      <c r="CK3" s="249">
        <f>((CJ3-CI3)/CI3)*100</f>
        <v>-11.016201475777992</v>
      </c>
      <c r="CL3" s="73"/>
      <c r="CM3" s="247"/>
      <c r="CN3" s="248">
        <f>SUM(CN4:CN5)</f>
        <v>174580</v>
      </c>
      <c r="CO3" s="248">
        <f>SUM(CO4:CO5)</f>
        <v>149616</v>
      </c>
      <c r="CP3" s="249">
        <f>((CO3-CN3)/CN3)*100</f>
        <v>-14.299461564898614</v>
      </c>
      <c r="CQ3" s="248">
        <f>SUM(CQ4:CQ5)</f>
        <v>179219</v>
      </c>
      <c r="CR3" s="248">
        <f>SUM(CR4:CR5)</f>
        <v>149616</v>
      </c>
      <c r="CS3" s="249">
        <f>((CR3-CQ3)/CQ3)*100</f>
        <v>-16.517779922887641</v>
      </c>
      <c r="CT3" s="249"/>
      <c r="CU3" s="73"/>
      <c r="CV3" s="229" t="s">
        <v>0</v>
      </c>
      <c r="CW3" s="229"/>
      <c r="CX3" s="230">
        <f>SUM(CX4:CX5)</f>
        <v>207348</v>
      </c>
      <c r="CY3" s="230">
        <f>SUM(CY4:CY5)</f>
        <v>178259</v>
      </c>
      <c r="CZ3" s="231">
        <f>((CY3-CX3)/CX3)*100</f>
        <v>-14.029071898450912</v>
      </c>
      <c r="DA3" s="230">
        <f>SUM(DA4:DA5)</f>
        <v>189475</v>
      </c>
      <c r="DB3" s="230">
        <f>SUM(DB4:DB5)</f>
        <v>178259</v>
      </c>
      <c r="DC3" s="231">
        <f>((DB3-DA3)/DA3)*100</f>
        <v>-5.9195144478163346</v>
      </c>
      <c r="DD3" s="73"/>
      <c r="DE3" s="100" t="s">
        <v>0</v>
      </c>
      <c r="DF3" s="100"/>
      <c r="DG3" s="101">
        <f>SUM(DG4:DG5)</f>
        <v>221693</v>
      </c>
      <c r="DH3" s="101">
        <f>SUM(DH4:DH5)</f>
        <v>164523</v>
      </c>
      <c r="DI3" s="102">
        <f>((DH3-DG3)/DG3)*100</f>
        <v>-25.787913916993322</v>
      </c>
      <c r="DJ3" s="101">
        <v>139880</v>
      </c>
      <c r="DK3" s="101">
        <v>164523</v>
      </c>
      <c r="DL3" s="102">
        <f>((DK3-DJ3)/DJ3)*100</f>
        <v>17.617243351444095</v>
      </c>
      <c r="DM3" s="155"/>
      <c r="DN3" s="120" t="s">
        <v>0</v>
      </c>
      <c r="DO3" s="120"/>
      <c r="DP3" s="121">
        <f>SUM(DP4:DP5)</f>
        <v>176097</v>
      </c>
      <c r="DQ3" s="121">
        <f>SUM(DQ4:DQ5)</f>
        <v>139880</v>
      </c>
      <c r="DR3" s="125">
        <f>((DQ3-DP3)/DP3)*100</f>
        <v>-20.56650595978353</v>
      </c>
      <c r="DS3" s="121">
        <v>114356</v>
      </c>
      <c r="DT3" s="121">
        <v>139880</v>
      </c>
      <c r="DU3" s="125">
        <f>((DT3-DS3)/DS3)*100</f>
        <v>22.319773339396271</v>
      </c>
      <c r="DV3" s="127"/>
      <c r="DW3" s="100" t="s">
        <v>0</v>
      </c>
      <c r="DX3" s="100"/>
      <c r="DY3" s="101">
        <f>SUM(DY4:DY5)</f>
        <v>126184</v>
      </c>
      <c r="DZ3" s="101">
        <f>SUM(DZ4:DZ5)</f>
        <v>114356</v>
      </c>
      <c r="EA3" s="102">
        <f>((DZ3-DY3)/DY3)*100</f>
        <v>-9.3736131363722812</v>
      </c>
      <c r="EB3" s="101">
        <f>SUM(EB4:EB5)</f>
        <v>147404</v>
      </c>
      <c r="EC3" s="101">
        <v>114356</v>
      </c>
      <c r="ED3" s="102">
        <f>((EC3-EB3)/EB3)*100</f>
        <v>-22.420015739057284</v>
      </c>
      <c r="EE3" s="73"/>
      <c r="EF3" s="74" t="s">
        <v>0</v>
      </c>
      <c r="EG3" s="74"/>
      <c r="EH3" s="75">
        <f>SUM(EH4:EH5)</f>
        <v>158601</v>
      </c>
      <c r="EI3" s="75">
        <f>SUM(EI4:EI5)</f>
        <v>147401</v>
      </c>
      <c r="EJ3" s="76">
        <f t="shared" ref="EJ3:EJ18" si="0">(EI3-EH3)/EH3*100</f>
        <v>-7.0617461428364257</v>
      </c>
      <c r="EK3" s="75">
        <f>SUM(EK4:EK5)</f>
        <v>108217</v>
      </c>
      <c r="EL3" s="75">
        <f>SUM(EL4:EL5)</f>
        <v>147401</v>
      </c>
      <c r="EM3" s="76">
        <f t="shared" ref="EM3:EM18" si="1">(EL3-EK3)/EK3*100</f>
        <v>36.208728757958546</v>
      </c>
      <c r="EN3" s="73"/>
      <c r="EO3" s="63" t="s">
        <v>0</v>
      </c>
      <c r="EP3" s="63"/>
      <c r="EQ3" s="64">
        <f>SUM(EQ4:EQ5)</f>
        <v>133329</v>
      </c>
      <c r="ER3" s="64">
        <f>SUM(ER4:ER5)</f>
        <v>108217</v>
      </c>
      <c r="ES3" s="65">
        <f t="shared" ref="ES3:ES18" si="2">(ER3-EQ3)/EQ3*100</f>
        <v>-18.834612124894061</v>
      </c>
      <c r="ET3" s="64">
        <f>SUM(ET4:ET5)</f>
        <v>150230</v>
      </c>
      <c r="EU3" s="64">
        <f>SUM(EU4:EU5)</f>
        <v>108217</v>
      </c>
      <c r="EV3" s="65">
        <f t="shared" ref="EV3:EV18" si="3">(EU3-ET3)/ET3*100</f>
        <v>-27.965785795114158</v>
      </c>
      <c r="EY3" s="24" t="s">
        <v>0</v>
      </c>
      <c r="EZ3" s="25">
        <v>220757</v>
      </c>
      <c r="FA3" s="25">
        <v>150725</v>
      </c>
      <c r="FB3" s="32">
        <f>(FA3-EZ3)/EZ3*100</f>
        <v>-31.723569354539155</v>
      </c>
      <c r="FC3" s="27">
        <v>160378</v>
      </c>
      <c r="FD3" s="25">
        <v>150725</v>
      </c>
      <c r="FE3" s="32">
        <f>(FD3-FC3)/FC3*100</f>
        <v>-6.0189053361433613</v>
      </c>
    </row>
    <row r="4" spans="1:161" x14ac:dyDescent="0.5">
      <c r="A4" s="250"/>
      <c r="B4" s="250" t="s">
        <v>57</v>
      </c>
      <c r="C4" s="251">
        <v>153953</v>
      </c>
      <c r="D4" s="251">
        <v>130487</v>
      </c>
      <c r="E4" s="249">
        <f t="shared" ref="E4:E8" si="4">((D4-C4)/C4)*100</f>
        <v>-15.242314212779226</v>
      </c>
      <c r="F4" s="251">
        <v>111256</v>
      </c>
      <c r="G4" s="251">
        <v>130487</v>
      </c>
      <c r="H4" s="249">
        <f t="shared" ref="H4:H8" si="5">((G4-F4)/F4)*100</f>
        <v>17.285359890702523</v>
      </c>
      <c r="I4" s="250"/>
      <c r="J4" s="250" t="s">
        <v>57</v>
      </c>
      <c r="K4" s="251">
        <v>142071</v>
      </c>
      <c r="L4" s="251">
        <v>111256</v>
      </c>
      <c r="M4" s="249">
        <f t="shared" ref="M4:M8" si="6">((L4-K4)/K4)*100</f>
        <v>-21.68985929570426</v>
      </c>
      <c r="N4" s="251">
        <v>112721</v>
      </c>
      <c r="O4" s="251">
        <v>111256</v>
      </c>
      <c r="P4" s="249">
        <f t="shared" ref="P4:P8" si="7">((O4-N4)/N4)*100</f>
        <v>-1.2996690944899354</v>
      </c>
      <c r="Q4" s="250"/>
      <c r="R4" s="250" t="s">
        <v>57</v>
      </c>
      <c r="S4" s="251">
        <v>156372</v>
      </c>
      <c r="T4" s="251">
        <v>112721</v>
      </c>
      <c r="U4" s="249">
        <f t="shared" ref="U4:U8" si="8">((T4-S4)/S4)*100</f>
        <v>-27.914844089734736</v>
      </c>
      <c r="V4" s="251">
        <v>107770</v>
      </c>
      <c r="W4" s="251">
        <v>112721</v>
      </c>
      <c r="X4" s="249">
        <f t="shared" ref="X4:X8" si="9">((W4-V4)/V4)*100</f>
        <v>4.5940428690730259</v>
      </c>
      <c r="Y4" s="250"/>
      <c r="Z4" s="250" t="s">
        <v>57</v>
      </c>
      <c r="AA4" s="251">
        <v>148733</v>
      </c>
      <c r="AB4" s="251">
        <v>107770</v>
      </c>
      <c r="AC4" s="249">
        <f t="shared" ref="AC4:AC8" si="10">((AB4-AA4)/AA4)*100</f>
        <v>-27.541298837514205</v>
      </c>
      <c r="AD4" s="251">
        <v>100997</v>
      </c>
      <c r="AE4" s="251">
        <v>107770</v>
      </c>
      <c r="AF4" s="249">
        <f t="shared" ref="AF4:AF8" si="11">((AE4-AD4)/AD4)*100</f>
        <v>6.7061397863302865</v>
      </c>
      <c r="AG4" s="250"/>
      <c r="AH4" s="250" t="s">
        <v>57</v>
      </c>
      <c r="AI4" s="251">
        <v>140722</v>
      </c>
      <c r="AJ4" s="251">
        <v>100997</v>
      </c>
      <c r="AK4" s="249">
        <f t="shared" ref="AK4:AK8" si="12">((AJ4-AI4)/AI4)*100</f>
        <v>-28.229416864456162</v>
      </c>
      <c r="AL4" s="251">
        <v>51339</v>
      </c>
      <c r="AM4" s="251">
        <v>100997</v>
      </c>
      <c r="AN4" s="249">
        <f t="shared" ref="AN4:AN8" si="13">((AM4-AL4)/AL4)*100</f>
        <v>96.725686125557559</v>
      </c>
      <c r="AO4" s="250"/>
      <c r="AP4" s="250" t="s">
        <v>57</v>
      </c>
      <c r="AQ4" s="251">
        <v>122273</v>
      </c>
      <c r="AR4" s="251">
        <v>51339</v>
      </c>
      <c r="AS4" s="249">
        <f t="shared" ref="AS4:AS8" si="14">((AR4-AQ4)/AQ4)*100</f>
        <v>-58.012807406377533</v>
      </c>
      <c r="AT4" s="251">
        <v>108669</v>
      </c>
      <c r="AU4" s="251">
        <v>51339</v>
      </c>
      <c r="AV4" s="249">
        <f t="shared" ref="AV4:AV14" si="15">((AU4-AT4)/AT4)*100</f>
        <v>-52.756535902603318</v>
      </c>
      <c r="AW4" s="250"/>
      <c r="AX4" s="250" t="s">
        <v>57</v>
      </c>
      <c r="AY4" s="251">
        <v>147893</v>
      </c>
      <c r="AZ4" s="251">
        <v>108669</v>
      </c>
      <c r="BA4" s="249">
        <f t="shared" ref="BA4:BA18" si="16">((AZ4-AY4)/AY4)*100</f>
        <v>-26.521877303185409</v>
      </c>
      <c r="BB4" s="251">
        <v>103078</v>
      </c>
      <c r="BC4" s="251">
        <v>108669</v>
      </c>
      <c r="BD4" s="249">
        <f t="shared" ref="BD4:BD14" si="17">((BC4-BB4)/BB4)*100</f>
        <v>5.4240478084557324</v>
      </c>
      <c r="BE4" s="250"/>
      <c r="BF4" s="250" t="s">
        <v>57</v>
      </c>
      <c r="BG4" s="251">
        <v>144326</v>
      </c>
      <c r="BH4" s="251">
        <v>103078</v>
      </c>
      <c r="BI4" s="249">
        <f t="shared" ref="BI4:BI18" si="18">((BH4-BG4)/BG4)*100</f>
        <v>-28.579743081634636</v>
      </c>
      <c r="BJ4" s="251">
        <v>108343</v>
      </c>
      <c r="BK4" s="251">
        <v>103078</v>
      </c>
      <c r="BL4" s="249">
        <f t="shared" ref="BL4:BL18" si="19">((BK4-BJ4)/BJ4)*100</f>
        <v>-4.8595663771540387</v>
      </c>
      <c r="BM4" s="250"/>
      <c r="BN4" s="250" t="s">
        <v>57</v>
      </c>
      <c r="BO4" s="251">
        <v>140746</v>
      </c>
      <c r="BP4" s="251">
        <v>108343</v>
      </c>
      <c r="BQ4" s="249">
        <f t="shared" ref="BQ4:BQ18" si="20">((BP4-BO4)/BO4)*100</f>
        <v>-23.022323902633111</v>
      </c>
      <c r="BR4" s="251">
        <v>90865</v>
      </c>
      <c r="BS4" s="251">
        <v>108343</v>
      </c>
      <c r="BT4" s="249">
        <f t="shared" ref="BT4:BT12" si="21">((BS4-BR4)/BR4)*100</f>
        <v>19.235129037583228</v>
      </c>
      <c r="BU4" s="250"/>
      <c r="BV4" s="250" t="s">
        <v>57</v>
      </c>
      <c r="BW4" s="251">
        <v>106332</v>
      </c>
      <c r="BX4" s="251">
        <v>90865</v>
      </c>
      <c r="BY4" s="249">
        <f t="shared" ref="BY4:BY18" si="22">((BX4-BW4)/BW4)*100</f>
        <v>-14.545950419440995</v>
      </c>
      <c r="BZ4" s="251">
        <v>101476</v>
      </c>
      <c r="CA4" s="251">
        <v>90865</v>
      </c>
      <c r="CB4" s="249">
        <f t="shared" ref="CB4:CB18" si="23">((CA4-BZ4)/BZ4)*100</f>
        <v>-10.456659702786867</v>
      </c>
      <c r="CC4" s="73"/>
      <c r="CD4" s="250"/>
      <c r="CE4" s="250" t="s">
        <v>57</v>
      </c>
      <c r="CF4" s="251">
        <v>147295</v>
      </c>
      <c r="CG4" s="251">
        <v>101476</v>
      </c>
      <c r="CH4" s="249">
        <f t="shared" ref="CH4:CH18" si="24">((CG4-CF4)/CF4)*100</f>
        <v>-31.106962218676802</v>
      </c>
      <c r="CI4" s="251">
        <v>120986</v>
      </c>
      <c r="CJ4" s="251">
        <v>101476</v>
      </c>
      <c r="CK4" s="249">
        <f t="shared" ref="CK4:CK18" si="25">((CJ4-CI4)/CI4)*100</f>
        <v>-16.125832740978293</v>
      </c>
      <c r="CL4" s="73"/>
      <c r="CM4" s="250" t="s">
        <v>57</v>
      </c>
      <c r="CN4" s="251">
        <v>141588</v>
      </c>
      <c r="CO4" s="251">
        <v>120986</v>
      </c>
      <c r="CP4" s="249">
        <f t="shared" ref="CP4:CP18" si="26">((CO4-CN4)/CN4)*100</f>
        <v>-14.550668135717718</v>
      </c>
      <c r="CQ4" s="251">
        <v>149486</v>
      </c>
      <c r="CR4" s="251">
        <v>120986</v>
      </c>
      <c r="CS4" s="249">
        <f t="shared" ref="CS4:CS18" si="27">((CR4-CQ4)/CQ4)*100</f>
        <v>-19.065330532625129</v>
      </c>
      <c r="CT4" s="249"/>
      <c r="CU4" s="73"/>
      <c r="CV4" s="232"/>
      <c r="CW4" s="232" t="s">
        <v>57</v>
      </c>
      <c r="CX4" s="233">
        <v>174953</v>
      </c>
      <c r="CY4" s="233">
        <v>148526</v>
      </c>
      <c r="CZ4" s="231">
        <f t="shared" ref="CZ4:CZ18" si="28">((CY4-CX4)/CX4)*100</f>
        <v>-15.105199682200363</v>
      </c>
      <c r="DA4" s="233">
        <v>171836</v>
      </c>
      <c r="DB4" s="233">
        <v>148526</v>
      </c>
      <c r="DC4" s="231">
        <f t="shared" ref="DC4:DC18" si="29">((DB4-DA4)/DA4)*100</f>
        <v>-13.565259898973439</v>
      </c>
      <c r="DD4" s="73"/>
      <c r="DE4" s="103"/>
      <c r="DF4" s="103" t="s">
        <v>57</v>
      </c>
      <c r="DG4" s="104">
        <v>203842</v>
      </c>
      <c r="DH4" s="104">
        <v>151782</v>
      </c>
      <c r="DI4" s="102">
        <f t="shared" ref="DI4:DI18" si="30">((DH4-DG4)/DG4)*100</f>
        <v>-25.539388349800333</v>
      </c>
      <c r="DJ4" s="104">
        <v>134140</v>
      </c>
      <c r="DK4" s="104">
        <v>151782</v>
      </c>
      <c r="DL4" s="102">
        <f t="shared" ref="DL4:DL18" si="31">((DK4-DJ4)/DJ4)*100</f>
        <v>13.151930818547786</v>
      </c>
      <c r="DM4" s="155"/>
      <c r="DN4" s="24"/>
      <c r="DO4" s="24" t="s">
        <v>57</v>
      </c>
      <c r="DP4" s="123">
        <v>168517</v>
      </c>
      <c r="DQ4" s="123">
        <v>134140</v>
      </c>
      <c r="DR4" s="128">
        <f t="shared" ref="DR4:DR18" si="32">((DQ4-DP4)/DP4)*100</f>
        <v>-20.399722283211783</v>
      </c>
      <c r="DS4" s="123">
        <v>102273</v>
      </c>
      <c r="DT4" s="123">
        <v>134140</v>
      </c>
      <c r="DU4" s="128">
        <f t="shared" ref="DU4:DU18" si="33">((DT4-DS4)/DS4)*100</f>
        <v>31.158761354414167</v>
      </c>
      <c r="DV4" s="127"/>
      <c r="DW4" s="103"/>
      <c r="DX4" s="103" t="s">
        <v>57</v>
      </c>
      <c r="DY4" s="104">
        <v>110624</v>
      </c>
      <c r="DZ4" s="104">
        <v>102273</v>
      </c>
      <c r="EA4" s="102">
        <f t="shared" ref="EA4:EA18" si="34">((DZ4-DY4)/DY4)*100</f>
        <v>-7.5489947931732724</v>
      </c>
      <c r="EB4" s="105">
        <v>134886</v>
      </c>
      <c r="EC4" s="104">
        <v>102273</v>
      </c>
      <c r="ED4" s="102">
        <f t="shared" ref="ED4:ED18" si="35">((EC4-EB4)/EB4)*100</f>
        <v>-24.178194920154798</v>
      </c>
      <c r="EE4" s="61"/>
      <c r="EF4" s="77"/>
      <c r="EG4" s="77" t="s">
        <v>57</v>
      </c>
      <c r="EH4" s="78">
        <v>145820</v>
      </c>
      <c r="EI4" s="78">
        <v>134883</v>
      </c>
      <c r="EJ4" s="79">
        <f t="shared" si="0"/>
        <v>-7.5003428884926615</v>
      </c>
      <c r="EK4" s="80">
        <v>99001</v>
      </c>
      <c r="EL4" s="78">
        <v>134883</v>
      </c>
      <c r="EM4" s="79">
        <f t="shared" si="1"/>
        <v>36.244078342643007</v>
      </c>
      <c r="EN4" s="61"/>
      <c r="EO4" s="42"/>
      <c r="EP4" s="42" t="s">
        <v>57</v>
      </c>
      <c r="EQ4" s="43">
        <v>122672</v>
      </c>
      <c r="ER4" s="43">
        <v>99001</v>
      </c>
      <c r="ES4" s="44">
        <f t="shared" si="2"/>
        <v>-19.296171905569324</v>
      </c>
      <c r="ET4" s="45">
        <v>144521</v>
      </c>
      <c r="EU4" s="43">
        <v>99001</v>
      </c>
      <c r="EV4" s="44">
        <f t="shared" si="3"/>
        <v>-31.497152662934795</v>
      </c>
      <c r="EY4" s="24"/>
      <c r="EZ4" s="25"/>
      <c r="FA4" s="25"/>
      <c r="FB4" s="32"/>
      <c r="FC4" s="27"/>
      <c r="FD4" s="25"/>
      <c r="FE4" s="32"/>
    </row>
    <row r="5" spans="1:161" x14ac:dyDescent="0.5">
      <c r="A5" s="250"/>
      <c r="B5" s="250" t="s">
        <v>58</v>
      </c>
      <c r="C5" s="251">
        <v>27178</v>
      </c>
      <c r="D5" s="251">
        <v>22211</v>
      </c>
      <c r="E5" s="249">
        <f t="shared" si="4"/>
        <v>-18.275811317977777</v>
      </c>
      <c r="F5" s="251">
        <v>21859</v>
      </c>
      <c r="G5" s="251">
        <v>22211</v>
      </c>
      <c r="H5" s="249">
        <f t="shared" si="5"/>
        <v>1.6103206917059334</v>
      </c>
      <c r="I5" s="250"/>
      <c r="J5" s="250" t="s">
        <v>58</v>
      </c>
      <c r="K5" s="251">
        <v>33796</v>
      </c>
      <c r="L5" s="251">
        <v>21859</v>
      </c>
      <c r="M5" s="249">
        <f t="shared" si="6"/>
        <v>-35.32074801751687</v>
      </c>
      <c r="N5" s="251">
        <v>27723</v>
      </c>
      <c r="O5" s="251">
        <v>21859</v>
      </c>
      <c r="P5" s="249">
        <f t="shared" si="7"/>
        <v>-21.152111964794575</v>
      </c>
      <c r="Q5" s="250"/>
      <c r="R5" s="250" t="s">
        <v>58</v>
      </c>
      <c r="S5" s="251">
        <v>42124</v>
      </c>
      <c r="T5" s="251">
        <v>27723</v>
      </c>
      <c r="U5" s="249">
        <f t="shared" si="8"/>
        <v>-34.187161713037703</v>
      </c>
      <c r="V5" s="251">
        <v>22967</v>
      </c>
      <c r="W5" s="251">
        <v>27723</v>
      </c>
      <c r="X5" s="249">
        <f t="shared" si="9"/>
        <v>20.70797230809422</v>
      </c>
      <c r="Y5" s="250"/>
      <c r="Z5" s="250" t="s">
        <v>58</v>
      </c>
      <c r="AA5" s="251">
        <v>29738</v>
      </c>
      <c r="AB5" s="251">
        <v>22967</v>
      </c>
      <c r="AC5" s="249">
        <f t="shared" si="10"/>
        <v>-22.768847938664337</v>
      </c>
      <c r="AD5" s="251">
        <v>30430</v>
      </c>
      <c r="AE5" s="251">
        <v>22967</v>
      </c>
      <c r="AF5" s="249">
        <f t="shared" si="11"/>
        <v>-24.525139664804467</v>
      </c>
      <c r="AG5" s="250"/>
      <c r="AH5" s="250" t="s">
        <v>58</v>
      </c>
      <c r="AI5" s="251">
        <v>41637</v>
      </c>
      <c r="AJ5" s="251">
        <v>30430</v>
      </c>
      <c r="AK5" s="249">
        <f t="shared" si="12"/>
        <v>-26.915964166486539</v>
      </c>
      <c r="AL5" s="251">
        <v>12178</v>
      </c>
      <c r="AM5" s="251">
        <v>30430</v>
      </c>
      <c r="AN5" s="249">
        <f t="shared" si="13"/>
        <v>149.87682706519954</v>
      </c>
      <c r="AO5" s="250"/>
      <c r="AP5" s="250" t="s">
        <v>58</v>
      </c>
      <c r="AQ5" s="251">
        <v>29430</v>
      </c>
      <c r="AR5" s="251">
        <v>12178</v>
      </c>
      <c r="AS5" s="249">
        <f t="shared" si="14"/>
        <v>-58.620455317703026</v>
      </c>
      <c r="AT5" s="251">
        <v>26717</v>
      </c>
      <c r="AU5" s="251">
        <v>12178</v>
      </c>
      <c r="AV5" s="249">
        <f t="shared" si="15"/>
        <v>-54.418535015158888</v>
      </c>
      <c r="AW5" s="250"/>
      <c r="AX5" s="250" t="s">
        <v>58</v>
      </c>
      <c r="AY5" s="251">
        <v>35531</v>
      </c>
      <c r="AZ5" s="251">
        <v>26717</v>
      </c>
      <c r="BA5" s="249">
        <f t="shared" si="16"/>
        <v>-24.806506993892658</v>
      </c>
      <c r="BB5" s="251">
        <v>24752</v>
      </c>
      <c r="BC5" s="251">
        <v>26717</v>
      </c>
      <c r="BD5" s="249">
        <f t="shared" si="17"/>
        <v>7.938752424046541</v>
      </c>
      <c r="BE5" s="250"/>
      <c r="BF5" s="250" t="s">
        <v>58</v>
      </c>
      <c r="BG5" s="251">
        <v>33721</v>
      </c>
      <c r="BH5" s="251">
        <v>24752</v>
      </c>
      <c r="BI5" s="249">
        <f t="shared" si="18"/>
        <v>-26.597669108270811</v>
      </c>
      <c r="BJ5" s="251">
        <v>29986</v>
      </c>
      <c r="BK5" s="251">
        <v>24752</v>
      </c>
      <c r="BL5" s="249">
        <f t="shared" si="19"/>
        <v>-17.454812245714667</v>
      </c>
      <c r="BM5" s="250"/>
      <c r="BN5" s="250" t="s">
        <v>58</v>
      </c>
      <c r="BO5" s="251">
        <v>47532</v>
      </c>
      <c r="BP5" s="251">
        <v>29986</v>
      </c>
      <c r="BQ5" s="249">
        <f t="shared" si="20"/>
        <v>-36.914078936295546</v>
      </c>
      <c r="BR5" s="251">
        <v>31236</v>
      </c>
      <c r="BS5" s="251">
        <v>29986</v>
      </c>
      <c r="BT5" s="249">
        <f t="shared" si="21"/>
        <v>-4.0017928031758228</v>
      </c>
      <c r="BU5" s="250"/>
      <c r="BV5" s="250" t="s">
        <v>58</v>
      </c>
      <c r="BW5" s="251">
        <v>44981</v>
      </c>
      <c r="BX5" s="251">
        <v>31236</v>
      </c>
      <c r="BY5" s="249">
        <f t="shared" si="22"/>
        <v>-30.557346435161513</v>
      </c>
      <c r="BZ5" s="251">
        <v>31658</v>
      </c>
      <c r="CA5" s="251">
        <v>31236</v>
      </c>
      <c r="CB5" s="249">
        <f t="shared" si="23"/>
        <v>-1.3329963990144671</v>
      </c>
      <c r="CC5" s="73"/>
      <c r="CD5" s="250"/>
      <c r="CE5" s="250" t="s">
        <v>58</v>
      </c>
      <c r="CF5" s="251">
        <v>37078</v>
      </c>
      <c r="CG5" s="251">
        <v>31658</v>
      </c>
      <c r="CH5" s="249">
        <f t="shared" si="24"/>
        <v>-14.617832677059173</v>
      </c>
      <c r="CI5" s="251">
        <v>28630</v>
      </c>
      <c r="CJ5" s="251">
        <v>31658</v>
      </c>
      <c r="CK5" s="249">
        <f t="shared" si="25"/>
        <v>10.576318546978694</v>
      </c>
      <c r="CL5" s="73"/>
      <c r="CM5" s="250" t="s">
        <v>58</v>
      </c>
      <c r="CN5" s="251">
        <v>32992</v>
      </c>
      <c r="CO5" s="251">
        <v>28630</v>
      </c>
      <c r="CP5" s="249">
        <f t="shared" si="26"/>
        <v>-13.221387002909795</v>
      </c>
      <c r="CQ5" s="251">
        <v>29733</v>
      </c>
      <c r="CR5" s="251">
        <v>28630</v>
      </c>
      <c r="CS5" s="249">
        <f t="shared" si="27"/>
        <v>-3.7096828439780718</v>
      </c>
      <c r="CT5" s="249"/>
      <c r="CU5" s="73"/>
      <c r="CV5" s="232"/>
      <c r="CW5" s="232" t="s">
        <v>58</v>
      </c>
      <c r="CX5" s="233">
        <v>32395</v>
      </c>
      <c r="CY5" s="233">
        <v>29733</v>
      </c>
      <c r="CZ5" s="231">
        <f t="shared" si="28"/>
        <v>-8.2173174872665538</v>
      </c>
      <c r="DA5" s="233">
        <v>17639</v>
      </c>
      <c r="DB5" s="233">
        <v>29733</v>
      </c>
      <c r="DC5" s="231">
        <f t="shared" si="29"/>
        <v>68.563977549747719</v>
      </c>
      <c r="DD5" s="73"/>
      <c r="DE5" s="103"/>
      <c r="DF5" s="103" t="s">
        <v>58</v>
      </c>
      <c r="DG5" s="104">
        <v>17851</v>
      </c>
      <c r="DH5" s="104">
        <v>12741</v>
      </c>
      <c r="DI5" s="102">
        <f t="shared" si="30"/>
        <v>-28.625847291468265</v>
      </c>
      <c r="DJ5" s="104">
        <v>5740</v>
      </c>
      <c r="DK5" s="104">
        <v>12741</v>
      </c>
      <c r="DL5" s="102">
        <f t="shared" si="31"/>
        <v>121.96864111498257</v>
      </c>
      <c r="DM5" s="155"/>
      <c r="DN5" s="24"/>
      <c r="DO5" s="24" t="s">
        <v>58</v>
      </c>
      <c r="DP5" s="123">
        <v>7580</v>
      </c>
      <c r="DQ5" s="123">
        <v>5740</v>
      </c>
      <c r="DR5" s="128">
        <f t="shared" si="32"/>
        <v>-24.274406332453825</v>
      </c>
      <c r="DS5" s="123">
        <v>12083</v>
      </c>
      <c r="DT5" s="123">
        <v>5740</v>
      </c>
      <c r="DU5" s="128">
        <f t="shared" si="33"/>
        <v>-52.495241248034432</v>
      </c>
      <c r="DV5" s="127"/>
      <c r="DW5" s="103"/>
      <c r="DX5" s="103" t="s">
        <v>58</v>
      </c>
      <c r="DY5" s="104">
        <v>15560</v>
      </c>
      <c r="DZ5" s="104">
        <v>12083</v>
      </c>
      <c r="EA5" s="102">
        <f t="shared" si="34"/>
        <v>-22.345758354755784</v>
      </c>
      <c r="EB5" s="109">
        <v>12518</v>
      </c>
      <c r="EC5" s="104">
        <v>12083</v>
      </c>
      <c r="ED5" s="102">
        <f t="shared" si="35"/>
        <v>-3.4749960057517173</v>
      </c>
      <c r="EE5" s="61"/>
      <c r="EF5" s="77"/>
      <c r="EG5" s="77" t="s">
        <v>58</v>
      </c>
      <c r="EH5" s="78">
        <v>12781</v>
      </c>
      <c r="EI5" s="78">
        <v>12518</v>
      </c>
      <c r="EJ5" s="79">
        <f t="shared" si="0"/>
        <v>-2.0577419607229483</v>
      </c>
      <c r="EK5" s="81">
        <v>9216</v>
      </c>
      <c r="EL5" s="78">
        <v>12518</v>
      </c>
      <c r="EM5" s="79">
        <f t="shared" si="1"/>
        <v>35.828993055555557</v>
      </c>
      <c r="EN5" s="61"/>
      <c r="EO5" s="42"/>
      <c r="EP5" s="42" t="s">
        <v>58</v>
      </c>
      <c r="EQ5" s="43">
        <v>10657</v>
      </c>
      <c r="ER5" s="43">
        <v>9216</v>
      </c>
      <c r="ES5" s="44">
        <f t="shared" si="2"/>
        <v>-13.521628976259736</v>
      </c>
      <c r="ET5" s="45">
        <v>5709</v>
      </c>
      <c r="EU5" s="43">
        <v>9216</v>
      </c>
      <c r="EV5" s="44">
        <f t="shared" si="3"/>
        <v>61.42932212296374</v>
      </c>
      <c r="EY5" s="24"/>
      <c r="EZ5" s="25"/>
      <c r="FA5" s="25"/>
      <c r="FB5" s="32"/>
      <c r="FC5" s="27"/>
      <c r="FD5" s="25"/>
      <c r="FE5" s="32"/>
    </row>
    <row r="6" spans="1:161" x14ac:dyDescent="0.5">
      <c r="A6" s="250"/>
      <c r="B6" s="307" t="s">
        <v>763</v>
      </c>
      <c r="C6" s="251">
        <v>162</v>
      </c>
      <c r="D6" s="251">
        <v>360</v>
      </c>
      <c r="E6" s="249">
        <f t="shared" si="4"/>
        <v>122.22222222222223</v>
      </c>
      <c r="F6" s="251">
        <v>0</v>
      </c>
      <c r="G6" s="251">
        <v>360</v>
      </c>
      <c r="H6" s="249" t="e">
        <f>((G6-F6)/F6)*100</f>
        <v>#DIV/0!</v>
      </c>
      <c r="I6" s="250"/>
      <c r="J6" s="307" t="s">
        <v>763</v>
      </c>
      <c r="K6" s="251">
        <v>0</v>
      </c>
      <c r="L6" s="251">
        <v>0</v>
      </c>
      <c r="M6" s="249" t="e">
        <f t="shared" ref="M6:M7" si="36">((L6-K6)/K6)*100</f>
        <v>#DIV/0!</v>
      </c>
      <c r="N6" s="251">
        <v>0</v>
      </c>
      <c r="O6" s="251">
        <v>0</v>
      </c>
      <c r="P6" s="249" t="e">
        <f t="shared" ref="P6:P7" si="37">((O6-N6)/N6)*100</f>
        <v>#DIV/0!</v>
      </c>
      <c r="Q6" s="250"/>
      <c r="R6" s="250"/>
      <c r="S6" s="251"/>
      <c r="T6" s="251"/>
      <c r="U6" s="249"/>
      <c r="V6" s="251"/>
      <c r="W6" s="251"/>
      <c r="X6" s="249"/>
      <c r="Y6" s="250"/>
      <c r="Z6" s="250"/>
      <c r="AA6" s="251"/>
      <c r="AB6" s="251"/>
      <c r="AC6" s="249"/>
      <c r="AD6" s="251"/>
      <c r="AE6" s="251"/>
      <c r="AF6" s="249"/>
      <c r="AG6" s="250"/>
      <c r="AH6" s="250"/>
      <c r="AI6" s="251"/>
      <c r="AJ6" s="251"/>
      <c r="AK6" s="249"/>
      <c r="AL6" s="251"/>
      <c r="AM6" s="251"/>
      <c r="AN6" s="249"/>
      <c r="AO6" s="250"/>
      <c r="AP6" s="250"/>
      <c r="AQ6" s="251"/>
      <c r="AR6" s="251"/>
      <c r="AS6" s="249"/>
      <c r="AT6" s="251"/>
      <c r="AU6" s="251"/>
      <c r="AV6" s="249"/>
      <c r="AW6" s="250"/>
      <c r="AX6" s="250"/>
      <c r="AY6" s="251"/>
      <c r="AZ6" s="251"/>
      <c r="BA6" s="249"/>
      <c r="BB6" s="251"/>
      <c r="BC6" s="251"/>
      <c r="BD6" s="249"/>
      <c r="BE6" s="250"/>
      <c r="BF6" s="250"/>
      <c r="BG6" s="251"/>
      <c r="BH6" s="251"/>
      <c r="BI6" s="249"/>
      <c r="BJ6" s="251"/>
      <c r="BK6" s="251"/>
      <c r="BL6" s="249"/>
      <c r="BM6" s="250"/>
      <c r="BN6" s="250"/>
      <c r="BO6" s="251"/>
      <c r="BP6" s="251"/>
      <c r="BQ6" s="249"/>
      <c r="BR6" s="251"/>
      <c r="BS6" s="251"/>
      <c r="BT6" s="249"/>
      <c r="BU6" s="250"/>
      <c r="BV6" s="250"/>
      <c r="BW6" s="251"/>
      <c r="BX6" s="251"/>
      <c r="BY6" s="249"/>
      <c r="BZ6" s="251"/>
      <c r="CA6" s="251"/>
      <c r="CB6" s="249"/>
      <c r="CC6" s="73"/>
      <c r="CD6" s="250"/>
      <c r="CE6" s="250"/>
      <c r="CF6" s="251"/>
      <c r="CG6" s="251"/>
      <c r="CH6" s="249"/>
      <c r="CI6" s="251"/>
      <c r="CJ6" s="251"/>
      <c r="CK6" s="249"/>
      <c r="CL6" s="73"/>
      <c r="CM6" s="250"/>
      <c r="CN6" s="251"/>
      <c r="CO6" s="251"/>
      <c r="CP6" s="249"/>
      <c r="CQ6" s="251"/>
      <c r="CR6" s="251"/>
      <c r="CS6" s="249"/>
      <c r="CT6" s="249"/>
      <c r="CU6" s="73"/>
      <c r="CV6" s="232"/>
      <c r="CW6" s="232"/>
      <c r="CX6" s="233"/>
      <c r="CY6" s="233"/>
      <c r="CZ6" s="231"/>
      <c r="DA6" s="233"/>
      <c r="DB6" s="233"/>
      <c r="DC6" s="231"/>
      <c r="DD6" s="73"/>
      <c r="DE6" s="103"/>
      <c r="DF6" s="103"/>
      <c r="DG6" s="104"/>
      <c r="DH6" s="104"/>
      <c r="DI6" s="102"/>
      <c r="DJ6" s="104"/>
      <c r="DK6" s="104"/>
      <c r="DL6" s="102"/>
      <c r="DM6" s="155"/>
      <c r="DN6" s="24"/>
      <c r="DO6" s="24"/>
      <c r="DP6" s="123"/>
      <c r="DQ6" s="123"/>
      <c r="DR6" s="128"/>
      <c r="DS6" s="123"/>
      <c r="DT6" s="123"/>
      <c r="DU6" s="128"/>
      <c r="DV6" s="127"/>
      <c r="DW6" s="103"/>
      <c r="DX6" s="103"/>
      <c r="DY6" s="104"/>
      <c r="DZ6" s="104"/>
      <c r="EA6" s="102"/>
      <c r="EB6" s="109"/>
      <c r="EC6" s="104"/>
      <c r="ED6" s="102"/>
      <c r="EE6" s="61"/>
      <c r="EF6" s="77"/>
      <c r="EG6" s="77"/>
      <c r="EH6" s="78"/>
      <c r="EI6" s="78"/>
      <c r="EJ6" s="79"/>
      <c r="EK6" s="81"/>
      <c r="EL6" s="78"/>
      <c r="EM6" s="79"/>
      <c r="EN6" s="61"/>
      <c r="EO6" s="42"/>
      <c r="EP6" s="42"/>
      <c r="EQ6" s="43"/>
      <c r="ER6" s="43"/>
      <c r="ES6" s="44"/>
      <c r="ET6" s="45"/>
      <c r="EU6" s="43"/>
      <c r="EV6" s="44"/>
      <c r="EY6" s="24"/>
      <c r="EZ6" s="25"/>
      <c r="FA6" s="25"/>
      <c r="FB6" s="32"/>
      <c r="FC6" s="27"/>
      <c r="FD6" s="25"/>
      <c r="FE6" s="32"/>
    </row>
    <row r="7" spans="1:161" x14ac:dyDescent="0.5">
      <c r="A7" s="250"/>
      <c r="B7" s="307" t="s">
        <v>808</v>
      </c>
      <c r="C7" s="251">
        <v>4638</v>
      </c>
      <c r="D7" s="251">
        <v>4033</v>
      </c>
      <c r="E7" s="249">
        <f t="shared" si="4"/>
        <v>-13.044415696420872</v>
      </c>
      <c r="F7" s="251">
        <v>3272</v>
      </c>
      <c r="G7" s="251">
        <v>4033</v>
      </c>
      <c r="H7" s="249">
        <f t="shared" si="5"/>
        <v>23.257946210268948</v>
      </c>
      <c r="I7" s="250"/>
      <c r="J7" s="307" t="s">
        <v>808</v>
      </c>
      <c r="K7" s="251">
        <v>3939</v>
      </c>
      <c r="L7" s="251">
        <v>3272</v>
      </c>
      <c r="M7" s="249">
        <f t="shared" si="36"/>
        <v>-16.933231784716934</v>
      </c>
      <c r="N7" s="251">
        <v>0</v>
      </c>
      <c r="O7" s="251">
        <v>3272</v>
      </c>
      <c r="P7" s="249" t="e">
        <f t="shared" si="37"/>
        <v>#DIV/0!</v>
      </c>
      <c r="Q7" s="250"/>
      <c r="R7" s="250"/>
      <c r="S7" s="251"/>
      <c r="T7" s="251"/>
      <c r="U7" s="249"/>
      <c r="V7" s="251"/>
      <c r="W7" s="251"/>
      <c r="X7" s="249"/>
      <c r="Y7" s="250"/>
      <c r="Z7" s="250"/>
      <c r="AA7" s="251"/>
      <c r="AB7" s="251"/>
      <c r="AC7" s="249"/>
      <c r="AD7" s="251"/>
      <c r="AE7" s="251"/>
      <c r="AF7" s="249"/>
      <c r="AG7" s="250"/>
      <c r="AH7" s="250"/>
      <c r="AI7" s="251"/>
      <c r="AJ7" s="251"/>
      <c r="AK7" s="249"/>
      <c r="AL7" s="251"/>
      <c r="AM7" s="251"/>
      <c r="AN7" s="249"/>
      <c r="AO7" s="250"/>
      <c r="AP7" s="250"/>
      <c r="AQ7" s="251"/>
      <c r="AR7" s="251"/>
      <c r="AS7" s="249"/>
      <c r="AT7" s="251"/>
      <c r="AU7" s="251"/>
      <c r="AV7" s="249"/>
      <c r="AW7" s="250"/>
      <c r="AX7" s="250"/>
      <c r="AY7" s="251"/>
      <c r="AZ7" s="251"/>
      <c r="BA7" s="249"/>
      <c r="BB7" s="251"/>
      <c r="BC7" s="251"/>
      <c r="BD7" s="249"/>
      <c r="BE7" s="250"/>
      <c r="BF7" s="250"/>
      <c r="BG7" s="251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250"/>
      <c r="BV7" s="250"/>
      <c r="BW7" s="251"/>
      <c r="BX7" s="251"/>
      <c r="BY7" s="249"/>
      <c r="BZ7" s="251"/>
      <c r="CA7" s="251"/>
      <c r="CB7" s="249"/>
      <c r="CC7" s="73"/>
      <c r="CD7" s="250"/>
      <c r="CE7" s="250"/>
      <c r="CF7" s="251"/>
      <c r="CG7" s="251"/>
      <c r="CH7" s="249"/>
      <c r="CI7" s="251"/>
      <c r="CJ7" s="251"/>
      <c r="CK7" s="249"/>
      <c r="CL7" s="73"/>
      <c r="CM7" s="250"/>
      <c r="CN7" s="251"/>
      <c r="CO7" s="251"/>
      <c r="CP7" s="249"/>
      <c r="CQ7" s="251"/>
      <c r="CR7" s="251"/>
      <c r="CS7" s="249"/>
      <c r="CT7" s="249"/>
      <c r="CU7" s="73"/>
      <c r="CV7" s="232"/>
      <c r="CW7" s="232"/>
      <c r="CX7" s="233"/>
      <c r="CY7" s="233"/>
      <c r="CZ7" s="231"/>
      <c r="DA7" s="233"/>
      <c r="DB7" s="233"/>
      <c r="DC7" s="231"/>
      <c r="DD7" s="73"/>
      <c r="DE7" s="103"/>
      <c r="DF7" s="103"/>
      <c r="DG7" s="104"/>
      <c r="DH7" s="104"/>
      <c r="DI7" s="102"/>
      <c r="DJ7" s="104"/>
      <c r="DK7" s="104"/>
      <c r="DL7" s="102"/>
      <c r="DM7" s="155"/>
      <c r="DN7" s="24"/>
      <c r="DO7" s="24"/>
      <c r="DP7" s="123"/>
      <c r="DQ7" s="123"/>
      <c r="DR7" s="128"/>
      <c r="DS7" s="123"/>
      <c r="DT7" s="123"/>
      <c r="DU7" s="128"/>
      <c r="DV7" s="127"/>
      <c r="DW7" s="103"/>
      <c r="DX7" s="103"/>
      <c r="DY7" s="104"/>
      <c r="DZ7" s="104"/>
      <c r="EA7" s="102"/>
      <c r="EB7" s="109"/>
      <c r="EC7" s="104"/>
      <c r="ED7" s="102"/>
      <c r="EE7" s="61"/>
      <c r="EF7" s="77"/>
      <c r="EG7" s="77"/>
      <c r="EH7" s="78"/>
      <c r="EI7" s="78"/>
      <c r="EJ7" s="79"/>
      <c r="EK7" s="81"/>
      <c r="EL7" s="78"/>
      <c r="EM7" s="79"/>
      <c r="EN7" s="61"/>
      <c r="EO7" s="42"/>
      <c r="EP7" s="42"/>
      <c r="EQ7" s="43"/>
      <c r="ER7" s="43"/>
      <c r="ES7" s="44"/>
      <c r="ET7" s="45"/>
      <c r="EU7" s="43"/>
      <c r="EV7" s="44"/>
      <c r="EY7" s="24"/>
      <c r="EZ7" s="25"/>
      <c r="FA7" s="25"/>
      <c r="FB7" s="32"/>
      <c r="FC7" s="27"/>
      <c r="FD7" s="25"/>
      <c r="FE7" s="32"/>
    </row>
    <row r="8" spans="1:161" x14ac:dyDescent="0.5">
      <c r="A8" s="247" t="s">
        <v>1</v>
      </c>
      <c r="B8" s="247"/>
      <c r="C8" s="285">
        <v>151331</v>
      </c>
      <c r="D8" s="248">
        <f>D10+D11+D12+D13+D14</f>
        <v>131950</v>
      </c>
      <c r="E8" s="249">
        <f t="shared" si="4"/>
        <v>-12.807025658985932</v>
      </c>
      <c r="F8" s="248">
        <v>127045</v>
      </c>
      <c r="G8" s="248">
        <v>131950</v>
      </c>
      <c r="H8" s="249">
        <f t="shared" si="5"/>
        <v>3.8608367114014719</v>
      </c>
      <c r="I8" s="247" t="s">
        <v>1</v>
      </c>
      <c r="J8" s="247"/>
      <c r="K8" s="285">
        <v>149938</v>
      </c>
      <c r="L8" s="248">
        <v>127045</v>
      </c>
      <c r="M8" s="249">
        <f t="shared" si="6"/>
        <v>-15.268310901839428</v>
      </c>
      <c r="N8" s="248">
        <v>123959</v>
      </c>
      <c r="O8" s="248">
        <v>127045</v>
      </c>
      <c r="P8" s="249">
        <f t="shared" si="7"/>
        <v>2.4895328294032706</v>
      </c>
      <c r="Q8" s="247" t="s">
        <v>1</v>
      </c>
      <c r="R8" s="247"/>
      <c r="S8" s="248">
        <v>184462</v>
      </c>
      <c r="T8" s="248">
        <v>123959</v>
      </c>
      <c r="U8" s="249">
        <f t="shared" si="8"/>
        <v>-32.799709425247478</v>
      </c>
      <c r="V8" s="248">
        <v>121845</v>
      </c>
      <c r="W8" s="248">
        <v>123959</v>
      </c>
      <c r="X8" s="249">
        <f t="shared" si="9"/>
        <v>1.7349911773154418</v>
      </c>
      <c r="Y8" s="247" t="s">
        <v>1</v>
      </c>
      <c r="Z8" s="247"/>
      <c r="AA8" s="248">
        <v>153928</v>
      </c>
      <c r="AB8" s="248">
        <v>121845</v>
      </c>
      <c r="AC8" s="249">
        <f t="shared" si="10"/>
        <v>-20.842861597630062</v>
      </c>
      <c r="AD8" s="248">
        <v>133850</v>
      </c>
      <c r="AE8" s="248">
        <v>121845</v>
      </c>
      <c r="AF8" s="249">
        <f t="shared" si="11"/>
        <v>-8.9689951438177076</v>
      </c>
      <c r="AG8" s="247" t="s">
        <v>1</v>
      </c>
      <c r="AH8" s="247"/>
      <c r="AI8" s="248">
        <v>169672</v>
      </c>
      <c r="AJ8" s="248">
        <v>133850</v>
      </c>
      <c r="AK8" s="249">
        <f t="shared" si="12"/>
        <v>-21.112499410627564</v>
      </c>
      <c r="AL8" s="248">
        <v>78873</v>
      </c>
      <c r="AM8" s="248">
        <v>133850</v>
      </c>
      <c r="AN8" s="249">
        <f t="shared" si="13"/>
        <v>69.703193741838149</v>
      </c>
      <c r="AO8" s="247" t="s">
        <v>1</v>
      </c>
      <c r="AP8" s="247"/>
      <c r="AQ8" s="248">
        <v>146740</v>
      </c>
      <c r="AR8" s="248">
        <v>78873</v>
      </c>
      <c r="AS8" s="249">
        <f t="shared" si="14"/>
        <v>-46.249829630639226</v>
      </c>
      <c r="AT8" s="248">
        <v>120405</v>
      </c>
      <c r="AU8" s="248">
        <v>78873</v>
      </c>
      <c r="AV8" s="249">
        <f t="shared" si="15"/>
        <v>-34.493584153481997</v>
      </c>
      <c r="AW8" s="247" t="s">
        <v>1</v>
      </c>
      <c r="AX8" s="247"/>
      <c r="AY8" s="248">
        <v>167777</v>
      </c>
      <c r="AZ8" s="248">
        <v>120405</v>
      </c>
      <c r="BA8" s="249">
        <f t="shared" si="16"/>
        <v>-28.235097778598973</v>
      </c>
      <c r="BB8" s="248">
        <v>121601</v>
      </c>
      <c r="BC8" s="248">
        <v>120405</v>
      </c>
      <c r="BD8" s="249">
        <f t="shared" si="17"/>
        <v>-0.98354454321921692</v>
      </c>
      <c r="BE8" s="247" t="s">
        <v>1</v>
      </c>
      <c r="BF8" s="247"/>
      <c r="BG8" s="248">
        <v>164576</v>
      </c>
      <c r="BH8" s="248">
        <v>121601</v>
      </c>
      <c r="BI8" s="249">
        <f t="shared" si="18"/>
        <v>-26.112555901224965</v>
      </c>
      <c r="BJ8" s="248">
        <v>123084</v>
      </c>
      <c r="BK8" s="248">
        <v>121601</v>
      </c>
      <c r="BL8" s="249">
        <f t="shared" si="19"/>
        <v>-1.2048682200773455</v>
      </c>
      <c r="BM8" s="247" t="s">
        <v>1</v>
      </c>
      <c r="BN8" s="247"/>
      <c r="BO8" s="248">
        <v>164034</v>
      </c>
      <c r="BP8" s="248">
        <v>123084</v>
      </c>
      <c r="BQ8" s="249">
        <f t="shared" si="20"/>
        <v>-24.964336661911553</v>
      </c>
      <c r="BR8" s="248">
        <v>105582</v>
      </c>
      <c r="BS8" s="248">
        <v>123084</v>
      </c>
      <c r="BT8" s="249">
        <f t="shared" si="21"/>
        <v>16.576689208387794</v>
      </c>
      <c r="BU8" s="247" t="s">
        <v>1</v>
      </c>
      <c r="BV8" s="247"/>
      <c r="BW8" s="248">
        <v>154836</v>
      </c>
      <c r="BX8" s="248">
        <v>100708</v>
      </c>
      <c r="BY8" s="249">
        <f t="shared" si="22"/>
        <v>-34.95827843653931</v>
      </c>
      <c r="BZ8" s="248">
        <v>106315</v>
      </c>
      <c r="CA8" s="248">
        <v>100708</v>
      </c>
      <c r="CB8" s="249">
        <f t="shared" si="23"/>
        <v>-5.2739500540845601</v>
      </c>
      <c r="CC8" s="73"/>
      <c r="CD8" s="247" t="s">
        <v>1</v>
      </c>
      <c r="CE8" s="247"/>
      <c r="CF8" s="248">
        <v>183976</v>
      </c>
      <c r="CG8" s="248">
        <v>106314</v>
      </c>
      <c r="CH8" s="249">
        <f t="shared" si="24"/>
        <v>-42.213114754098363</v>
      </c>
      <c r="CI8" s="248">
        <v>131147</v>
      </c>
      <c r="CJ8" s="248">
        <v>106314</v>
      </c>
      <c r="CK8" s="249">
        <f t="shared" si="25"/>
        <v>-18.935240607867506</v>
      </c>
      <c r="CL8" s="73"/>
      <c r="CM8" s="247"/>
      <c r="CN8" s="248">
        <f>SUM(CN9:CN11)</f>
        <v>156029</v>
      </c>
      <c r="CO8" s="248">
        <f>SUM(CO9:CO11)</f>
        <v>131147</v>
      </c>
      <c r="CP8" s="249">
        <f t="shared" si="26"/>
        <v>-15.947035486992803</v>
      </c>
      <c r="CQ8" s="248">
        <f>SUM(CQ9:CQ11)</f>
        <v>169033</v>
      </c>
      <c r="CR8" s="248">
        <f>SUM(CR9:CR11)</f>
        <v>131147</v>
      </c>
      <c r="CS8" s="249">
        <f t="shared" si="27"/>
        <v>-22.413374903125423</v>
      </c>
      <c r="CT8" s="249"/>
      <c r="CU8" s="73"/>
      <c r="CV8" s="229" t="s">
        <v>1</v>
      </c>
      <c r="CW8" s="229"/>
      <c r="CX8" s="230">
        <f>SUM(CX9:CX11)</f>
        <v>191076</v>
      </c>
      <c r="CY8" s="230">
        <f>SUM(CY9:CY11)</f>
        <v>169030</v>
      </c>
      <c r="CZ8" s="231">
        <f t="shared" si="28"/>
        <v>-11.537817412966568</v>
      </c>
      <c r="DA8" s="230">
        <f>SUM(DA9:DA11)</f>
        <v>157515</v>
      </c>
      <c r="DB8" s="230">
        <f>SUM(DB9:DB11)</f>
        <v>169030</v>
      </c>
      <c r="DC8" s="231">
        <f t="shared" si="29"/>
        <v>7.3104148811224334</v>
      </c>
      <c r="DD8" s="73"/>
      <c r="DE8" s="100" t="s">
        <v>1</v>
      </c>
      <c r="DF8" s="100"/>
      <c r="DG8" s="101">
        <f>SUM(DG9:DG11)</f>
        <v>192120</v>
      </c>
      <c r="DH8" s="101">
        <f>SUM(DH9:DH11)</f>
        <v>150213</v>
      </c>
      <c r="DI8" s="102">
        <f t="shared" si="30"/>
        <v>-21.812929419113054</v>
      </c>
      <c r="DJ8" s="101">
        <v>134516</v>
      </c>
      <c r="DK8" s="101">
        <v>150213</v>
      </c>
      <c r="DL8" s="102">
        <f t="shared" si="31"/>
        <v>11.669243807428114</v>
      </c>
      <c r="DM8" s="155"/>
      <c r="DN8" s="120" t="s">
        <v>1</v>
      </c>
      <c r="DO8" s="120"/>
      <c r="DP8" s="121">
        <f>SUM(DP9:DP11)</f>
        <v>169420</v>
      </c>
      <c r="DQ8" s="121">
        <f>SUM(DQ9:DQ11)</f>
        <v>134516</v>
      </c>
      <c r="DR8" s="125">
        <f t="shared" si="32"/>
        <v>-20.602054066816198</v>
      </c>
      <c r="DS8" s="121">
        <f>SUM(DS9:DS11)</f>
        <v>105363</v>
      </c>
      <c r="DT8" s="121">
        <v>134516</v>
      </c>
      <c r="DU8" s="125">
        <f t="shared" si="33"/>
        <v>27.669105853098337</v>
      </c>
      <c r="DV8" s="127"/>
      <c r="DW8" s="100" t="s">
        <v>1</v>
      </c>
      <c r="DX8" s="100"/>
      <c r="DY8" s="101">
        <f>SUM(DY9:DY11)</f>
        <v>126875</v>
      </c>
      <c r="DZ8" s="101">
        <f>SUM(DZ9:DZ11)</f>
        <v>105066</v>
      </c>
      <c r="EA8" s="102">
        <f t="shared" si="34"/>
        <v>-17.189359605911331</v>
      </c>
      <c r="EB8" s="101">
        <f>SUM(EB9:EB11)</f>
        <v>130795</v>
      </c>
      <c r="EC8" s="101">
        <v>105066</v>
      </c>
      <c r="ED8" s="102">
        <f t="shared" si="35"/>
        <v>-19.671241255399671</v>
      </c>
      <c r="EE8" s="73"/>
      <c r="EF8" s="74" t="s">
        <v>1</v>
      </c>
      <c r="EG8" s="74"/>
      <c r="EH8" s="75">
        <f>SUM(EH9:EH11)</f>
        <v>144758</v>
      </c>
      <c r="EI8" s="75">
        <f>SUM(EI9:EI11)</f>
        <v>130795</v>
      </c>
      <c r="EJ8" s="76">
        <f t="shared" si="0"/>
        <v>-9.6457536025642803</v>
      </c>
      <c r="EK8" s="75">
        <f>SUM(EK9:EK11)</f>
        <v>121600</v>
      </c>
      <c r="EL8" s="75">
        <f>SUM(EL9:EL11)</f>
        <v>130795</v>
      </c>
      <c r="EM8" s="76">
        <f t="shared" si="1"/>
        <v>7.5616776315789478</v>
      </c>
      <c r="EN8" s="73"/>
      <c r="EO8" s="63" t="s">
        <v>1</v>
      </c>
      <c r="EP8" s="63"/>
      <c r="EQ8" s="64">
        <f>SUM(EQ9:EQ11)</f>
        <v>139237</v>
      </c>
      <c r="ER8" s="64">
        <f>SUM(ER9:ER11)</f>
        <v>121568</v>
      </c>
      <c r="ES8" s="65">
        <f t="shared" si="2"/>
        <v>-12.689874099556869</v>
      </c>
      <c r="ET8" s="64">
        <f>SUM(ET9:ET11)</f>
        <v>148242</v>
      </c>
      <c r="EU8" s="64">
        <f>SUM(EU9:EU11)</f>
        <v>121568</v>
      </c>
      <c r="EV8" s="65">
        <f t="shared" si="3"/>
        <v>-17.993551085387409</v>
      </c>
      <c r="EY8" s="24" t="s">
        <v>1</v>
      </c>
      <c r="EZ8" s="25">
        <v>213586</v>
      </c>
      <c r="FA8" s="25">
        <v>156602</v>
      </c>
      <c r="FB8" s="32">
        <f>(FA8-EZ8)/EZ8*100</f>
        <v>-26.679651288005768</v>
      </c>
      <c r="FC8" s="27">
        <v>131137</v>
      </c>
      <c r="FD8" s="25">
        <v>156602</v>
      </c>
      <c r="FE8" s="32">
        <f>(FD8-FC8)/FC8*100</f>
        <v>19.418623271845476</v>
      </c>
    </row>
    <row r="9" spans="1:161" x14ac:dyDescent="0.5">
      <c r="A9" s="250"/>
      <c r="B9" s="307" t="s">
        <v>521</v>
      </c>
      <c r="C9" s="335">
        <v>0</v>
      </c>
      <c r="D9" s="335">
        <v>0</v>
      </c>
      <c r="E9" s="268">
        <v>0</v>
      </c>
      <c r="F9" s="335">
        <v>0</v>
      </c>
      <c r="G9" s="335">
        <v>0</v>
      </c>
      <c r="H9" s="336" t="s">
        <v>530</v>
      </c>
      <c r="I9" s="250"/>
      <c r="J9" s="307" t="s">
        <v>521</v>
      </c>
      <c r="K9" s="335">
        <v>0</v>
      </c>
      <c r="L9" s="335">
        <v>0</v>
      </c>
      <c r="M9" s="268">
        <v>0</v>
      </c>
      <c r="N9" s="335" t="s">
        <v>530</v>
      </c>
      <c r="O9" s="335">
        <v>0</v>
      </c>
      <c r="P9" s="336" t="s">
        <v>530</v>
      </c>
      <c r="Q9" s="250"/>
      <c r="R9" s="307" t="s">
        <v>521</v>
      </c>
      <c r="S9" s="289" t="s">
        <v>530</v>
      </c>
      <c r="T9" s="335" t="s">
        <v>530</v>
      </c>
      <c r="U9" s="268">
        <v>0</v>
      </c>
      <c r="V9" s="289" t="s">
        <v>530</v>
      </c>
      <c r="W9" s="335" t="s">
        <v>530</v>
      </c>
      <c r="X9" s="336" t="s">
        <v>530</v>
      </c>
      <c r="Y9" s="250"/>
      <c r="Z9" s="307" t="s">
        <v>521</v>
      </c>
      <c r="AA9" s="289">
        <v>0</v>
      </c>
      <c r="AB9" s="335" t="s">
        <v>530</v>
      </c>
      <c r="AC9" s="249">
        <v>0</v>
      </c>
      <c r="AD9" s="289" t="s">
        <v>530</v>
      </c>
      <c r="AE9" s="335" t="s">
        <v>530</v>
      </c>
      <c r="AF9" s="336" t="s">
        <v>530</v>
      </c>
      <c r="AG9" s="250"/>
      <c r="AH9" s="307" t="s">
        <v>521</v>
      </c>
      <c r="AI9" s="289">
        <v>0</v>
      </c>
      <c r="AJ9" s="335" t="s">
        <v>530</v>
      </c>
      <c r="AK9" s="249">
        <v>0</v>
      </c>
      <c r="AL9" s="289" t="s">
        <v>530</v>
      </c>
      <c r="AM9" s="335" t="s">
        <v>530</v>
      </c>
      <c r="AN9" s="336" t="s">
        <v>530</v>
      </c>
      <c r="AO9" s="250"/>
      <c r="AP9" s="307" t="s">
        <v>521</v>
      </c>
      <c r="AQ9" s="289" t="s">
        <v>530</v>
      </c>
      <c r="AR9" s="335" t="s">
        <v>530</v>
      </c>
      <c r="AS9" s="249">
        <v>0</v>
      </c>
      <c r="AT9" s="289" t="s">
        <v>530</v>
      </c>
      <c r="AU9" s="335" t="s">
        <v>530</v>
      </c>
      <c r="AV9" s="336" t="s">
        <v>530</v>
      </c>
      <c r="AW9" s="250"/>
      <c r="AX9" s="307" t="s">
        <v>521</v>
      </c>
      <c r="AY9" s="289" t="s">
        <v>530</v>
      </c>
      <c r="AZ9" s="335" t="s">
        <v>530</v>
      </c>
      <c r="BA9" s="249">
        <v>0</v>
      </c>
      <c r="BB9" s="289">
        <v>9</v>
      </c>
      <c r="BC9" s="335" t="s">
        <v>530</v>
      </c>
      <c r="BD9" s="249">
        <f t="shared" si="17"/>
        <v>-100</v>
      </c>
      <c r="BE9" s="250"/>
      <c r="BF9" s="307" t="s">
        <v>521</v>
      </c>
      <c r="BG9" s="252">
        <v>9</v>
      </c>
      <c r="BH9" s="252">
        <v>9</v>
      </c>
      <c r="BI9" s="249">
        <f t="shared" si="18"/>
        <v>0</v>
      </c>
      <c r="BJ9" s="252"/>
      <c r="BK9" s="252">
        <v>9</v>
      </c>
      <c r="BL9" s="249"/>
      <c r="BM9" s="250"/>
      <c r="BN9" s="321" t="s">
        <v>435</v>
      </c>
      <c r="BO9" s="252">
        <v>7</v>
      </c>
      <c r="BP9" s="252">
        <v>8</v>
      </c>
      <c r="BQ9" s="249">
        <f t="shared" si="20"/>
        <v>14.285714285714285</v>
      </c>
      <c r="BR9" s="252">
        <v>11</v>
      </c>
      <c r="BS9" s="252">
        <v>8</v>
      </c>
      <c r="BT9" s="249">
        <f t="shared" si="21"/>
        <v>-27.27272727272727</v>
      </c>
      <c r="BU9" s="250"/>
      <c r="BV9" s="321" t="s">
        <v>435</v>
      </c>
      <c r="BW9" s="252">
        <v>17</v>
      </c>
      <c r="BX9" s="252">
        <v>8</v>
      </c>
      <c r="BY9" s="249">
        <f t="shared" si="22"/>
        <v>-52.941176470588239</v>
      </c>
      <c r="BZ9" s="252"/>
      <c r="CA9" s="252">
        <v>8</v>
      </c>
      <c r="CB9" s="249"/>
      <c r="CC9" s="73"/>
      <c r="CD9" s="250"/>
      <c r="CE9" s="250" t="s">
        <v>57</v>
      </c>
      <c r="CF9" s="252">
        <v>93066</v>
      </c>
      <c r="CG9" s="252">
        <v>50436</v>
      </c>
      <c r="CH9" s="249">
        <f t="shared" si="24"/>
        <v>-45.80620205015795</v>
      </c>
      <c r="CI9" s="252">
        <v>66974</v>
      </c>
      <c r="CJ9" s="252">
        <v>50436</v>
      </c>
      <c r="CK9" s="249">
        <f t="shared" si="25"/>
        <v>-24.693164511601516</v>
      </c>
      <c r="CL9" s="73"/>
      <c r="CM9" s="250" t="s">
        <v>57</v>
      </c>
      <c r="CN9" s="252">
        <v>74609</v>
      </c>
      <c r="CO9" s="252">
        <v>66974</v>
      </c>
      <c r="CP9" s="249">
        <f t="shared" si="26"/>
        <v>-10.233349863957432</v>
      </c>
      <c r="CQ9" s="252">
        <v>83092</v>
      </c>
      <c r="CR9" s="252">
        <v>66974</v>
      </c>
      <c r="CS9" s="249">
        <f t="shared" si="27"/>
        <v>-19.397775959177778</v>
      </c>
      <c r="CT9" s="249"/>
      <c r="CU9" s="73"/>
      <c r="CV9" s="232"/>
      <c r="CW9" s="232" t="s">
        <v>57</v>
      </c>
      <c r="CX9" s="234">
        <v>90278</v>
      </c>
      <c r="CY9" s="234">
        <v>83091</v>
      </c>
      <c r="CZ9" s="231">
        <f t="shared" si="28"/>
        <v>-7.9609650191630301</v>
      </c>
      <c r="DA9" s="234">
        <v>73625</v>
      </c>
      <c r="DB9" s="234">
        <v>83091</v>
      </c>
      <c r="DC9" s="231">
        <f t="shared" si="29"/>
        <v>12.857045840407471</v>
      </c>
      <c r="DD9" s="73"/>
      <c r="DE9" s="103"/>
      <c r="DF9" s="103" t="s">
        <v>57</v>
      </c>
      <c r="DG9" s="105">
        <v>92674</v>
      </c>
      <c r="DH9" s="105">
        <v>74362</v>
      </c>
      <c r="DI9" s="102">
        <f t="shared" si="30"/>
        <v>-19.759587370783606</v>
      </c>
      <c r="DJ9" s="105">
        <v>60819</v>
      </c>
      <c r="DK9" s="105">
        <v>74362</v>
      </c>
      <c r="DL9" s="102">
        <f t="shared" si="31"/>
        <v>22.267712392508919</v>
      </c>
      <c r="DM9" s="155"/>
      <c r="DN9" s="24"/>
      <c r="DO9" s="24" t="s">
        <v>57</v>
      </c>
      <c r="DP9" s="25">
        <v>78635</v>
      </c>
      <c r="DQ9" s="25">
        <v>60819</v>
      </c>
      <c r="DR9" s="128">
        <f t="shared" si="32"/>
        <v>-22.656577859731673</v>
      </c>
      <c r="DS9" s="25">
        <v>52613</v>
      </c>
      <c r="DT9" s="25">
        <v>60819</v>
      </c>
      <c r="DU9" s="128">
        <f t="shared" si="33"/>
        <v>15.596905707714823</v>
      </c>
      <c r="DV9" s="127"/>
      <c r="DW9" s="103"/>
      <c r="DX9" s="103" t="s">
        <v>57</v>
      </c>
      <c r="DY9" s="105">
        <v>63740</v>
      </c>
      <c r="DZ9" s="105">
        <v>52316</v>
      </c>
      <c r="EA9" s="102">
        <f t="shared" si="34"/>
        <v>-17.922811421399434</v>
      </c>
      <c r="EB9" s="109">
        <v>65218</v>
      </c>
      <c r="EC9" s="105">
        <v>52316</v>
      </c>
      <c r="ED9" s="102">
        <f t="shared" si="35"/>
        <v>-19.782882026434422</v>
      </c>
      <c r="EE9" s="61"/>
      <c r="EF9" s="77"/>
      <c r="EG9" s="77" t="s">
        <v>57</v>
      </c>
      <c r="EH9" s="80">
        <v>76374</v>
      </c>
      <c r="EI9" s="80">
        <v>69109</v>
      </c>
      <c r="EJ9" s="79">
        <f t="shared" si="0"/>
        <v>-9.5123995076858616</v>
      </c>
      <c r="EK9" s="81">
        <v>63334</v>
      </c>
      <c r="EL9" s="80">
        <v>69109</v>
      </c>
      <c r="EM9" s="79">
        <f t="shared" si="1"/>
        <v>9.1183250702624186</v>
      </c>
      <c r="EN9" s="61"/>
      <c r="EO9" s="42"/>
      <c r="EP9" s="42" t="s">
        <v>57</v>
      </c>
      <c r="EQ9" s="43">
        <v>73288</v>
      </c>
      <c r="ER9" s="43">
        <v>63302</v>
      </c>
      <c r="ES9" s="44">
        <f t="shared" si="2"/>
        <v>-13.625695884728742</v>
      </c>
      <c r="ET9" s="45">
        <v>88698</v>
      </c>
      <c r="EU9" s="43">
        <v>63302</v>
      </c>
      <c r="EV9" s="44">
        <f t="shared" si="3"/>
        <v>-28.631987192495885</v>
      </c>
      <c r="EY9" s="24"/>
      <c r="EZ9" s="25"/>
      <c r="FA9" s="25"/>
      <c r="FB9" s="32"/>
      <c r="FC9" s="27"/>
      <c r="FD9" s="25"/>
      <c r="FE9" s="32"/>
    </row>
    <row r="10" spans="1:161" x14ac:dyDescent="0.5">
      <c r="A10" s="250"/>
      <c r="B10" s="307" t="s">
        <v>522</v>
      </c>
      <c r="C10" s="289">
        <v>51582</v>
      </c>
      <c r="D10" s="252">
        <v>43885</v>
      </c>
      <c r="E10" s="249">
        <f t="shared" ref="E10:E18" si="38">((D10-C10)/C10)*100</f>
        <v>-14.921871970842544</v>
      </c>
      <c r="F10" s="252">
        <v>47685</v>
      </c>
      <c r="G10" s="252">
        <v>43885</v>
      </c>
      <c r="H10" s="249">
        <f t="shared" ref="H10:H14" si="39">((G10-F10)/F10)*100</f>
        <v>-7.9689629862640246</v>
      </c>
      <c r="I10" s="250"/>
      <c r="J10" s="307" t="s">
        <v>522</v>
      </c>
      <c r="K10" s="289">
        <v>55730</v>
      </c>
      <c r="L10" s="252">
        <v>47685</v>
      </c>
      <c r="M10" s="249">
        <f t="shared" ref="M10:M18" si="40">((L10-K10)/K10)*100</f>
        <v>-14.435671989951551</v>
      </c>
      <c r="N10" s="252">
        <v>53293</v>
      </c>
      <c r="O10" s="252">
        <v>47685</v>
      </c>
      <c r="P10" s="249">
        <f t="shared" ref="P10:P14" si="41">((O10-N10)/N10)*100</f>
        <v>-10.522957986977652</v>
      </c>
      <c r="Q10" s="250"/>
      <c r="R10" s="307" t="s">
        <v>522</v>
      </c>
      <c r="S10" s="252">
        <v>80822</v>
      </c>
      <c r="T10" s="252">
        <v>53293</v>
      </c>
      <c r="U10" s="249">
        <f t="shared" ref="U10:U18" si="42">((T10-S10)/S10)*100</f>
        <v>-34.061270446165651</v>
      </c>
      <c r="V10" s="252">
        <v>45631</v>
      </c>
      <c r="W10" s="252">
        <v>53293</v>
      </c>
      <c r="X10" s="249">
        <f t="shared" ref="X10:X14" si="43">((W10-V10)/V10)*100</f>
        <v>16.791216497556487</v>
      </c>
      <c r="Y10" s="250"/>
      <c r="Z10" s="307" t="s">
        <v>522</v>
      </c>
      <c r="AA10" s="252">
        <v>55182</v>
      </c>
      <c r="AB10" s="252">
        <v>45631</v>
      </c>
      <c r="AC10" s="249">
        <f t="shared" ref="AC10:AC18" si="44">((AB10-AA10)/AA10)*100</f>
        <v>-17.308180203689609</v>
      </c>
      <c r="AD10" s="252">
        <v>63920</v>
      </c>
      <c r="AE10" s="252">
        <v>45631</v>
      </c>
      <c r="AF10" s="249">
        <f t="shared" ref="AF10:AF14" si="45">((AE10-AD10)/AD10)*100</f>
        <v>-28.612327909887359</v>
      </c>
      <c r="AG10" s="250"/>
      <c r="AH10" s="307" t="s">
        <v>522</v>
      </c>
      <c r="AI10" s="252">
        <v>82338</v>
      </c>
      <c r="AJ10" s="252">
        <v>63920</v>
      </c>
      <c r="AK10" s="249">
        <f t="shared" ref="AK10:AK18" si="46">((AJ10-AI10)/AI10)*100</f>
        <v>-22.368772620175374</v>
      </c>
      <c r="AL10" s="252">
        <v>36538</v>
      </c>
      <c r="AM10" s="252">
        <v>63920</v>
      </c>
      <c r="AN10" s="249">
        <f t="shared" ref="AN10:AN14" si="47">((AM10-AL10)/AL10)*100</f>
        <v>74.941157151458754</v>
      </c>
      <c r="AO10" s="250"/>
      <c r="AP10" s="307" t="s">
        <v>522</v>
      </c>
      <c r="AQ10" s="252">
        <v>70627</v>
      </c>
      <c r="AR10" s="252">
        <v>36538</v>
      </c>
      <c r="AS10" s="249">
        <f t="shared" ref="AS10:AS18" si="48">((AR10-AQ10)/AQ10)*100</f>
        <v>-48.266243787786536</v>
      </c>
      <c r="AT10" s="252">
        <v>60036</v>
      </c>
      <c r="AU10" s="252">
        <v>36538</v>
      </c>
      <c r="AV10" s="249">
        <f t="shared" si="15"/>
        <v>-39.139849423679124</v>
      </c>
      <c r="AW10" s="250"/>
      <c r="AX10" s="307" t="s">
        <v>522</v>
      </c>
      <c r="AY10" s="252">
        <v>88378</v>
      </c>
      <c r="AZ10" s="252">
        <v>60036</v>
      </c>
      <c r="BA10" s="249">
        <f t="shared" si="16"/>
        <v>-32.0690669623662</v>
      </c>
      <c r="BB10" s="252">
        <v>62459</v>
      </c>
      <c r="BC10" s="252">
        <v>60036</v>
      </c>
      <c r="BD10" s="249">
        <f t="shared" si="17"/>
        <v>-3.8793448502217456</v>
      </c>
      <c r="BE10" s="250"/>
      <c r="BF10" s="307" t="s">
        <v>522</v>
      </c>
      <c r="BG10" s="252">
        <v>83552</v>
      </c>
      <c r="BH10" s="252">
        <v>62459</v>
      </c>
      <c r="BI10" s="249">
        <f t="shared" si="18"/>
        <v>-25.245356185369587</v>
      </c>
      <c r="BJ10" s="252"/>
      <c r="BK10" s="252">
        <v>62459</v>
      </c>
      <c r="BL10" s="249"/>
      <c r="BM10" s="250"/>
      <c r="BN10" s="321" t="s">
        <v>436</v>
      </c>
      <c r="BO10" s="252">
        <v>138679</v>
      </c>
      <c r="BP10" s="252">
        <v>103693</v>
      </c>
      <c r="BQ10" s="249">
        <f t="shared" si="20"/>
        <v>-25.228044621031305</v>
      </c>
      <c r="BR10" s="252">
        <v>89760</v>
      </c>
      <c r="BS10" s="252">
        <v>103693</v>
      </c>
      <c r="BT10" s="249">
        <f t="shared" si="21"/>
        <v>15.522504456327985</v>
      </c>
      <c r="BU10" s="250"/>
      <c r="BV10" s="321" t="s">
        <v>436</v>
      </c>
      <c r="BW10" s="252">
        <v>136165</v>
      </c>
      <c r="BX10" s="252">
        <v>86927</v>
      </c>
      <c r="BY10" s="249">
        <f t="shared" si="22"/>
        <v>-36.160540520691811</v>
      </c>
      <c r="BZ10" s="252"/>
      <c r="CA10" s="252">
        <v>86927</v>
      </c>
      <c r="CB10" s="249"/>
      <c r="CC10" s="73"/>
      <c r="CD10" s="250"/>
      <c r="CE10" s="250" t="s">
        <v>59</v>
      </c>
      <c r="CF10" s="252">
        <v>65700</v>
      </c>
      <c r="CG10" s="252">
        <v>39299</v>
      </c>
      <c r="CH10" s="249">
        <f t="shared" si="24"/>
        <v>-40.184170471841711</v>
      </c>
      <c r="CI10" s="252">
        <v>49220</v>
      </c>
      <c r="CJ10" s="252">
        <v>39299</v>
      </c>
      <c r="CK10" s="249">
        <f t="shared" si="25"/>
        <v>-20.156440471353111</v>
      </c>
      <c r="CL10" s="73"/>
      <c r="CM10" s="250" t="s">
        <v>59</v>
      </c>
      <c r="CN10" s="252">
        <v>61617</v>
      </c>
      <c r="CO10" s="252">
        <v>49220</v>
      </c>
      <c r="CP10" s="249">
        <f t="shared" si="26"/>
        <v>-20.119447555057857</v>
      </c>
      <c r="CQ10" s="252">
        <v>74279</v>
      </c>
      <c r="CR10" s="252">
        <v>49220</v>
      </c>
      <c r="CS10" s="249">
        <f t="shared" si="27"/>
        <v>-33.736318474939083</v>
      </c>
      <c r="CT10" s="249"/>
      <c r="CU10" s="73"/>
      <c r="CV10" s="232"/>
      <c r="CW10" s="232" t="s">
        <v>59</v>
      </c>
      <c r="CX10" s="234">
        <v>87447</v>
      </c>
      <c r="CY10" s="234">
        <v>74278</v>
      </c>
      <c r="CZ10" s="231">
        <f t="shared" si="28"/>
        <v>-15.05940741248985</v>
      </c>
      <c r="DA10" s="234">
        <v>78742</v>
      </c>
      <c r="DB10" s="234">
        <v>74278</v>
      </c>
      <c r="DC10" s="231">
        <f t="shared" si="29"/>
        <v>-5.6691473419521987</v>
      </c>
      <c r="DD10" s="73"/>
      <c r="DE10" s="103"/>
      <c r="DF10" s="103" t="s">
        <v>59</v>
      </c>
      <c r="DG10" s="105">
        <v>93699</v>
      </c>
      <c r="DH10" s="105">
        <v>71459</v>
      </c>
      <c r="DI10" s="102">
        <f t="shared" si="30"/>
        <v>-23.735578821545587</v>
      </c>
      <c r="DJ10" s="105">
        <v>68878</v>
      </c>
      <c r="DK10" s="105">
        <v>71459</v>
      </c>
      <c r="DL10" s="102">
        <f t="shared" si="31"/>
        <v>3.7472052034031185</v>
      </c>
      <c r="DM10" s="155"/>
      <c r="DN10" s="24"/>
      <c r="DO10" s="24" t="s">
        <v>59</v>
      </c>
      <c r="DP10" s="25">
        <v>83006</v>
      </c>
      <c r="DQ10" s="25">
        <v>68878</v>
      </c>
      <c r="DR10" s="128">
        <f t="shared" si="32"/>
        <v>-17.020456352552827</v>
      </c>
      <c r="DS10" s="25">
        <v>48096</v>
      </c>
      <c r="DT10" s="25">
        <v>68878</v>
      </c>
      <c r="DU10" s="128">
        <f t="shared" si="33"/>
        <v>43.209414504324684</v>
      </c>
      <c r="DV10" s="127"/>
      <c r="DW10" s="103"/>
      <c r="DX10" s="103" t="s">
        <v>59</v>
      </c>
      <c r="DY10" s="105">
        <v>57671</v>
      </c>
      <c r="DZ10" s="105">
        <v>48096</v>
      </c>
      <c r="EA10" s="102">
        <f>((DZ10-DY10)/DY10)*100</f>
        <v>-16.602798633628687</v>
      </c>
      <c r="EB10" s="109">
        <v>59864</v>
      </c>
      <c r="EC10" s="105">
        <v>48096</v>
      </c>
      <c r="ED10" s="102">
        <f>((EC10-EB10)/EB10)*100</f>
        <v>-19.657891220098893</v>
      </c>
      <c r="EE10" s="61"/>
      <c r="EF10" s="77"/>
      <c r="EG10" s="77" t="s">
        <v>58</v>
      </c>
      <c r="EH10" s="80">
        <v>1580</v>
      </c>
      <c r="EI10" s="80">
        <v>1301</v>
      </c>
      <c r="EJ10" s="79">
        <f t="shared" si="0"/>
        <v>-17.658227848101266</v>
      </c>
      <c r="EK10" s="81">
        <v>984</v>
      </c>
      <c r="EL10" s="80">
        <v>1301</v>
      </c>
      <c r="EM10" s="79">
        <f t="shared" si="1"/>
        <v>32.215447154471541</v>
      </c>
      <c r="EN10" s="61"/>
      <c r="EO10" s="42"/>
      <c r="EP10" s="42" t="s">
        <v>58</v>
      </c>
      <c r="EQ10" s="43">
        <v>1225</v>
      </c>
      <c r="ER10" s="43">
        <v>984</v>
      </c>
      <c r="ES10" s="44">
        <f t="shared" si="2"/>
        <v>-19.673469387755102</v>
      </c>
      <c r="ET10" s="45">
        <v>1366</v>
      </c>
      <c r="EU10" s="43">
        <v>984</v>
      </c>
      <c r="EV10" s="44">
        <f t="shared" si="3"/>
        <v>-27.964860907759881</v>
      </c>
      <c r="EY10" s="24"/>
      <c r="EZ10" s="25"/>
      <c r="FA10" s="25"/>
      <c r="FB10" s="32"/>
      <c r="FC10" s="27"/>
      <c r="FD10" s="25"/>
      <c r="FE10" s="32"/>
    </row>
    <row r="11" spans="1:161" x14ac:dyDescent="0.5">
      <c r="A11" s="250"/>
      <c r="B11" s="307" t="s">
        <v>523</v>
      </c>
      <c r="C11" s="289">
        <v>64074</v>
      </c>
      <c r="D11" s="252">
        <v>57435</v>
      </c>
      <c r="E11" s="249">
        <f t="shared" si="38"/>
        <v>-10.361457065268285</v>
      </c>
      <c r="F11" s="252">
        <v>48734</v>
      </c>
      <c r="G11" s="252">
        <v>57435</v>
      </c>
      <c r="H11" s="249">
        <f t="shared" si="39"/>
        <v>17.85406492387245</v>
      </c>
      <c r="I11" s="250"/>
      <c r="J11" s="307" t="s">
        <v>523</v>
      </c>
      <c r="K11" s="289">
        <v>56660</v>
      </c>
      <c r="L11" s="252">
        <v>48734</v>
      </c>
      <c r="M11" s="249">
        <f t="shared" si="40"/>
        <v>-13.988704553476881</v>
      </c>
      <c r="N11" s="252">
        <v>40485</v>
      </c>
      <c r="O11" s="252">
        <v>48734</v>
      </c>
      <c r="P11" s="249">
        <f t="shared" si="41"/>
        <v>20.375447696677782</v>
      </c>
      <c r="Q11" s="250"/>
      <c r="R11" s="307" t="s">
        <v>523</v>
      </c>
      <c r="S11" s="252">
        <v>56847</v>
      </c>
      <c r="T11" s="252">
        <v>40485</v>
      </c>
      <c r="U11" s="249">
        <f t="shared" si="42"/>
        <v>-28.782521505092618</v>
      </c>
      <c r="V11" s="252">
        <v>46479</v>
      </c>
      <c r="W11" s="252">
        <v>40485</v>
      </c>
      <c r="X11" s="249">
        <f t="shared" si="43"/>
        <v>-12.896146646872781</v>
      </c>
      <c r="Y11" s="250"/>
      <c r="Z11" s="307" t="s">
        <v>523</v>
      </c>
      <c r="AA11" s="252">
        <v>57622</v>
      </c>
      <c r="AB11" s="252">
        <v>46479</v>
      </c>
      <c r="AC11" s="249">
        <f t="shared" si="44"/>
        <v>-19.338100031238067</v>
      </c>
      <c r="AD11" s="252">
        <v>35371</v>
      </c>
      <c r="AE11" s="252">
        <v>46479</v>
      </c>
      <c r="AF11" s="249">
        <f t="shared" si="45"/>
        <v>31.404257725255153</v>
      </c>
      <c r="AG11" s="250"/>
      <c r="AH11" s="307" t="s">
        <v>523</v>
      </c>
      <c r="AI11" s="252">
        <v>44027</v>
      </c>
      <c r="AJ11" s="252">
        <v>35371</v>
      </c>
      <c r="AK11" s="249">
        <f t="shared" si="46"/>
        <v>-19.66066277511527</v>
      </c>
      <c r="AL11" s="252">
        <v>21201</v>
      </c>
      <c r="AM11" s="252">
        <v>35371</v>
      </c>
      <c r="AN11" s="249">
        <f t="shared" si="47"/>
        <v>66.836469977831243</v>
      </c>
      <c r="AO11" s="250"/>
      <c r="AP11" s="307" t="s">
        <v>523</v>
      </c>
      <c r="AQ11" s="252">
        <v>37305</v>
      </c>
      <c r="AR11" s="252">
        <v>21201</v>
      </c>
      <c r="AS11" s="249">
        <f t="shared" si="48"/>
        <v>-43.168476075593084</v>
      </c>
      <c r="AT11" s="252">
        <v>32605</v>
      </c>
      <c r="AU11" s="252">
        <v>21201</v>
      </c>
      <c r="AV11" s="249">
        <f t="shared" si="15"/>
        <v>-34.976230639472469</v>
      </c>
      <c r="AW11" s="250"/>
      <c r="AX11" s="307" t="s">
        <v>523</v>
      </c>
      <c r="AY11" s="252">
        <v>42955</v>
      </c>
      <c r="AZ11" s="252">
        <v>32605</v>
      </c>
      <c r="BA11" s="249">
        <f t="shared" si="16"/>
        <v>-24.094983121871728</v>
      </c>
      <c r="BB11" s="252">
        <v>35382</v>
      </c>
      <c r="BC11" s="252">
        <v>32605</v>
      </c>
      <c r="BD11" s="249">
        <f t="shared" si="17"/>
        <v>-7.8486235939178108</v>
      </c>
      <c r="BE11" s="250"/>
      <c r="BF11" s="307" t="s">
        <v>523</v>
      </c>
      <c r="BG11" s="252">
        <v>49003</v>
      </c>
      <c r="BH11" s="252">
        <v>35382</v>
      </c>
      <c r="BI11" s="249">
        <f t="shared" si="18"/>
        <v>-27.796257371997633</v>
      </c>
      <c r="BJ11" s="252"/>
      <c r="BK11" s="252">
        <v>35382</v>
      </c>
      <c r="BL11" s="249"/>
      <c r="BM11" s="250"/>
      <c r="BN11" s="321" t="s">
        <v>437</v>
      </c>
      <c r="BO11" s="252">
        <v>13800</v>
      </c>
      <c r="BP11" s="252">
        <v>10905</v>
      </c>
      <c r="BQ11" s="249">
        <f t="shared" si="20"/>
        <v>-20.978260869565219</v>
      </c>
      <c r="BR11" s="252">
        <v>10272</v>
      </c>
      <c r="BS11" s="252">
        <v>10905</v>
      </c>
      <c r="BT11" s="249">
        <f t="shared" si="21"/>
        <v>6.1623831775700939</v>
      </c>
      <c r="BU11" s="250"/>
      <c r="BV11" s="321" t="s">
        <v>437</v>
      </c>
      <c r="BW11" s="252">
        <v>13347</v>
      </c>
      <c r="BX11" s="252">
        <v>9613</v>
      </c>
      <c r="BY11" s="249">
        <f t="shared" si="22"/>
        <v>-27.976324267625685</v>
      </c>
      <c r="BZ11" s="252"/>
      <c r="CA11" s="252">
        <v>9613</v>
      </c>
      <c r="CB11" s="249"/>
      <c r="CC11" s="73"/>
      <c r="CD11" s="250"/>
      <c r="CE11" s="250" t="s">
        <v>58</v>
      </c>
      <c r="CF11" s="252">
        <v>25210</v>
      </c>
      <c r="CG11" s="252">
        <v>16579</v>
      </c>
      <c r="CH11" s="249">
        <f t="shared" si="24"/>
        <v>-34.236414121380406</v>
      </c>
      <c r="CI11" s="252">
        <v>14953</v>
      </c>
      <c r="CJ11" s="252">
        <v>16579</v>
      </c>
      <c r="CK11" s="249">
        <f t="shared" si="25"/>
        <v>10.874072092556677</v>
      </c>
      <c r="CL11" s="73"/>
      <c r="CM11" s="250" t="s">
        <v>58</v>
      </c>
      <c r="CN11" s="252">
        <v>19803</v>
      </c>
      <c r="CO11" s="252">
        <v>14953</v>
      </c>
      <c r="CP11" s="249">
        <f t="shared" si="26"/>
        <v>-24.491238701206889</v>
      </c>
      <c r="CQ11" s="252">
        <v>11662</v>
      </c>
      <c r="CR11" s="252">
        <v>14953</v>
      </c>
      <c r="CS11" s="249">
        <f t="shared" si="27"/>
        <v>28.219859372320354</v>
      </c>
      <c r="CT11" s="249"/>
      <c r="CU11" s="73"/>
      <c r="CV11" s="232"/>
      <c r="CW11" s="232" t="s">
        <v>58</v>
      </c>
      <c r="CX11" s="234">
        <v>13351</v>
      </c>
      <c r="CY11" s="234">
        <v>11661</v>
      </c>
      <c r="CZ11" s="231">
        <f t="shared" si="28"/>
        <v>-12.658227848101266</v>
      </c>
      <c r="DA11" s="234">
        <v>5148</v>
      </c>
      <c r="DB11" s="234">
        <v>11661</v>
      </c>
      <c r="DC11" s="231">
        <f t="shared" si="29"/>
        <v>126.51515151515152</v>
      </c>
      <c r="DD11" s="73"/>
      <c r="DE11" s="103"/>
      <c r="DF11" s="103" t="s">
        <v>58</v>
      </c>
      <c r="DG11" s="105">
        <v>5747</v>
      </c>
      <c r="DH11" s="105">
        <v>4392</v>
      </c>
      <c r="DI11" s="102">
        <f t="shared" si="30"/>
        <v>-23.577518705411517</v>
      </c>
      <c r="DJ11" s="105">
        <v>4819</v>
      </c>
      <c r="DK11" s="105">
        <v>4392</v>
      </c>
      <c r="DL11" s="102">
        <f t="shared" si="31"/>
        <v>-8.8607594936708853</v>
      </c>
      <c r="DM11" s="155"/>
      <c r="DN11" s="24"/>
      <c r="DO11" s="24" t="s">
        <v>58</v>
      </c>
      <c r="DP11" s="25">
        <v>7779</v>
      </c>
      <c r="DQ11" s="25">
        <v>4819</v>
      </c>
      <c r="DR11" s="128">
        <f t="shared" si="32"/>
        <v>-38.051163388610362</v>
      </c>
      <c r="DS11" s="25">
        <v>4654</v>
      </c>
      <c r="DT11" s="25">
        <v>4819</v>
      </c>
      <c r="DU11" s="128">
        <f t="shared" si="33"/>
        <v>3.5453373442200258</v>
      </c>
      <c r="DV11" s="127"/>
      <c r="DW11" s="103"/>
      <c r="DX11" s="103" t="s">
        <v>58</v>
      </c>
      <c r="DY11" s="105">
        <v>5464</v>
      </c>
      <c r="DZ11" s="105">
        <v>4654</v>
      </c>
      <c r="EA11" s="102">
        <f t="shared" si="34"/>
        <v>-14.824304538799415</v>
      </c>
      <c r="EB11" s="109">
        <v>5713</v>
      </c>
      <c r="EC11" s="105">
        <v>4654</v>
      </c>
      <c r="ED11" s="102">
        <f t="shared" si="35"/>
        <v>-18.536670750918958</v>
      </c>
      <c r="EE11" s="61"/>
      <c r="EF11" s="77"/>
      <c r="EG11" s="77" t="s">
        <v>59</v>
      </c>
      <c r="EH11" s="80">
        <v>66804</v>
      </c>
      <c r="EI11" s="80">
        <v>60385</v>
      </c>
      <c r="EJ11" s="79">
        <f t="shared" si="0"/>
        <v>-9.6087060655050607</v>
      </c>
      <c r="EK11" s="81">
        <v>57282</v>
      </c>
      <c r="EL11" s="80">
        <v>60385</v>
      </c>
      <c r="EM11" s="79">
        <f t="shared" si="1"/>
        <v>5.4170594602143778</v>
      </c>
      <c r="EN11" s="61"/>
      <c r="EO11" s="42"/>
      <c r="EP11" s="42" t="s">
        <v>59</v>
      </c>
      <c r="EQ11" s="43">
        <v>64724</v>
      </c>
      <c r="ER11" s="43">
        <v>57282</v>
      </c>
      <c r="ES11" s="44">
        <f t="shared" si="2"/>
        <v>-11.498053272356469</v>
      </c>
      <c r="ET11" s="45">
        <v>58178</v>
      </c>
      <c r="EU11" s="43">
        <v>57282</v>
      </c>
      <c r="EV11" s="44">
        <f t="shared" si="3"/>
        <v>-1.540101069132662</v>
      </c>
      <c r="EY11" s="24"/>
      <c r="EZ11" s="25"/>
      <c r="FA11" s="25"/>
      <c r="FB11" s="32"/>
      <c r="FC11" s="27"/>
      <c r="FD11" s="25"/>
      <c r="FE11" s="32"/>
    </row>
    <row r="12" spans="1:161" x14ac:dyDescent="0.5">
      <c r="A12" s="250"/>
      <c r="B12" s="307" t="s">
        <v>524</v>
      </c>
      <c r="C12" s="289">
        <v>25919</v>
      </c>
      <c r="D12" s="252">
        <v>22918</v>
      </c>
      <c r="E12" s="249">
        <f t="shared" si="38"/>
        <v>-11.578378795478221</v>
      </c>
      <c r="F12" s="252">
        <v>23144</v>
      </c>
      <c r="G12" s="252">
        <v>22918</v>
      </c>
      <c r="H12" s="249">
        <f t="shared" si="39"/>
        <v>-0.97649498790183198</v>
      </c>
      <c r="I12" s="250"/>
      <c r="J12" s="307" t="s">
        <v>524</v>
      </c>
      <c r="K12" s="289">
        <v>28560</v>
      </c>
      <c r="L12" s="252">
        <v>23144</v>
      </c>
      <c r="M12" s="249">
        <f t="shared" si="40"/>
        <v>-18.96358543417367</v>
      </c>
      <c r="N12" s="252">
        <v>24030</v>
      </c>
      <c r="O12" s="252">
        <v>23144</v>
      </c>
      <c r="P12" s="249">
        <f t="shared" si="41"/>
        <v>-3.687057844361215</v>
      </c>
      <c r="Q12" s="250"/>
      <c r="R12" s="307" t="s">
        <v>524</v>
      </c>
      <c r="S12" s="252">
        <v>37121</v>
      </c>
      <c r="T12" s="252">
        <v>24030</v>
      </c>
      <c r="U12" s="249">
        <f t="shared" si="42"/>
        <v>-35.2657525389941</v>
      </c>
      <c r="V12" s="252">
        <v>25204</v>
      </c>
      <c r="W12" s="252">
        <v>24030</v>
      </c>
      <c r="X12" s="249">
        <f t="shared" si="43"/>
        <v>-4.6579907951118864</v>
      </c>
      <c r="Y12" s="250"/>
      <c r="Z12" s="307" t="s">
        <v>524</v>
      </c>
      <c r="AA12" s="252">
        <v>35104</v>
      </c>
      <c r="AB12" s="252">
        <v>25204</v>
      </c>
      <c r="AC12" s="249">
        <f t="shared" si="44"/>
        <v>-28.201914311759346</v>
      </c>
      <c r="AD12" s="252">
        <v>28555</v>
      </c>
      <c r="AE12" s="252">
        <v>25204</v>
      </c>
      <c r="AF12" s="249">
        <f t="shared" si="45"/>
        <v>-11.735247767466293</v>
      </c>
      <c r="AG12" s="250"/>
      <c r="AH12" s="307" t="s">
        <v>524</v>
      </c>
      <c r="AI12" s="252">
        <v>35306</v>
      </c>
      <c r="AJ12" s="252">
        <v>28555</v>
      </c>
      <c r="AK12" s="249">
        <f t="shared" si="46"/>
        <v>-19.121395796748427</v>
      </c>
      <c r="AL12" s="252">
        <v>16476</v>
      </c>
      <c r="AM12" s="252">
        <v>28555</v>
      </c>
      <c r="AN12" s="249">
        <f t="shared" si="47"/>
        <v>73.312697256615692</v>
      </c>
      <c r="AO12" s="250"/>
      <c r="AP12" s="307" t="s">
        <v>524</v>
      </c>
      <c r="AQ12" s="252">
        <v>31533</v>
      </c>
      <c r="AR12" s="252">
        <v>16476</v>
      </c>
      <c r="AS12" s="249">
        <f t="shared" si="48"/>
        <v>-47.749976215393396</v>
      </c>
      <c r="AT12" s="252">
        <v>22560</v>
      </c>
      <c r="AU12" s="252">
        <v>16476</v>
      </c>
      <c r="AV12" s="249">
        <f t="shared" si="15"/>
        <v>-26.968085106382979</v>
      </c>
      <c r="AW12" s="250"/>
      <c r="AX12" s="307" t="s">
        <v>524</v>
      </c>
      <c r="AY12" s="252">
        <v>30344</v>
      </c>
      <c r="AZ12" s="252">
        <v>22560</v>
      </c>
      <c r="BA12" s="249">
        <f t="shared" si="16"/>
        <v>-25.65251779593989</v>
      </c>
      <c r="BB12" s="252">
        <v>19518</v>
      </c>
      <c r="BC12" s="252">
        <v>22560</v>
      </c>
      <c r="BD12" s="249">
        <f t="shared" si="17"/>
        <v>15.585613280049184</v>
      </c>
      <c r="BE12" s="250"/>
      <c r="BF12" s="307" t="s">
        <v>524</v>
      </c>
      <c r="BG12" s="252">
        <v>26368</v>
      </c>
      <c r="BH12" s="252">
        <v>19518</v>
      </c>
      <c r="BI12" s="249">
        <f t="shared" si="18"/>
        <v>-25.978458737864081</v>
      </c>
      <c r="BJ12" s="252"/>
      <c r="BK12" s="252">
        <v>19518</v>
      </c>
      <c r="BL12" s="249"/>
      <c r="BM12" s="250"/>
      <c r="BN12" s="321" t="s">
        <v>438</v>
      </c>
      <c r="BO12" s="252">
        <v>11548</v>
      </c>
      <c r="BP12" s="252">
        <v>8478</v>
      </c>
      <c r="BQ12" s="249">
        <f t="shared" si="20"/>
        <v>-26.584689989608592</v>
      </c>
      <c r="BR12" s="252">
        <v>5539</v>
      </c>
      <c r="BS12" s="252">
        <v>8478</v>
      </c>
      <c r="BT12" s="249">
        <f t="shared" si="21"/>
        <v>53.060119155082141</v>
      </c>
      <c r="BU12" s="250"/>
      <c r="BV12" s="321" t="s">
        <v>438</v>
      </c>
      <c r="BW12" s="252">
        <v>5307</v>
      </c>
      <c r="BX12" s="252">
        <v>4160</v>
      </c>
      <c r="BY12" s="249">
        <f t="shared" si="22"/>
        <v>-21.612964009798379</v>
      </c>
      <c r="BZ12" s="252"/>
      <c r="CA12" s="252">
        <v>4160</v>
      </c>
      <c r="CB12" s="249"/>
      <c r="CC12" s="73"/>
      <c r="CD12" s="250"/>
      <c r="CE12" s="250"/>
      <c r="CF12" s="252"/>
      <c r="CG12" s="252"/>
      <c r="CH12" s="249"/>
      <c r="CI12" s="252"/>
      <c r="CJ12" s="252"/>
      <c r="CK12" s="249"/>
      <c r="CL12" s="73"/>
      <c r="CM12" s="250"/>
      <c r="CN12" s="252"/>
      <c r="CO12" s="252"/>
      <c r="CP12" s="249"/>
      <c r="CQ12" s="252"/>
      <c r="CR12" s="252"/>
      <c r="CS12" s="249"/>
      <c r="CT12" s="249"/>
      <c r="CU12" s="73"/>
      <c r="CV12" s="232"/>
      <c r="CW12" s="232"/>
      <c r="CX12" s="234"/>
      <c r="CY12" s="234"/>
      <c r="CZ12" s="231"/>
      <c r="DA12" s="234"/>
      <c r="DB12" s="234"/>
      <c r="DC12" s="231"/>
      <c r="DD12" s="73"/>
      <c r="DE12" s="103"/>
      <c r="DF12" s="103"/>
      <c r="DG12" s="105"/>
      <c r="DH12" s="105"/>
      <c r="DI12" s="102"/>
      <c r="DJ12" s="105"/>
      <c r="DK12" s="105"/>
      <c r="DL12" s="102"/>
      <c r="DM12" s="155"/>
      <c r="DN12" s="24"/>
      <c r="DO12" s="24"/>
      <c r="DP12" s="25"/>
      <c r="DQ12" s="25"/>
      <c r="DR12" s="128"/>
      <c r="DS12" s="25"/>
      <c r="DT12" s="25"/>
      <c r="DU12" s="128"/>
      <c r="DV12" s="127"/>
      <c r="DW12" s="103"/>
      <c r="DX12" s="103"/>
      <c r="DY12" s="105"/>
      <c r="DZ12" s="105"/>
      <c r="EA12" s="102"/>
      <c r="EB12" s="109"/>
      <c r="EC12" s="105"/>
      <c r="ED12" s="102"/>
      <c r="EE12" s="61"/>
      <c r="EF12" s="77"/>
      <c r="EG12" s="77"/>
      <c r="EH12" s="80"/>
      <c r="EI12" s="80"/>
      <c r="EJ12" s="79"/>
      <c r="EK12" s="81"/>
      <c r="EL12" s="80"/>
      <c r="EM12" s="79"/>
      <c r="EN12" s="61"/>
      <c r="EO12" s="42"/>
      <c r="EP12" s="42"/>
      <c r="EQ12" s="43"/>
      <c r="ER12" s="43"/>
      <c r="ES12" s="44"/>
      <c r="ET12" s="45"/>
      <c r="EU12" s="43"/>
      <c r="EV12" s="44"/>
      <c r="EY12" s="24"/>
      <c r="EZ12" s="25"/>
      <c r="FA12" s="25"/>
      <c r="FB12" s="32"/>
      <c r="FC12" s="27"/>
      <c r="FD12" s="25"/>
      <c r="FE12" s="32"/>
    </row>
    <row r="13" spans="1:161" x14ac:dyDescent="0.5">
      <c r="A13" s="250"/>
      <c r="B13" s="307" t="s">
        <v>525</v>
      </c>
      <c r="C13" s="289">
        <v>8678</v>
      </c>
      <c r="D13" s="252">
        <v>6823</v>
      </c>
      <c r="E13" s="249">
        <f t="shared" si="38"/>
        <v>-21.375893062917722</v>
      </c>
      <c r="F13" s="252">
        <v>6637</v>
      </c>
      <c r="G13" s="252">
        <v>6823</v>
      </c>
      <c r="H13" s="249">
        <f t="shared" si="39"/>
        <v>2.802470995931897</v>
      </c>
      <c r="I13" s="250"/>
      <c r="J13" s="307" t="s">
        <v>525</v>
      </c>
      <c r="K13" s="289">
        <v>7750</v>
      </c>
      <c r="L13" s="252">
        <v>6637</v>
      </c>
      <c r="M13" s="249">
        <f t="shared" si="40"/>
        <v>-14.361290322580643</v>
      </c>
      <c r="N13" s="252">
        <v>5139</v>
      </c>
      <c r="O13" s="252">
        <v>6637</v>
      </c>
      <c r="P13" s="249">
        <f t="shared" si="41"/>
        <v>29.149640007783617</v>
      </c>
      <c r="Q13" s="250"/>
      <c r="R13" s="307" t="s">
        <v>525</v>
      </c>
      <c r="S13" s="252">
        <v>8032</v>
      </c>
      <c r="T13" s="252">
        <v>5139</v>
      </c>
      <c r="U13" s="249">
        <f t="shared" si="42"/>
        <v>-36.018426294820713</v>
      </c>
      <c r="V13" s="252">
        <v>3413</v>
      </c>
      <c r="W13" s="252">
        <v>5139</v>
      </c>
      <c r="X13" s="249">
        <f t="shared" si="43"/>
        <v>50.571344857896285</v>
      </c>
      <c r="Y13" s="250"/>
      <c r="Z13" s="307" t="s">
        <v>525</v>
      </c>
      <c r="AA13" s="252">
        <v>4522</v>
      </c>
      <c r="AB13" s="252">
        <v>3413</v>
      </c>
      <c r="AC13" s="249">
        <f t="shared" si="44"/>
        <v>-24.524546660769573</v>
      </c>
      <c r="AD13" s="252">
        <v>4723</v>
      </c>
      <c r="AE13" s="252">
        <v>3413</v>
      </c>
      <c r="AF13" s="249">
        <f t="shared" si="45"/>
        <v>-27.736608088079613</v>
      </c>
      <c r="AG13" s="250"/>
      <c r="AH13" s="307" t="s">
        <v>525</v>
      </c>
      <c r="AI13" s="252">
        <v>6458</v>
      </c>
      <c r="AJ13" s="252">
        <v>4723</v>
      </c>
      <c r="AK13" s="249">
        <f t="shared" si="46"/>
        <v>-26.865902756271293</v>
      </c>
      <c r="AL13" s="252">
        <v>2741</v>
      </c>
      <c r="AM13" s="252">
        <v>4723</v>
      </c>
      <c r="AN13" s="249">
        <f t="shared" si="47"/>
        <v>72.309376140094855</v>
      </c>
      <c r="AO13" s="250"/>
      <c r="AP13" s="307" t="s">
        <v>525</v>
      </c>
      <c r="AQ13" s="252">
        <v>4665</v>
      </c>
      <c r="AR13" s="252">
        <v>2741</v>
      </c>
      <c r="AS13" s="249">
        <f t="shared" si="48"/>
        <v>-41.243301178992496</v>
      </c>
      <c r="AT13" s="252">
        <v>2904</v>
      </c>
      <c r="AU13" s="252">
        <v>2741</v>
      </c>
      <c r="AV13" s="249">
        <f t="shared" si="15"/>
        <v>-5.612947658402204</v>
      </c>
      <c r="AW13" s="250"/>
      <c r="AX13" s="307" t="s">
        <v>525</v>
      </c>
      <c r="AY13" s="252">
        <v>3495</v>
      </c>
      <c r="AZ13" s="252">
        <v>2904</v>
      </c>
      <c r="BA13" s="249">
        <f t="shared" si="16"/>
        <v>-16.909871244635195</v>
      </c>
      <c r="BB13" s="252">
        <v>2178</v>
      </c>
      <c r="BC13" s="252">
        <v>2904</v>
      </c>
      <c r="BD13" s="249">
        <f t="shared" si="17"/>
        <v>33.333333333333329</v>
      </c>
      <c r="BE13" s="250"/>
      <c r="BF13" s="307" t="s">
        <v>525</v>
      </c>
      <c r="BG13" s="252">
        <v>2841</v>
      </c>
      <c r="BH13" s="252">
        <v>2178</v>
      </c>
      <c r="BI13" s="249">
        <f t="shared" si="18"/>
        <v>-23.336853220696938</v>
      </c>
      <c r="BJ13" s="252"/>
      <c r="BK13" s="252">
        <v>2178</v>
      </c>
      <c r="BL13" s="249"/>
      <c r="BM13" s="250"/>
      <c r="BN13" s="321"/>
      <c r="BO13" s="252"/>
      <c r="BP13" s="252"/>
      <c r="BQ13" s="249"/>
      <c r="BR13" s="252"/>
      <c r="BS13" s="252"/>
      <c r="BT13" s="249"/>
      <c r="BU13" s="250"/>
      <c r="BV13" s="321"/>
      <c r="BW13" s="252"/>
      <c r="BX13" s="252"/>
      <c r="BY13" s="249"/>
      <c r="BZ13" s="252"/>
      <c r="CA13" s="252"/>
      <c r="CB13" s="249"/>
      <c r="CC13" s="73"/>
      <c r="CD13" s="250"/>
      <c r="CE13" s="250"/>
      <c r="CF13" s="252"/>
      <c r="CG13" s="252"/>
      <c r="CH13" s="249"/>
      <c r="CI13" s="252"/>
      <c r="CJ13" s="252"/>
      <c r="CK13" s="249"/>
      <c r="CL13" s="73"/>
      <c r="CM13" s="250"/>
      <c r="CN13" s="252"/>
      <c r="CO13" s="252"/>
      <c r="CP13" s="249"/>
      <c r="CQ13" s="252"/>
      <c r="CR13" s="252"/>
      <c r="CS13" s="249"/>
      <c r="CT13" s="249"/>
      <c r="CU13" s="73"/>
      <c r="CV13" s="232"/>
      <c r="CW13" s="232"/>
      <c r="CX13" s="234"/>
      <c r="CY13" s="234"/>
      <c r="CZ13" s="231"/>
      <c r="DA13" s="234"/>
      <c r="DB13" s="234"/>
      <c r="DC13" s="231"/>
      <c r="DD13" s="73"/>
      <c r="DE13" s="103"/>
      <c r="DF13" s="103"/>
      <c r="DG13" s="105"/>
      <c r="DH13" s="105"/>
      <c r="DI13" s="102"/>
      <c r="DJ13" s="105"/>
      <c r="DK13" s="105"/>
      <c r="DL13" s="102"/>
      <c r="DM13" s="155"/>
      <c r="DN13" s="24"/>
      <c r="DO13" s="24"/>
      <c r="DP13" s="25"/>
      <c r="DQ13" s="25"/>
      <c r="DR13" s="128"/>
      <c r="DS13" s="25"/>
      <c r="DT13" s="25"/>
      <c r="DU13" s="128"/>
      <c r="DV13" s="127"/>
      <c r="DW13" s="103"/>
      <c r="DX13" s="103"/>
      <c r="DY13" s="105"/>
      <c r="DZ13" s="105"/>
      <c r="EA13" s="102"/>
      <c r="EB13" s="109"/>
      <c r="EC13" s="105"/>
      <c r="ED13" s="102"/>
      <c r="EE13" s="61"/>
      <c r="EF13" s="77"/>
      <c r="EG13" s="77"/>
      <c r="EH13" s="80"/>
      <c r="EI13" s="80"/>
      <c r="EJ13" s="79"/>
      <c r="EK13" s="81"/>
      <c r="EL13" s="80"/>
      <c r="EM13" s="79"/>
      <c r="EN13" s="61"/>
      <c r="EO13" s="42"/>
      <c r="EP13" s="42"/>
      <c r="EQ13" s="43"/>
      <c r="ER13" s="43"/>
      <c r="ES13" s="44"/>
      <c r="ET13" s="45"/>
      <c r="EU13" s="43"/>
      <c r="EV13" s="44"/>
      <c r="EY13" s="24"/>
      <c r="EZ13" s="25"/>
      <c r="FA13" s="25"/>
      <c r="FB13" s="32"/>
      <c r="FC13" s="27"/>
      <c r="FD13" s="25"/>
      <c r="FE13" s="32"/>
    </row>
    <row r="14" spans="1:161" x14ac:dyDescent="0.5">
      <c r="A14" s="250"/>
      <c r="B14" s="307" t="s">
        <v>526</v>
      </c>
      <c r="C14" s="289">
        <v>1078</v>
      </c>
      <c r="D14" s="252">
        <v>889</v>
      </c>
      <c r="E14" s="249">
        <f t="shared" si="38"/>
        <v>-17.532467532467532</v>
      </c>
      <c r="F14" s="252">
        <v>845</v>
      </c>
      <c r="G14" s="252">
        <v>889</v>
      </c>
      <c r="H14" s="249">
        <f t="shared" si="39"/>
        <v>5.2071005917159763</v>
      </c>
      <c r="I14" s="250"/>
      <c r="J14" s="307" t="s">
        <v>526</v>
      </c>
      <c r="K14" s="289">
        <v>1238</v>
      </c>
      <c r="L14" s="252">
        <v>845</v>
      </c>
      <c r="M14" s="249">
        <f t="shared" si="40"/>
        <v>-31.74474959612278</v>
      </c>
      <c r="N14" s="252">
        <v>1012</v>
      </c>
      <c r="O14" s="252">
        <v>845</v>
      </c>
      <c r="P14" s="249">
        <f t="shared" si="41"/>
        <v>-16.50197628458498</v>
      </c>
      <c r="Q14" s="250"/>
      <c r="R14" s="307" t="s">
        <v>526</v>
      </c>
      <c r="S14" s="252">
        <v>1640</v>
      </c>
      <c r="T14" s="252">
        <v>1012</v>
      </c>
      <c r="U14" s="249">
        <f t="shared" si="42"/>
        <v>-38.292682926829272</v>
      </c>
      <c r="V14" s="252">
        <v>1118</v>
      </c>
      <c r="W14" s="252">
        <v>1012</v>
      </c>
      <c r="X14" s="249">
        <f t="shared" si="43"/>
        <v>-9.4812164579606435</v>
      </c>
      <c r="Y14" s="250"/>
      <c r="Z14" s="307" t="s">
        <v>526</v>
      </c>
      <c r="AA14" s="252">
        <v>1498</v>
      </c>
      <c r="AB14" s="252">
        <v>1118</v>
      </c>
      <c r="AC14" s="249">
        <f t="shared" si="44"/>
        <v>-25.367156208277702</v>
      </c>
      <c r="AD14" s="252">
        <v>1281</v>
      </c>
      <c r="AE14" s="252">
        <v>1118</v>
      </c>
      <c r="AF14" s="249">
        <f t="shared" si="45"/>
        <v>-12.724434035909447</v>
      </c>
      <c r="AG14" s="250"/>
      <c r="AH14" s="307" t="s">
        <v>526</v>
      </c>
      <c r="AI14" s="252">
        <v>1543</v>
      </c>
      <c r="AJ14" s="252">
        <v>1281</v>
      </c>
      <c r="AK14" s="249">
        <f t="shared" si="46"/>
        <v>-16.9799092676604</v>
      </c>
      <c r="AL14" s="252">
        <v>1917</v>
      </c>
      <c r="AM14" s="252">
        <v>1281</v>
      </c>
      <c r="AN14" s="249">
        <f t="shared" si="47"/>
        <v>-33.176838810641627</v>
      </c>
      <c r="AO14" s="250"/>
      <c r="AP14" s="307" t="s">
        <v>526</v>
      </c>
      <c r="AQ14" s="252">
        <v>2610</v>
      </c>
      <c r="AR14" s="252">
        <v>1917</v>
      </c>
      <c r="AS14" s="249">
        <f t="shared" si="48"/>
        <v>-26.551724137931032</v>
      </c>
      <c r="AT14" s="252">
        <v>2300</v>
      </c>
      <c r="AU14" s="252">
        <v>1917</v>
      </c>
      <c r="AV14" s="249">
        <f t="shared" si="15"/>
        <v>-16.652173913043477</v>
      </c>
      <c r="AW14" s="250"/>
      <c r="AX14" s="307" t="s">
        <v>526</v>
      </c>
      <c r="AY14" s="252">
        <v>2605</v>
      </c>
      <c r="AZ14" s="252">
        <v>2300</v>
      </c>
      <c r="BA14" s="249">
        <f t="shared" si="16"/>
        <v>-11.708253358925145</v>
      </c>
      <c r="BB14" s="252">
        <v>2055</v>
      </c>
      <c r="BC14" s="252">
        <v>2300</v>
      </c>
      <c r="BD14" s="249">
        <f t="shared" si="17"/>
        <v>11.922141119221411</v>
      </c>
      <c r="BE14" s="250"/>
      <c r="BF14" s="307" t="s">
        <v>526</v>
      </c>
      <c r="BG14" s="252">
        <v>2803</v>
      </c>
      <c r="BH14" s="252">
        <v>2055</v>
      </c>
      <c r="BI14" s="249">
        <f t="shared" si="18"/>
        <v>-26.68569389939351</v>
      </c>
      <c r="BJ14" s="252"/>
      <c r="BK14" s="252">
        <v>2055</v>
      </c>
      <c r="BL14" s="249"/>
      <c r="BM14" s="250"/>
      <c r="BN14" s="321"/>
      <c r="BO14" s="252"/>
      <c r="BP14" s="252"/>
      <c r="BQ14" s="249"/>
      <c r="BR14" s="252"/>
      <c r="BS14" s="252"/>
      <c r="BT14" s="249"/>
      <c r="BU14" s="250"/>
      <c r="BV14" s="321"/>
      <c r="BW14" s="252"/>
      <c r="BX14" s="252"/>
      <c r="BY14" s="249"/>
      <c r="BZ14" s="252"/>
      <c r="CA14" s="252"/>
      <c r="CB14" s="249"/>
      <c r="CC14" s="73"/>
      <c r="CD14" s="250"/>
      <c r="CE14" s="250"/>
      <c r="CF14" s="252"/>
      <c r="CG14" s="252"/>
      <c r="CH14" s="249"/>
      <c r="CI14" s="252"/>
      <c r="CJ14" s="252"/>
      <c r="CK14" s="249"/>
      <c r="CL14" s="73"/>
      <c r="CM14" s="250"/>
      <c r="CN14" s="252"/>
      <c r="CO14" s="252"/>
      <c r="CP14" s="249"/>
      <c r="CQ14" s="252"/>
      <c r="CR14" s="252"/>
      <c r="CS14" s="249"/>
      <c r="CT14" s="249"/>
      <c r="CU14" s="73"/>
      <c r="CV14" s="232"/>
      <c r="CW14" s="232"/>
      <c r="CX14" s="234"/>
      <c r="CY14" s="234"/>
      <c r="CZ14" s="231"/>
      <c r="DA14" s="234"/>
      <c r="DB14" s="234"/>
      <c r="DC14" s="231"/>
      <c r="DD14" s="73"/>
      <c r="DE14" s="103"/>
      <c r="DF14" s="103"/>
      <c r="DG14" s="105"/>
      <c r="DH14" s="105"/>
      <c r="DI14" s="102"/>
      <c r="DJ14" s="105"/>
      <c r="DK14" s="105"/>
      <c r="DL14" s="102"/>
      <c r="DM14" s="155"/>
      <c r="DN14" s="24"/>
      <c r="DO14" s="24"/>
      <c r="DP14" s="25"/>
      <c r="DQ14" s="25"/>
      <c r="DR14" s="128"/>
      <c r="DS14" s="25"/>
      <c r="DT14" s="25"/>
      <c r="DU14" s="128"/>
      <c r="DV14" s="127"/>
      <c r="DW14" s="103"/>
      <c r="DX14" s="103"/>
      <c r="DY14" s="105"/>
      <c r="DZ14" s="105"/>
      <c r="EA14" s="102"/>
      <c r="EB14" s="109"/>
      <c r="EC14" s="105"/>
      <c r="ED14" s="102"/>
      <c r="EE14" s="61"/>
      <c r="EF14" s="77"/>
      <c r="EG14" s="77"/>
      <c r="EH14" s="80"/>
      <c r="EI14" s="80"/>
      <c r="EJ14" s="79"/>
      <c r="EK14" s="81"/>
      <c r="EL14" s="80"/>
      <c r="EM14" s="79"/>
      <c r="EN14" s="61"/>
      <c r="EO14" s="42"/>
      <c r="EP14" s="42"/>
      <c r="EQ14" s="43"/>
      <c r="ER14" s="43"/>
      <c r="ES14" s="44"/>
      <c r="ET14" s="45"/>
      <c r="EU14" s="43"/>
      <c r="EV14" s="44"/>
      <c r="EY14" s="24"/>
      <c r="EZ14" s="25"/>
      <c r="FA14" s="25"/>
      <c r="FB14" s="32"/>
      <c r="FC14" s="27"/>
      <c r="FD14" s="25"/>
      <c r="FE14" s="32"/>
    </row>
    <row r="15" spans="1:161" x14ac:dyDescent="0.5">
      <c r="A15" s="247" t="s">
        <v>2</v>
      </c>
      <c r="B15" s="247" t="s">
        <v>60</v>
      </c>
      <c r="C15" s="248">
        <v>91951</v>
      </c>
      <c r="D15" s="248">
        <f>D16+D17</f>
        <v>61223</v>
      </c>
      <c r="E15" s="249">
        <f t="shared" si="38"/>
        <v>-33.41779861012931</v>
      </c>
      <c r="F15" s="248">
        <v>52770</v>
      </c>
      <c r="G15" s="248">
        <v>61223</v>
      </c>
      <c r="H15" s="249">
        <f>((G15-F15)/F15)*100</f>
        <v>16.01857115785484</v>
      </c>
      <c r="I15" s="247" t="s">
        <v>2</v>
      </c>
      <c r="J15" s="247" t="s">
        <v>60</v>
      </c>
      <c r="K15" s="248">
        <v>86239</v>
      </c>
      <c r="L15" s="248">
        <v>52770</v>
      </c>
      <c r="M15" s="249">
        <f t="shared" si="40"/>
        <v>-38.809587309685874</v>
      </c>
      <c r="N15" s="248">
        <v>63375</v>
      </c>
      <c r="O15" s="248">
        <v>52770</v>
      </c>
      <c r="P15" s="249">
        <f>((O15-N15)/N15)*100</f>
        <v>-16.733727810650887</v>
      </c>
      <c r="Q15" s="247" t="s">
        <v>2</v>
      </c>
      <c r="R15" s="247" t="s">
        <v>60</v>
      </c>
      <c r="S15" s="248">
        <v>76041</v>
      </c>
      <c r="T15" s="248">
        <v>63375</v>
      </c>
      <c r="U15" s="249">
        <f t="shared" si="42"/>
        <v>-16.656803566497022</v>
      </c>
      <c r="V15" s="248">
        <v>70278</v>
      </c>
      <c r="W15" s="248">
        <v>63375</v>
      </c>
      <c r="X15" s="249">
        <f>((W15-V15)/V15)*100</f>
        <v>-9.8224195338512761</v>
      </c>
      <c r="Y15" s="247" t="s">
        <v>2</v>
      </c>
      <c r="Z15" s="247" t="s">
        <v>60</v>
      </c>
      <c r="AA15" s="248">
        <v>89051</v>
      </c>
      <c r="AB15" s="248">
        <v>70278</v>
      </c>
      <c r="AC15" s="249">
        <f t="shared" si="44"/>
        <v>-21.081178201255462</v>
      </c>
      <c r="AD15" s="248">
        <v>59511</v>
      </c>
      <c r="AE15" s="248">
        <v>70278</v>
      </c>
      <c r="AF15" s="249">
        <f>((AE15-AD15)/AD15)*100</f>
        <v>18.092453495992338</v>
      </c>
      <c r="AG15" s="247" t="s">
        <v>2</v>
      </c>
      <c r="AH15" s="247" t="s">
        <v>60</v>
      </c>
      <c r="AI15" s="248">
        <v>101634</v>
      </c>
      <c r="AJ15" s="248">
        <v>59511</v>
      </c>
      <c r="AK15" s="249">
        <f t="shared" si="46"/>
        <v>-41.445776019835883</v>
      </c>
      <c r="AL15" s="248">
        <v>33465</v>
      </c>
      <c r="AM15" s="248">
        <v>59511</v>
      </c>
      <c r="AN15" s="249">
        <f>((AM15-AL15)/AL15)*100</f>
        <v>77.830569251456751</v>
      </c>
      <c r="AO15" s="247" t="s">
        <v>2</v>
      </c>
      <c r="AP15" s="247" t="s">
        <v>60</v>
      </c>
      <c r="AQ15" s="248">
        <v>87215</v>
      </c>
      <c r="AR15" s="248">
        <v>33465</v>
      </c>
      <c r="AS15" s="249">
        <f t="shared" si="48"/>
        <v>-61.629306885283498</v>
      </c>
      <c r="AT15" s="248">
        <v>58748</v>
      </c>
      <c r="AU15" s="248">
        <v>33465</v>
      </c>
      <c r="AV15" s="249">
        <f>((AU15-AT15)/AT15)*100</f>
        <v>-43.036358684550962</v>
      </c>
      <c r="AW15" s="247" t="s">
        <v>2</v>
      </c>
      <c r="AX15" s="247" t="s">
        <v>60</v>
      </c>
      <c r="AY15" s="248">
        <v>98916</v>
      </c>
      <c r="AZ15" s="248">
        <v>59011</v>
      </c>
      <c r="BA15" s="249">
        <f t="shared" si="16"/>
        <v>-40.34231064741801</v>
      </c>
      <c r="BB15" s="248">
        <v>54533</v>
      </c>
      <c r="BC15" s="248">
        <v>59011</v>
      </c>
      <c r="BD15" s="249">
        <f>((BC15-BB15)/BB15)*100</f>
        <v>8.211541635340069</v>
      </c>
      <c r="BE15" s="247" t="s">
        <v>2</v>
      </c>
      <c r="BF15" s="247" t="s">
        <v>60</v>
      </c>
      <c r="BG15" s="248">
        <v>83401</v>
      </c>
      <c r="BH15" s="248">
        <v>54533</v>
      </c>
      <c r="BI15" s="249">
        <f t="shared" si="18"/>
        <v>-34.613493842999482</v>
      </c>
      <c r="BJ15" s="248">
        <v>65685</v>
      </c>
      <c r="BK15" s="248">
        <v>54533</v>
      </c>
      <c r="BL15" s="249">
        <f t="shared" si="19"/>
        <v>-16.978001065692318</v>
      </c>
      <c r="BM15" s="247" t="s">
        <v>2</v>
      </c>
      <c r="BN15" s="247" t="s">
        <v>60</v>
      </c>
      <c r="BO15" s="248">
        <v>82307</v>
      </c>
      <c r="BP15" s="248">
        <v>65685</v>
      </c>
      <c r="BQ15" s="249">
        <f t="shared" si="20"/>
        <v>-20.195123136549746</v>
      </c>
      <c r="BR15" s="248">
        <v>65639</v>
      </c>
      <c r="BS15" s="248">
        <v>65685</v>
      </c>
      <c r="BT15" s="249">
        <f>((BS15-BR15)/BR15)*100</f>
        <v>7.0080287633876207E-2</v>
      </c>
      <c r="BU15" s="247" t="s">
        <v>2</v>
      </c>
      <c r="BV15" s="247" t="s">
        <v>60</v>
      </c>
      <c r="BW15" s="248">
        <v>88525</v>
      </c>
      <c r="BX15" s="248">
        <v>65639</v>
      </c>
      <c r="BY15" s="249">
        <f t="shared" si="22"/>
        <v>-25.852584015814738</v>
      </c>
      <c r="BZ15" s="248">
        <v>77126</v>
      </c>
      <c r="CA15" s="248">
        <v>65639</v>
      </c>
      <c r="CB15" s="249">
        <f t="shared" si="23"/>
        <v>-14.893810128880014</v>
      </c>
      <c r="CC15" s="73"/>
      <c r="CD15" s="247" t="s">
        <v>2</v>
      </c>
      <c r="CE15" s="247" t="s">
        <v>60</v>
      </c>
      <c r="CF15" s="248">
        <v>91402</v>
      </c>
      <c r="CG15" s="248">
        <v>75937</v>
      </c>
      <c r="CH15" s="249">
        <f t="shared" si="24"/>
        <v>-16.919761055556769</v>
      </c>
      <c r="CI15" s="248">
        <v>65586</v>
      </c>
      <c r="CJ15" s="248">
        <v>75937</v>
      </c>
      <c r="CK15" s="249">
        <f t="shared" si="25"/>
        <v>15.782331595157503</v>
      </c>
      <c r="CL15" s="73"/>
      <c r="CM15" s="247" t="s">
        <v>60</v>
      </c>
      <c r="CN15" s="248">
        <f>SUM(CN16:CN17)</f>
        <v>74857</v>
      </c>
      <c r="CO15" s="248">
        <f>SUM(CO16:CO17)</f>
        <v>65586</v>
      </c>
      <c r="CP15" s="249">
        <f t="shared" si="26"/>
        <v>-12.384947299517748</v>
      </c>
      <c r="CQ15" s="248">
        <f>SUM(CQ16:CQ17)</f>
        <v>59044</v>
      </c>
      <c r="CR15" s="248">
        <f>SUM(CR16:CR17)</f>
        <v>65586</v>
      </c>
      <c r="CS15" s="249">
        <f t="shared" si="27"/>
        <v>11.079872637355193</v>
      </c>
      <c r="CT15" s="249"/>
      <c r="CU15" s="73"/>
      <c r="CV15" s="229" t="s">
        <v>2</v>
      </c>
      <c r="CW15" s="229" t="s">
        <v>60</v>
      </c>
      <c r="CX15" s="230">
        <f>SUM(CX16:CX17)</f>
        <v>79754</v>
      </c>
      <c r="CY15" s="242">
        <f>SUM(CY16:CY17)</f>
        <v>58934</v>
      </c>
      <c r="CZ15" s="231">
        <f t="shared" si="28"/>
        <v>-26.105273716678788</v>
      </c>
      <c r="DA15" s="230">
        <f>SUM(DA16:DA17)</f>
        <v>54909</v>
      </c>
      <c r="DB15" s="242">
        <f>SUM(DB16:DB17)</f>
        <v>58934</v>
      </c>
      <c r="DC15" s="231">
        <f t="shared" si="29"/>
        <v>7.3303101495201153</v>
      </c>
      <c r="DD15" s="73"/>
      <c r="DE15" s="100" t="s">
        <v>2</v>
      </c>
      <c r="DF15" s="100" t="s">
        <v>60</v>
      </c>
      <c r="DG15" s="101">
        <f>SUM(DG16:DG17)</f>
        <v>91492</v>
      </c>
      <c r="DH15" s="101">
        <f>SUM(DH16:DH17)</f>
        <v>87625</v>
      </c>
      <c r="DI15" s="102">
        <f t="shared" si="30"/>
        <v>-4.2265990469112049</v>
      </c>
      <c r="DJ15" s="101">
        <v>48575</v>
      </c>
      <c r="DK15" s="101">
        <v>87625</v>
      </c>
      <c r="DL15" s="102">
        <f t="shared" si="31"/>
        <v>80.391147709727235</v>
      </c>
      <c r="DM15" s="155"/>
      <c r="DN15" s="120" t="s">
        <v>2</v>
      </c>
      <c r="DO15" s="120" t="s">
        <v>60</v>
      </c>
      <c r="DP15" s="121">
        <f>SUM(DP16:DP17)</f>
        <v>59639</v>
      </c>
      <c r="DQ15" s="121">
        <f>SUM(DQ16:DQ17)</f>
        <v>48575</v>
      </c>
      <c r="DR15" s="125">
        <f t="shared" si="32"/>
        <v>-18.551618907090997</v>
      </c>
      <c r="DS15" s="121">
        <v>47244</v>
      </c>
      <c r="DT15" s="121">
        <v>48575</v>
      </c>
      <c r="DU15" s="125">
        <f t="shared" si="33"/>
        <v>2.8172889679112694</v>
      </c>
      <c r="DV15" s="127"/>
      <c r="DW15" s="100" t="s">
        <v>2</v>
      </c>
      <c r="DX15" s="100" t="s">
        <v>60</v>
      </c>
      <c r="DY15" s="101">
        <f>SUM(DY16:DY17)</f>
        <v>40767</v>
      </c>
      <c r="DZ15" s="101">
        <f>SUM(DZ16:DZ17)</f>
        <v>47244</v>
      </c>
      <c r="EA15" s="102">
        <f t="shared" si="34"/>
        <v>15.887850467289718</v>
      </c>
      <c r="EB15" s="101">
        <f>SUM(EB16:EB17)</f>
        <v>105172</v>
      </c>
      <c r="EC15" s="101">
        <v>47244</v>
      </c>
      <c r="ED15" s="102">
        <f t="shared" si="35"/>
        <v>-55.079298672650509</v>
      </c>
      <c r="EE15" s="73"/>
      <c r="EF15" s="74" t="s">
        <v>2</v>
      </c>
      <c r="EG15" s="74" t="s">
        <v>60</v>
      </c>
      <c r="EH15" s="75">
        <f>SUM(EH16:EH17)</f>
        <v>140806</v>
      </c>
      <c r="EI15" s="75">
        <f>SUM(EI16:EI17)</f>
        <v>105172</v>
      </c>
      <c r="EJ15" s="76">
        <f t="shared" si="0"/>
        <v>-25.307160206241214</v>
      </c>
      <c r="EK15" s="75">
        <f>SUM(EK16:EK17)</f>
        <v>149783</v>
      </c>
      <c r="EL15" s="75">
        <f>SUM(EL16:EL17)</f>
        <v>105172</v>
      </c>
      <c r="EM15" s="76">
        <f t="shared" si="1"/>
        <v>-29.783753830541514</v>
      </c>
      <c r="EN15" s="73"/>
      <c r="EO15" s="63" t="s">
        <v>2</v>
      </c>
      <c r="EP15" s="63" t="s">
        <v>60</v>
      </c>
      <c r="EQ15" s="64">
        <f>SUM(EQ16:EQ17)</f>
        <v>140628</v>
      </c>
      <c r="ER15" s="64">
        <f>SUM(ER16:ER17)</f>
        <v>149783</v>
      </c>
      <c r="ES15" s="65">
        <f t="shared" si="2"/>
        <v>6.510083340444293</v>
      </c>
      <c r="ET15" s="64">
        <v>96137</v>
      </c>
      <c r="EU15" s="64">
        <f>SUM(EU16:EU17)</f>
        <v>149783</v>
      </c>
      <c r="EV15" s="65">
        <f t="shared" si="3"/>
        <v>55.801616443200849</v>
      </c>
      <c r="EY15" s="24" t="s">
        <v>2</v>
      </c>
      <c r="EZ15" s="25">
        <v>12005</v>
      </c>
      <c r="FA15" s="25">
        <v>8657</v>
      </c>
      <c r="FB15" s="32">
        <f>(FA15-EZ15)/EZ15*100</f>
        <v>-27.888379841732615</v>
      </c>
      <c r="FC15" s="27">
        <v>10995</v>
      </c>
      <c r="FD15" s="25">
        <v>8657</v>
      </c>
      <c r="FE15" s="32">
        <f>(FD15-FC15)/FC15*100</f>
        <v>-21.264211005002274</v>
      </c>
    </row>
    <row r="16" spans="1:161" x14ac:dyDescent="0.5">
      <c r="A16" s="250"/>
      <c r="B16" s="250" t="s">
        <v>61</v>
      </c>
      <c r="C16" s="252">
        <v>44100</v>
      </c>
      <c r="D16" s="252">
        <v>28767</v>
      </c>
      <c r="E16" s="249">
        <f t="shared" si="38"/>
        <v>-34.7687074829932</v>
      </c>
      <c r="F16" s="252">
        <v>27245</v>
      </c>
      <c r="G16" s="252">
        <v>28767</v>
      </c>
      <c r="H16" s="249">
        <f>((G16-F16)/F16)*100</f>
        <v>5.5863461185538625</v>
      </c>
      <c r="I16" s="250"/>
      <c r="J16" s="250" t="s">
        <v>61</v>
      </c>
      <c r="K16" s="252">
        <v>46611</v>
      </c>
      <c r="L16" s="252">
        <v>27245</v>
      </c>
      <c r="M16" s="249">
        <f t="shared" si="40"/>
        <v>-41.548132415095154</v>
      </c>
      <c r="N16" s="252">
        <v>34526</v>
      </c>
      <c r="O16" s="252">
        <v>27245</v>
      </c>
      <c r="P16" s="249">
        <f>((O16-N16)/N16)*100</f>
        <v>-21.088455077333023</v>
      </c>
      <c r="Q16" s="250"/>
      <c r="R16" s="250" t="s">
        <v>61</v>
      </c>
      <c r="S16" s="252">
        <v>45851</v>
      </c>
      <c r="T16" s="252">
        <v>34526</v>
      </c>
      <c r="U16" s="249">
        <f t="shared" si="42"/>
        <v>-24.699570347429717</v>
      </c>
      <c r="V16" s="252">
        <v>26851</v>
      </c>
      <c r="W16" s="252">
        <v>34526</v>
      </c>
      <c r="X16" s="249">
        <f>((W16-V16)/V16)*100</f>
        <v>28.583665412833785</v>
      </c>
      <c r="Y16" s="250"/>
      <c r="Z16" s="250" t="s">
        <v>61</v>
      </c>
      <c r="AA16" s="252">
        <v>30841</v>
      </c>
      <c r="AB16" s="252">
        <v>26851</v>
      </c>
      <c r="AC16" s="249">
        <f t="shared" si="44"/>
        <v>-12.937323692487274</v>
      </c>
      <c r="AD16" s="252">
        <v>30581</v>
      </c>
      <c r="AE16" s="252">
        <v>26851</v>
      </c>
      <c r="AF16" s="249">
        <f>((AE16-AD16)/AD16)*100</f>
        <v>-12.197115856250614</v>
      </c>
      <c r="AG16" s="250"/>
      <c r="AH16" s="250" t="s">
        <v>61</v>
      </c>
      <c r="AI16" s="252">
        <v>47707</v>
      </c>
      <c r="AJ16" s="252">
        <v>30581</v>
      </c>
      <c r="AK16" s="249">
        <f t="shared" si="46"/>
        <v>-35.898295847569543</v>
      </c>
      <c r="AL16" s="252">
        <v>13885</v>
      </c>
      <c r="AM16" s="252">
        <v>30581</v>
      </c>
      <c r="AN16" s="249">
        <f>((AM16-AL16)/AL16)*100</f>
        <v>120.2448685631977</v>
      </c>
      <c r="AO16" s="250"/>
      <c r="AP16" s="250" t="s">
        <v>61</v>
      </c>
      <c r="AQ16" s="252">
        <v>38655</v>
      </c>
      <c r="AR16" s="252">
        <v>13885</v>
      </c>
      <c r="AS16" s="249">
        <f t="shared" si="48"/>
        <v>-64.079679213555821</v>
      </c>
      <c r="AT16" s="252">
        <v>24828</v>
      </c>
      <c r="AU16" s="252">
        <v>13885</v>
      </c>
      <c r="AV16" s="249">
        <f>((AU16-AT16)/AT16)*100</f>
        <v>-44.075237634928307</v>
      </c>
      <c r="AW16" s="250"/>
      <c r="AX16" s="250" t="s">
        <v>61</v>
      </c>
      <c r="AY16" s="252">
        <v>43690</v>
      </c>
      <c r="AZ16" s="252">
        <v>25091</v>
      </c>
      <c r="BA16" s="249">
        <f t="shared" si="16"/>
        <v>-42.57038223849851</v>
      </c>
      <c r="BB16" s="252">
        <v>22269</v>
      </c>
      <c r="BC16" s="252">
        <v>25091</v>
      </c>
      <c r="BD16" s="249">
        <f>((BC16-BB16)/BB16)*100</f>
        <v>12.672324756387804</v>
      </c>
      <c r="BE16" s="250"/>
      <c r="BF16" s="250" t="s">
        <v>61</v>
      </c>
      <c r="BG16" s="252">
        <v>28901</v>
      </c>
      <c r="BH16" s="252">
        <v>22269</v>
      </c>
      <c r="BI16" s="249">
        <f t="shared" si="18"/>
        <v>-22.947302861492684</v>
      </c>
      <c r="BJ16" s="252">
        <v>24019</v>
      </c>
      <c r="BK16" s="252">
        <v>22269</v>
      </c>
      <c r="BL16" s="249">
        <f t="shared" si="19"/>
        <v>-7.285898663558017</v>
      </c>
      <c r="BM16" s="250"/>
      <c r="BN16" s="250" t="s">
        <v>61</v>
      </c>
      <c r="BO16" s="252">
        <v>34803</v>
      </c>
      <c r="BP16" s="252">
        <v>24019</v>
      </c>
      <c r="BQ16" s="249">
        <f t="shared" si="20"/>
        <v>-30.985834554492431</v>
      </c>
      <c r="BR16" s="252">
        <v>19245</v>
      </c>
      <c r="BS16" s="252">
        <v>24019</v>
      </c>
      <c r="BT16" s="249">
        <f>((BS16-BR16)/BR16)*100</f>
        <v>24.806443232008313</v>
      </c>
      <c r="BU16" s="250"/>
      <c r="BV16" s="250" t="s">
        <v>61</v>
      </c>
      <c r="BW16" s="252">
        <v>28031</v>
      </c>
      <c r="BX16" s="252">
        <v>19245</v>
      </c>
      <c r="BY16" s="249">
        <f t="shared" si="22"/>
        <v>-31.343869287574471</v>
      </c>
      <c r="BZ16" s="252">
        <v>31106</v>
      </c>
      <c r="CA16" s="252">
        <v>19245</v>
      </c>
      <c r="CB16" s="249">
        <f t="shared" si="23"/>
        <v>-38.130907220471933</v>
      </c>
      <c r="CC16" s="73"/>
      <c r="CD16" s="250"/>
      <c r="CE16" s="250" t="s">
        <v>61</v>
      </c>
      <c r="CF16" s="252">
        <v>38479</v>
      </c>
      <c r="CG16" s="252">
        <v>29917</v>
      </c>
      <c r="CH16" s="249">
        <f t="shared" si="24"/>
        <v>-22.251098001507316</v>
      </c>
      <c r="CI16" s="252">
        <v>24577</v>
      </c>
      <c r="CJ16" s="252">
        <v>29917</v>
      </c>
      <c r="CK16" s="249">
        <f t="shared" si="25"/>
        <v>21.727631525409937</v>
      </c>
      <c r="CL16" s="73"/>
      <c r="CM16" s="250" t="s">
        <v>61</v>
      </c>
      <c r="CN16" s="252">
        <v>24032</v>
      </c>
      <c r="CO16" s="252">
        <v>24577</v>
      </c>
      <c r="CP16" s="249">
        <f t="shared" si="26"/>
        <v>2.2678095872170441</v>
      </c>
      <c r="CQ16" s="252">
        <v>20709</v>
      </c>
      <c r="CR16" s="252">
        <v>24577</v>
      </c>
      <c r="CS16" s="249">
        <f t="shared" si="27"/>
        <v>18.677869525327154</v>
      </c>
      <c r="CT16" s="249"/>
      <c r="CU16" s="73"/>
      <c r="CV16" s="232"/>
      <c r="CW16" s="232" t="s">
        <v>61</v>
      </c>
      <c r="CX16" s="234">
        <v>28412</v>
      </c>
      <c r="CY16" s="244">
        <v>20709</v>
      </c>
      <c r="CZ16" s="231">
        <f t="shared" si="28"/>
        <v>-27.111783753343659</v>
      </c>
      <c r="DA16" s="234">
        <v>23737</v>
      </c>
      <c r="DB16" s="244">
        <v>20709</v>
      </c>
      <c r="DC16" s="231">
        <f t="shared" si="29"/>
        <v>-12.756456165480051</v>
      </c>
      <c r="DD16" s="73"/>
      <c r="DE16" s="103"/>
      <c r="DF16" s="103" t="s">
        <v>61</v>
      </c>
      <c r="DG16" s="105">
        <v>19178</v>
      </c>
      <c r="DH16" s="105">
        <v>12061</v>
      </c>
      <c r="DI16" s="102">
        <f t="shared" si="30"/>
        <v>-37.110230472416312</v>
      </c>
      <c r="DJ16" s="105">
        <v>8810</v>
      </c>
      <c r="DK16" s="105">
        <v>12061</v>
      </c>
      <c r="DL16" s="102">
        <f t="shared" si="31"/>
        <v>36.901248581157773</v>
      </c>
      <c r="DM16" s="155"/>
      <c r="DN16" s="24"/>
      <c r="DO16" s="24" t="s">
        <v>61</v>
      </c>
      <c r="DP16" s="25">
        <v>12642</v>
      </c>
      <c r="DQ16" s="25">
        <v>8810</v>
      </c>
      <c r="DR16" s="128">
        <f t="shared" si="32"/>
        <v>-30.31165954753995</v>
      </c>
      <c r="DS16" s="25">
        <v>13657</v>
      </c>
      <c r="DT16" s="25">
        <v>8810</v>
      </c>
      <c r="DU16" s="128">
        <f t="shared" si="33"/>
        <v>-35.490957018378857</v>
      </c>
      <c r="DV16" s="127"/>
      <c r="DW16" s="103"/>
      <c r="DX16" s="103" t="s">
        <v>61</v>
      </c>
      <c r="DY16" s="105">
        <v>17367</v>
      </c>
      <c r="DZ16" s="105">
        <v>13657</v>
      </c>
      <c r="EA16" s="102">
        <f t="shared" si="34"/>
        <v>-21.362353889560662</v>
      </c>
      <c r="EB16" s="109">
        <v>11632</v>
      </c>
      <c r="EC16" s="105">
        <v>13657</v>
      </c>
      <c r="ED16" s="102">
        <f t="shared" si="35"/>
        <v>17.408872077028885</v>
      </c>
      <c r="EE16" s="61"/>
      <c r="EF16" s="77"/>
      <c r="EG16" s="77" t="s">
        <v>61</v>
      </c>
      <c r="EH16" s="80">
        <v>15511</v>
      </c>
      <c r="EI16" s="80">
        <v>11632</v>
      </c>
      <c r="EJ16" s="79">
        <f t="shared" si="0"/>
        <v>-25.008058796982784</v>
      </c>
      <c r="EK16" s="81">
        <v>12723</v>
      </c>
      <c r="EL16" s="80">
        <v>11632</v>
      </c>
      <c r="EM16" s="79">
        <f t="shared" si="1"/>
        <v>-8.5750216143991196</v>
      </c>
      <c r="EN16" s="61"/>
      <c r="EO16" s="42"/>
      <c r="EP16" s="42" t="s">
        <v>61</v>
      </c>
      <c r="EQ16" s="43">
        <v>12418</v>
      </c>
      <c r="ER16" s="43">
        <v>12723</v>
      </c>
      <c r="ES16" s="44">
        <f t="shared" si="2"/>
        <v>2.4561120953454663</v>
      </c>
      <c r="ET16" s="45">
        <v>8657</v>
      </c>
      <c r="EU16" s="43">
        <v>12723</v>
      </c>
      <c r="EV16" s="44">
        <f t="shared" si="3"/>
        <v>46.967771745408335</v>
      </c>
      <c r="EY16" s="24"/>
      <c r="EZ16" s="25"/>
      <c r="FA16" s="25"/>
      <c r="FB16" s="32"/>
      <c r="FC16" s="27"/>
      <c r="FD16" s="25"/>
      <c r="FE16" s="32"/>
    </row>
    <row r="17" spans="1:161" x14ac:dyDescent="0.5">
      <c r="A17" s="250"/>
      <c r="B17" s="250" t="s">
        <v>62</v>
      </c>
      <c r="C17" s="252">
        <v>47851</v>
      </c>
      <c r="D17" s="252">
        <v>32456</v>
      </c>
      <c r="E17" s="249">
        <f t="shared" si="38"/>
        <v>-32.17278635765188</v>
      </c>
      <c r="F17" s="252">
        <v>25525</v>
      </c>
      <c r="G17" s="252">
        <v>32456</v>
      </c>
      <c r="H17" s="249">
        <f>((G17-F17)/F17)*100</f>
        <v>27.153770812928503</v>
      </c>
      <c r="I17" s="250"/>
      <c r="J17" s="250" t="s">
        <v>62</v>
      </c>
      <c r="K17" s="252">
        <v>39628</v>
      </c>
      <c r="L17" s="252">
        <v>25525</v>
      </c>
      <c r="M17" s="249">
        <f t="shared" si="40"/>
        <v>-35.588472797012216</v>
      </c>
      <c r="N17" s="252">
        <v>28849</v>
      </c>
      <c r="O17" s="252">
        <v>25525</v>
      </c>
      <c r="P17" s="249">
        <f>((O17-N17)/N17)*100</f>
        <v>-11.522063156435232</v>
      </c>
      <c r="Q17" s="250"/>
      <c r="R17" s="250" t="s">
        <v>62</v>
      </c>
      <c r="S17" s="252">
        <v>30190</v>
      </c>
      <c r="T17" s="252">
        <v>28849</v>
      </c>
      <c r="U17" s="249">
        <f t="shared" si="42"/>
        <v>-4.4418681682676384</v>
      </c>
      <c r="V17" s="252">
        <v>43427</v>
      </c>
      <c r="W17" s="252">
        <v>28849</v>
      </c>
      <c r="X17" s="249">
        <f>((W17-V17)/V17)*100</f>
        <v>-33.568977824855509</v>
      </c>
      <c r="Y17" s="250"/>
      <c r="Z17" s="250" t="s">
        <v>62</v>
      </c>
      <c r="AA17" s="252">
        <v>58210</v>
      </c>
      <c r="AB17" s="252">
        <v>43427</v>
      </c>
      <c r="AC17" s="249">
        <f t="shared" si="44"/>
        <v>-25.39598007215255</v>
      </c>
      <c r="AD17" s="252">
        <v>28930</v>
      </c>
      <c r="AE17" s="252">
        <v>43427</v>
      </c>
      <c r="AF17" s="249">
        <f>((AE17-AD17)/AD17)*100</f>
        <v>50.110611821638443</v>
      </c>
      <c r="AG17" s="250"/>
      <c r="AH17" s="250" t="s">
        <v>62</v>
      </c>
      <c r="AI17" s="252">
        <v>53927</v>
      </c>
      <c r="AJ17" s="252">
        <v>28930</v>
      </c>
      <c r="AK17" s="249">
        <f t="shared" si="46"/>
        <v>-46.353403675338882</v>
      </c>
      <c r="AL17" s="252">
        <v>19580</v>
      </c>
      <c r="AM17" s="252">
        <v>28930</v>
      </c>
      <c r="AN17" s="249">
        <f>((AM17-AL17)/AL17)*100</f>
        <v>47.752808988764045</v>
      </c>
      <c r="AO17" s="250"/>
      <c r="AP17" s="250" t="s">
        <v>62</v>
      </c>
      <c r="AQ17" s="252">
        <v>48560</v>
      </c>
      <c r="AR17" s="252">
        <v>19580</v>
      </c>
      <c r="AS17" s="249">
        <f t="shared" si="48"/>
        <v>-59.67874794069192</v>
      </c>
      <c r="AT17" s="252">
        <v>33920</v>
      </c>
      <c r="AU17" s="252">
        <v>19580</v>
      </c>
      <c r="AV17" s="249">
        <f>((AU17-AT17)/AT17)*100</f>
        <v>-42.275943396226417</v>
      </c>
      <c r="AW17" s="250"/>
      <c r="AX17" s="250" t="s">
        <v>62</v>
      </c>
      <c r="AY17" s="252">
        <v>55226</v>
      </c>
      <c r="AZ17" s="252">
        <v>33920</v>
      </c>
      <c r="BA17" s="249">
        <f t="shared" si="16"/>
        <v>-38.579654510556622</v>
      </c>
      <c r="BB17" s="252">
        <v>32264</v>
      </c>
      <c r="BC17" s="252">
        <v>33920</v>
      </c>
      <c r="BD17" s="249">
        <f>((BC17-BB17)/BB17)*100</f>
        <v>5.1326555913711882</v>
      </c>
      <c r="BE17" s="250"/>
      <c r="BF17" s="250" t="s">
        <v>62</v>
      </c>
      <c r="BG17" s="252">
        <v>54500</v>
      </c>
      <c r="BH17" s="252">
        <v>32264</v>
      </c>
      <c r="BI17" s="249">
        <f t="shared" si="18"/>
        <v>-40.799999999999997</v>
      </c>
      <c r="BJ17" s="252">
        <v>41666</v>
      </c>
      <c r="BK17" s="252">
        <v>32264</v>
      </c>
      <c r="BL17" s="249">
        <f t="shared" si="19"/>
        <v>-22.56516104257668</v>
      </c>
      <c r="BM17" s="250"/>
      <c r="BN17" s="250" t="s">
        <v>62</v>
      </c>
      <c r="BO17" s="252">
        <v>47504</v>
      </c>
      <c r="BP17" s="252">
        <v>41666</v>
      </c>
      <c r="BQ17" s="249">
        <f t="shared" si="20"/>
        <v>-12.289491411249578</v>
      </c>
      <c r="BR17" s="252">
        <v>46394</v>
      </c>
      <c r="BS17" s="252">
        <v>41666</v>
      </c>
      <c r="BT17" s="249">
        <f>((BS17-BR17)/BR17)*100</f>
        <v>-10.190972970642756</v>
      </c>
      <c r="BU17" s="250"/>
      <c r="BV17" s="250" t="s">
        <v>62</v>
      </c>
      <c r="BW17" s="252">
        <v>60494</v>
      </c>
      <c r="BX17" s="252">
        <v>46394</v>
      </c>
      <c r="BY17" s="249">
        <f t="shared" si="22"/>
        <v>-23.308096670744206</v>
      </c>
      <c r="BZ17" s="252">
        <v>46020</v>
      </c>
      <c r="CA17" s="252">
        <v>46394</v>
      </c>
      <c r="CB17" s="249">
        <f t="shared" si="23"/>
        <v>0.81269013472403306</v>
      </c>
      <c r="CC17" s="73"/>
      <c r="CD17" s="250"/>
      <c r="CE17" s="250" t="s">
        <v>62</v>
      </c>
      <c r="CF17" s="252">
        <v>52923</v>
      </c>
      <c r="CG17" s="252">
        <v>46020</v>
      </c>
      <c r="CH17" s="249">
        <f t="shared" si="24"/>
        <v>-13.043478260869565</v>
      </c>
      <c r="CI17" s="252">
        <v>41009</v>
      </c>
      <c r="CJ17" s="252">
        <v>46020</v>
      </c>
      <c r="CK17" s="249">
        <f t="shared" si="25"/>
        <v>12.219268940964179</v>
      </c>
      <c r="CL17" s="73"/>
      <c r="CM17" s="250" t="s">
        <v>62</v>
      </c>
      <c r="CN17" s="252">
        <v>50825</v>
      </c>
      <c r="CO17" s="252">
        <v>41009</v>
      </c>
      <c r="CP17" s="249">
        <f t="shared" si="26"/>
        <v>-19.313330054107229</v>
      </c>
      <c r="CQ17" s="252">
        <v>38335</v>
      </c>
      <c r="CR17" s="252">
        <v>41009</v>
      </c>
      <c r="CS17" s="249">
        <f t="shared" si="27"/>
        <v>6.9753488978740048</v>
      </c>
      <c r="CT17" s="249"/>
      <c r="CU17" s="73"/>
      <c r="CV17" s="232"/>
      <c r="CW17" s="232" t="s">
        <v>62</v>
      </c>
      <c r="CX17" s="234">
        <v>51342</v>
      </c>
      <c r="CY17" s="244">
        <v>38225</v>
      </c>
      <c r="CZ17" s="231">
        <f t="shared" si="28"/>
        <v>-25.548284055938609</v>
      </c>
      <c r="DA17" s="234">
        <v>31172</v>
      </c>
      <c r="DB17" s="244">
        <v>38225</v>
      </c>
      <c r="DC17" s="231">
        <f t="shared" si="29"/>
        <v>22.626074682407289</v>
      </c>
      <c r="DD17" s="73"/>
      <c r="DE17" s="103"/>
      <c r="DF17" s="103" t="s">
        <v>62</v>
      </c>
      <c r="DG17" s="105">
        <v>72314</v>
      </c>
      <c r="DH17" s="105">
        <v>75564</v>
      </c>
      <c r="DI17" s="102">
        <f t="shared" si="30"/>
        <v>4.4942887960837457</v>
      </c>
      <c r="DJ17" s="105">
        <v>39765</v>
      </c>
      <c r="DK17" s="105">
        <v>75564</v>
      </c>
      <c r="DL17" s="102">
        <f t="shared" si="31"/>
        <v>90.02640513013958</v>
      </c>
      <c r="DM17" s="155"/>
      <c r="DN17" s="24"/>
      <c r="DO17" s="24" t="s">
        <v>62</v>
      </c>
      <c r="DP17" s="25">
        <v>46997</v>
      </c>
      <c r="DQ17" s="25">
        <v>39765</v>
      </c>
      <c r="DR17" s="128">
        <f t="shared" si="32"/>
        <v>-15.388216269123561</v>
      </c>
      <c r="DS17" s="25">
        <v>33587</v>
      </c>
      <c r="DT17" s="25">
        <v>39765</v>
      </c>
      <c r="DU17" s="128">
        <f t="shared" si="33"/>
        <v>18.394021496412304</v>
      </c>
      <c r="DV17" s="127"/>
      <c r="DW17" s="103"/>
      <c r="DX17" s="103" t="s">
        <v>62</v>
      </c>
      <c r="DY17" s="105">
        <v>23400</v>
      </c>
      <c r="DZ17" s="105">
        <v>33587</v>
      </c>
      <c r="EA17" s="102">
        <f t="shared" si="34"/>
        <v>43.534188034188034</v>
      </c>
      <c r="EB17" s="109">
        <v>93540</v>
      </c>
      <c r="EC17" s="105">
        <v>33587</v>
      </c>
      <c r="ED17" s="102">
        <f t="shared" si="35"/>
        <v>-64.093435963224294</v>
      </c>
      <c r="EE17" s="61"/>
      <c r="EF17" s="77"/>
      <c r="EG17" s="77" t="s">
        <v>62</v>
      </c>
      <c r="EH17" s="80">
        <v>125295</v>
      </c>
      <c r="EI17" s="80">
        <v>93540</v>
      </c>
      <c r="EJ17" s="79">
        <f t="shared" si="0"/>
        <v>-25.344187716987911</v>
      </c>
      <c r="EK17" s="81">
        <v>137060</v>
      </c>
      <c r="EL17" s="80">
        <v>93540</v>
      </c>
      <c r="EM17" s="79">
        <f t="shared" si="1"/>
        <v>-31.75251714577557</v>
      </c>
      <c r="EN17" s="61"/>
      <c r="EO17" s="42"/>
      <c r="EP17" s="42" t="s">
        <v>62</v>
      </c>
      <c r="EQ17" s="43">
        <v>128210</v>
      </c>
      <c r="ER17" s="43">
        <v>137060</v>
      </c>
      <c r="ES17" s="44">
        <f t="shared" si="2"/>
        <v>6.9027376959675539</v>
      </c>
      <c r="ET17" s="45">
        <v>87480</v>
      </c>
      <c r="EU17" s="43">
        <v>137060</v>
      </c>
      <c r="EV17" s="44">
        <f t="shared" si="3"/>
        <v>56.675811614083216</v>
      </c>
      <c r="EY17" s="24"/>
      <c r="EZ17" s="25"/>
      <c r="FA17" s="25"/>
      <c r="FB17" s="32"/>
      <c r="FC17" s="27"/>
      <c r="FD17" s="25"/>
      <c r="FE17" s="32"/>
    </row>
    <row r="18" spans="1:161" x14ac:dyDescent="0.5">
      <c r="A18" s="250"/>
      <c r="B18" s="250" t="s">
        <v>63</v>
      </c>
      <c r="C18" s="256">
        <v>6731.5278457304703</v>
      </c>
      <c r="D18" s="256">
        <v>4335.7325568189299</v>
      </c>
      <c r="E18" s="249">
        <f t="shared" si="38"/>
        <v>-35.590661493454185</v>
      </c>
      <c r="F18" s="256">
        <v>4271.5308613505249</v>
      </c>
      <c r="G18" s="256">
        <v>4335.7325568189299</v>
      </c>
      <c r="H18" s="249">
        <f>((G18-F18)/F18)*100</f>
        <v>1.5030137333037179</v>
      </c>
      <c r="I18" s="250"/>
      <c r="J18" s="250" t="s">
        <v>63</v>
      </c>
      <c r="K18" s="256">
        <v>7203.390644777648</v>
      </c>
      <c r="L18" s="256">
        <v>4271.5308613505249</v>
      </c>
      <c r="M18" s="249">
        <f t="shared" si="40"/>
        <v>-40.701107686734694</v>
      </c>
      <c r="N18" s="256">
        <v>5379.8576509672175</v>
      </c>
      <c r="O18" s="256">
        <v>4271.5308613505249</v>
      </c>
      <c r="P18" s="249">
        <f>((O18-N18)/N18)*100</f>
        <v>-20.601414786828645</v>
      </c>
      <c r="Q18" s="250"/>
      <c r="R18" s="250" t="s">
        <v>63</v>
      </c>
      <c r="S18" s="256">
        <v>6600.09</v>
      </c>
      <c r="T18" s="256">
        <v>5379.8576509672175</v>
      </c>
      <c r="U18" s="249">
        <f t="shared" si="42"/>
        <v>-18.488116814055303</v>
      </c>
      <c r="V18" s="256">
        <v>4874.0103518662681</v>
      </c>
      <c r="W18" s="256">
        <v>5379.8576509672175</v>
      </c>
      <c r="X18" s="249">
        <f>((W18-V18)/V18)*100</f>
        <v>10.37846173033382</v>
      </c>
      <c r="Y18" s="250"/>
      <c r="Z18" s="250" t="s">
        <v>63</v>
      </c>
      <c r="AA18" s="256">
        <v>5752.3808200600006</v>
      </c>
      <c r="AB18" s="256">
        <v>4874.0103518662681</v>
      </c>
      <c r="AC18" s="249">
        <f t="shared" si="44"/>
        <v>-15.269685642693082</v>
      </c>
      <c r="AD18" s="256">
        <v>4565.18</v>
      </c>
      <c r="AE18" s="256">
        <v>4874.0103518662681</v>
      </c>
      <c r="AF18" s="249">
        <f>((AE18-AD18)/AD18)*100</f>
        <v>6.7649107344347401</v>
      </c>
      <c r="AG18" s="250"/>
      <c r="AH18" s="250" t="s">
        <v>63</v>
      </c>
      <c r="AI18" s="256">
        <v>8026.73</v>
      </c>
      <c r="AJ18" s="256">
        <v>4565.18</v>
      </c>
      <c r="AK18" s="249">
        <f t="shared" si="46"/>
        <v>-43.125282649347859</v>
      </c>
      <c r="AL18" s="256">
        <v>2683.72859981081</v>
      </c>
      <c r="AM18" s="256">
        <v>4565.18</v>
      </c>
      <c r="AN18" s="249">
        <f>((AM18-AL18)/AL18)*100</f>
        <v>70.105874354128943</v>
      </c>
      <c r="AO18" s="250"/>
      <c r="AP18" s="250" t="s">
        <v>63</v>
      </c>
      <c r="AQ18" s="256">
        <v>6878.31</v>
      </c>
      <c r="AR18" s="256">
        <v>2683.72859981081</v>
      </c>
      <c r="AS18" s="249">
        <f t="shared" si="48"/>
        <v>-60.982732679818007</v>
      </c>
      <c r="AT18" s="256">
        <v>4354.2459487109954</v>
      </c>
      <c r="AU18" s="256">
        <v>2683.72859981081</v>
      </c>
      <c r="AV18" s="249">
        <f>((AU18-AT18)/AT18)*100</f>
        <v>-38.365250116262153</v>
      </c>
      <c r="AW18" s="250"/>
      <c r="AX18" s="250" t="s">
        <v>63</v>
      </c>
      <c r="AY18" s="256">
        <v>7504.8</v>
      </c>
      <c r="AZ18" s="256">
        <v>4377.3</v>
      </c>
      <c r="BA18" s="249">
        <f t="shared" si="16"/>
        <v>-41.673329069395585</v>
      </c>
      <c r="BB18" s="256">
        <v>3823.64</v>
      </c>
      <c r="BC18" s="256">
        <v>4377.3</v>
      </c>
      <c r="BD18" s="249">
        <f>((BC18-BB18)/BB18)*100</f>
        <v>14.47991965770837</v>
      </c>
      <c r="BE18" s="250"/>
      <c r="BF18" s="250" t="s">
        <v>63</v>
      </c>
      <c r="BG18" s="256">
        <v>5294.32</v>
      </c>
      <c r="BH18" s="256">
        <v>3823.64</v>
      </c>
      <c r="BI18" s="249">
        <f t="shared" si="18"/>
        <v>-27.778449357046796</v>
      </c>
      <c r="BJ18" s="256">
        <v>3935.3</v>
      </c>
      <c r="BK18" s="256">
        <v>3823.64</v>
      </c>
      <c r="BL18" s="249">
        <f t="shared" si="19"/>
        <v>-2.837394861891096</v>
      </c>
      <c r="BM18" s="250"/>
      <c r="BN18" s="250" t="s">
        <v>63</v>
      </c>
      <c r="BO18" s="256">
        <v>4672.59</v>
      </c>
      <c r="BP18" s="256">
        <v>3935.3</v>
      </c>
      <c r="BQ18" s="249">
        <f t="shared" si="20"/>
        <v>-15.779043314307481</v>
      </c>
      <c r="BR18" s="256">
        <v>3267.46</v>
      </c>
      <c r="BS18" s="256">
        <v>3935.3</v>
      </c>
      <c r="BT18" s="249">
        <f>((BS18-BR18)/BR18)*100</f>
        <v>20.439117846890248</v>
      </c>
      <c r="BU18" s="250"/>
      <c r="BV18" s="250" t="s">
        <v>63</v>
      </c>
      <c r="BW18" s="256">
        <v>4672.16</v>
      </c>
      <c r="BX18" s="256">
        <v>3267.46</v>
      </c>
      <c r="BY18" s="249">
        <f t="shared" si="22"/>
        <v>-30.0653231053731</v>
      </c>
      <c r="BZ18" s="256">
        <v>3986.72</v>
      </c>
      <c r="CA18" s="256">
        <v>3267.46</v>
      </c>
      <c r="CB18" s="249">
        <f t="shared" si="23"/>
        <v>-18.041397439499132</v>
      </c>
      <c r="CC18" s="73"/>
      <c r="CD18" s="250"/>
      <c r="CE18" s="250" t="s">
        <v>63</v>
      </c>
      <c r="CF18" s="256">
        <v>5022.79</v>
      </c>
      <c r="CG18" s="256">
        <v>3705.92</v>
      </c>
      <c r="CH18" s="249">
        <f t="shared" si="24"/>
        <v>-26.217898817191244</v>
      </c>
      <c r="CI18" s="256">
        <v>3933.58</v>
      </c>
      <c r="CJ18" s="256">
        <v>3705.92</v>
      </c>
      <c r="CK18" s="249">
        <f t="shared" si="25"/>
        <v>-5.7876031503109093</v>
      </c>
      <c r="CL18" s="73"/>
      <c r="CM18" s="250" t="s">
        <v>63</v>
      </c>
      <c r="CN18" s="256">
        <v>4044.94</v>
      </c>
      <c r="CO18" s="256">
        <v>3933.58</v>
      </c>
      <c r="CP18" s="249">
        <f t="shared" si="26"/>
        <v>-2.753069266787644</v>
      </c>
      <c r="CQ18" s="256">
        <v>3089.39</v>
      </c>
      <c r="CR18" s="256">
        <v>3933.58</v>
      </c>
      <c r="CS18" s="249">
        <f t="shared" si="27"/>
        <v>27.325459071208236</v>
      </c>
      <c r="CT18" s="249"/>
      <c r="CU18" s="73"/>
      <c r="CV18" s="232"/>
      <c r="CW18" s="232" t="s">
        <v>63</v>
      </c>
      <c r="CX18" s="235">
        <v>3073.16</v>
      </c>
      <c r="CY18" s="243">
        <v>2727.49</v>
      </c>
      <c r="CZ18" s="231">
        <f t="shared" si="28"/>
        <v>-11.248031342331673</v>
      </c>
      <c r="DA18" s="235">
        <v>2188.44</v>
      </c>
      <c r="DB18" s="243">
        <v>2727.49</v>
      </c>
      <c r="DC18" s="231">
        <f t="shared" si="29"/>
        <v>24.631701120432805</v>
      </c>
      <c r="DD18" s="73"/>
      <c r="DE18" s="103"/>
      <c r="DF18" s="103" t="s">
        <v>63</v>
      </c>
      <c r="DG18" s="106">
        <v>2992.5</v>
      </c>
      <c r="DH18" s="106">
        <v>2212.7800000000002</v>
      </c>
      <c r="DI18" s="102">
        <f t="shared" si="30"/>
        <v>-26.055806182121966</v>
      </c>
      <c r="DJ18" s="106">
        <v>1607.83</v>
      </c>
      <c r="DK18" s="106">
        <v>2212.7800000000002</v>
      </c>
      <c r="DL18" s="102">
        <f t="shared" si="31"/>
        <v>37.625246450184427</v>
      </c>
      <c r="DM18" s="155"/>
      <c r="DN18" s="24"/>
      <c r="DO18" s="24" t="s">
        <v>63</v>
      </c>
      <c r="DP18" s="124">
        <v>2063.4699999999998</v>
      </c>
      <c r="DQ18" s="124">
        <v>1607.83</v>
      </c>
      <c r="DR18" s="125">
        <f t="shared" si="32"/>
        <v>-22.081251484150481</v>
      </c>
      <c r="DS18" s="124">
        <v>1939.35</v>
      </c>
      <c r="DT18" s="124">
        <v>1607.83</v>
      </c>
      <c r="DU18" s="125">
        <f t="shared" si="33"/>
        <v>-17.094387294712146</v>
      </c>
      <c r="DV18" s="127"/>
      <c r="DW18" s="103"/>
      <c r="DX18" s="103" t="s">
        <v>63</v>
      </c>
      <c r="DY18" s="106">
        <v>2198.6</v>
      </c>
      <c r="DZ18" s="106">
        <v>1939.35</v>
      </c>
      <c r="EA18" s="102">
        <f t="shared" si="34"/>
        <v>-11.791594651141637</v>
      </c>
      <c r="EB18" s="110">
        <v>2506.8200000000002</v>
      </c>
      <c r="EC18" s="106">
        <v>1939.35</v>
      </c>
      <c r="ED18" s="102">
        <f t="shared" si="35"/>
        <v>-22.637046138135176</v>
      </c>
      <c r="EE18" s="61"/>
      <c r="EF18" s="77"/>
      <c r="EG18" s="77" t="s">
        <v>63</v>
      </c>
      <c r="EH18" s="82">
        <v>2453.9499999999998</v>
      </c>
      <c r="EI18" s="82">
        <v>2506.8200000000002</v>
      </c>
      <c r="EJ18" s="79">
        <f t="shared" si="0"/>
        <v>2.1544856252165019</v>
      </c>
      <c r="EK18" s="83">
        <v>2483.23</v>
      </c>
      <c r="EL18" s="82">
        <v>2506.8200000000002</v>
      </c>
      <c r="EM18" s="79">
        <f t="shared" si="1"/>
        <v>0.94997241495955453</v>
      </c>
      <c r="EN18" s="61"/>
      <c r="EO18" s="42"/>
      <c r="EP18" s="42" t="s">
        <v>63</v>
      </c>
      <c r="EQ18" s="66">
        <v>2284.98</v>
      </c>
      <c r="ER18" s="66">
        <v>2483.23</v>
      </c>
      <c r="ES18" s="44">
        <f t="shared" si="2"/>
        <v>8.6762247371968257</v>
      </c>
      <c r="ET18" s="67">
        <v>1581.05</v>
      </c>
      <c r="EU18" s="66">
        <v>2483.23</v>
      </c>
      <c r="EV18" s="44">
        <f t="shared" si="3"/>
        <v>57.062078998134155</v>
      </c>
      <c r="EY18" s="24"/>
      <c r="EZ18" s="25"/>
      <c r="FA18" s="25"/>
      <c r="FB18" s="32"/>
      <c r="FC18" s="27"/>
      <c r="FD18" s="25"/>
      <c r="FE18" s="32"/>
    </row>
    <row r="19" spans="1:161" x14ac:dyDescent="0.5">
      <c r="DE19"/>
      <c r="DM19" s="153"/>
    </row>
    <row r="20" spans="1:161" x14ac:dyDescent="0.5">
      <c r="C20" s="62" t="s">
        <v>866</v>
      </c>
      <c r="K20" s="62" t="s">
        <v>824</v>
      </c>
      <c r="S20" s="62" t="s">
        <v>823</v>
      </c>
      <c r="AA20" s="62" t="s">
        <v>731</v>
      </c>
      <c r="AI20" s="62" t="s">
        <v>685</v>
      </c>
      <c r="AQ20" t="s">
        <v>643</v>
      </c>
      <c r="AY20" t="s">
        <v>590</v>
      </c>
      <c r="BG20" t="s">
        <v>499</v>
      </c>
      <c r="BO20" t="s">
        <v>499</v>
      </c>
      <c r="BW20" t="s">
        <v>434</v>
      </c>
      <c r="CF20" t="s">
        <v>388</v>
      </c>
      <c r="CN20" t="s">
        <v>345</v>
      </c>
      <c r="CX20" t="s">
        <v>295</v>
      </c>
      <c r="DE20"/>
      <c r="DG20" t="s">
        <v>217</v>
      </c>
      <c r="DM20" s="153"/>
      <c r="DP20" t="s">
        <v>178</v>
      </c>
      <c r="DY20" t="s">
        <v>142</v>
      </c>
      <c r="EH20" t="s">
        <v>97</v>
      </c>
      <c r="EQ20" t="s">
        <v>50</v>
      </c>
      <c r="EZ20" t="s">
        <v>10</v>
      </c>
    </row>
    <row r="21" spans="1:161" x14ac:dyDescent="0.5">
      <c r="A21" s="163"/>
      <c r="B21" s="163"/>
      <c r="C21" s="263" t="s">
        <v>864</v>
      </c>
      <c r="D21" s="263" t="s">
        <v>868</v>
      </c>
      <c r="E21" s="265" t="s">
        <v>3</v>
      </c>
      <c r="F21" s="263" t="s">
        <v>826</v>
      </c>
      <c r="G21" s="263" t="s">
        <v>868</v>
      </c>
      <c r="H21" s="265" t="s">
        <v>3</v>
      </c>
      <c r="I21" s="163"/>
      <c r="J21" s="163"/>
      <c r="K21" s="263" t="s">
        <v>821</v>
      </c>
      <c r="L21" s="263" t="s">
        <v>826</v>
      </c>
      <c r="M21" s="265" t="s">
        <v>3</v>
      </c>
      <c r="N21" s="263" t="s">
        <v>827</v>
      </c>
      <c r="O21" s="263" t="s">
        <v>826</v>
      </c>
      <c r="P21" s="265" t="s">
        <v>3</v>
      </c>
      <c r="Q21" s="163"/>
      <c r="R21" s="163"/>
      <c r="S21" s="263" t="s">
        <v>770</v>
      </c>
      <c r="T21" s="263" t="s">
        <v>771</v>
      </c>
      <c r="U21" s="265" t="s">
        <v>3</v>
      </c>
      <c r="V21" s="263" t="s">
        <v>772</v>
      </c>
      <c r="W21" s="263" t="s">
        <v>771</v>
      </c>
      <c r="X21" s="265" t="s">
        <v>3</v>
      </c>
      <c r="Y21" s="163"/>
      <c r="Z21" s="163"/>
      <c r="AA21" s="263" t="s">
        <v>728</v>
      </c>
      <c r="AB21" s="263" t="s">
        <v>732</v>
      </c>
      <c r="AC21" s="265" t="s">
        <v>3</v>
      </c>
      <c r="AD21" s="263" t="s">
        <v>733</v>
      </c>
      <c r="AE21" s="263" t="s">
        <v>732</v>
      </c>
      <c r="AF21" s="265" t="s">
        <v>3</v>
      </c>
      <c r="AG21" s="163"/>
      <c r="AH21" s="163"/>
      <c r="AI21" s="263" t="s">
        <v>680</v>
      </c>
      <c r="AJ21" s="263" t="s">
        <v>683</v>
      </c>
      <c r="AK21" s="265" t="s">
        <v>3</v>
      </c>
      <c r="AL21" s="263" t="s">
        <v>684</v>
      </c>
      <c r="AM21" s="263" t="s">
        <v>683</v>
      </c>
      <c r="AN21" s="265" t="s">
        <v>3</v>
      </c>
      <c r="AO21" s="163"/>
      <c r="AP21" s="163"/>
      <c r="AQ21" s="263" t="s">
        <v>635</v>
      </c>
      <c r="AR21" s="263" t="s">
        <v>640</v>
      </c>
      <c r="AS21" s="265" t="s">
        <v>3</v>
      </c>
      <c r="AT21" s="263" t="s">
        <v>641</v>
      </c>
      <c r="AU21" s="263" t="s">
        <v>640</v>
      </c>
      <c r="AV21" s="265" t="s">
        <v>3</v>
      </c>
      <c r="AW21" s="163"/>
      <c r="AX21" s="163"/>
      <c r="AY21" s="172" t="s">
        <v>586</v>
      </c>
      <c r="AZ21" s="172" t="s">
        <v>588</v>
      </c>
      <c r="BA21" s="163" t="s">
        <v>3</v>
      </c>
      <c r="BB21" s="172" t="s">
        <v>589</v>
      </c>
      <c r="BC21" s="172" t="s">
        <v>588</v>
      </c>
      <c r="BD21" s="163" t="s">
        <v>3</v>
      </c>
      <c r="BE21" s="163"/>
      <c r="BF21" s="163"/>
      <c r="BG21" s="172" t="s">
        <v>545</v>
      </c>
      <c r="BH21" s="172" t="s">
        <v>547</v>
      </c>
      <c r="BI21" s="163" t="s">
        <v>3</v>
      </c>
      <c r="BJ21" s="172" t="s">
        <v>548</v>
      </c>
      <c r="BK21" s="172" t="s">
        <v>547</v>
      </c>
      <c r="BL21" s="163" t="s">
        <v>3</v>
      </c>
      <c r="BM21" s="163"/>
      <c r="BN21" s="163"/>
      <c r="BO21" s="172" t="s">
        <v>491</v>
      </c>
      <c r="BP21" s="172" t="s">
        <v>497</v>
      </c>
      <c r="BQ21" s="163" t="s">
        <v>3</v>
      </c>
      <c r="BR21" s="172" t="s">
        <v>498</v>
      </c>
      <c r="BS21" s="172" t="s">
        <v>497</v>
      </c>
      <c r="BT21" s="163" t="s">
        <v>3</v>
      </c>
      <c r="BU21" s="163"/>
      <c r="BV21" s="163"/>
      <c r="BW21" s="172" t="s">
        <v>430</v>
      </c>
      <c r="BX21" s="172" t="s">
        <v>433</v>
      </c>
      <c r="BY21" s="163" t="s">
        <v>3</v>
      </c>
      <c r="BZ21" s="172" t="s">
        <v>393</v>
      </c>
      <c r="CA21" s="172" t="s">
        <v>433</v>
      </c>
      <c r="CB21" s="163" t="s">
        <v>3</v>
      </c>
      <c r="CC21" s="62"/>
      <c r="CD21" s="163"/>
      <c r="CE21" s="163"/>
      <c r="CF21" s="172" t="s">
        <v>385</v>
      </c>
      <c r="CG21" s="172" t="s">
        <v>389</v>
      </c>
      <c r="CH21" s="163" t="s">
        <v>3</v>
      </c>
      <c r="CI21" s="172" t="s">
        <v>346</v>
      </c>
      <c r="CJ21" s="172" t="s">
        <v>389</v>
      </c>
      <c r="CK21" s="163" t="s">
        <v>3</v>
      </c>
      <c r="CL21" s="62"/>
      <c r="CM21" s="163"/>
      <c r="CN21" s="172" t="s">
        <v>338</v>
      </c>
      <c r="CO21" s="172" t="s">
        <v>346</v>
      </c>
      <c r="CP21" s="163" t="s">
        <v>3</v>
      </c>
      <c r="CQ21" s="172" t="s">
        <v>344</v>
      </c>
      <c r="CR21" s="172" t="s">
        <v>347</v>
      </c>
      <c r="CS21" s="163" t="s">
        <v>3</v>
      </c>
      <c r="CT21" s="163"/>
      <c r="CU21" s="62"/>
      <c r="CV21" s="239"/>
      <c r="CW21" s="239"/>
      <c r="CX21" s="240" t="s">
        <v>296</v>
      </c>
      <c r="CY21" s="240" t="s">
        <v>260</v>
      </c>
      <c r="CZ21" s="239" t="s">
        <v>3</v>
      </c>
      <c r="DA21" s="241" t="s">
        <v>216</v>
      </c>
      <c r="DB21" s="240" t="s">
        <v>260</v>
      </c>
      <c r="DC21" s="239" t="s">
        <v>3</v>
      </c>
      <c r="DD21" s="62"/>
      <c r="DE21" s="141"/>
      <c r="DF21" s="141"/>
      <c r="DG21" s="144" t="s">
        <v>212</v>
      </c>
      <c r="DH21" s="144" t="s">
        <v>216</v>
      </c>
      <c r="DI21" s="141" t="s">
        <v>3</v>
      </c>
      <c r="DJ21" s="146" t="s">
        <v>180</v>
      </c>
      <c r="DK21" s="144" t="s">
        <v>216</v>
      </c>
      <c r="DL21" s="141" t="s">
        <v>3</v>
      </c>
      <c r="DM21" s="154"/>
      <c r="DN21" s="95"/>
      <c r="DO21" s="95"/>
      <c r="DP21" s="96" t="s">
        <v>175</v>
      </c>
      <c r="DQ21" s="96" t="s">
        <v>180</v>
      </c>
      <c r="DR21" s="95" t="s">
        <v>3</v>
      </c>
      <c r="DS21" s="96" t="s">
        <v>143</v>
      </c>
      <c r="DT21" s="96" t="s">
        <v>180</v>
      </c>
      <c r="DU21" s="95" t="s">
        <v>3</v>
      </c>
      <c r="DV21" s="62"/>
      <c r="DW21" s="107"/>
      <c r="DX21" s="107"/>
      <c r="DY21" s="108" t="s">
        <v>140</v>
      </c>
      <c r="DZ21" s="108" t="s">
        <v>143</v>
      </c>
      <c r="EA21" s="107" t="s">
        <v>3</v>
      </c>
      <c r="EB21" s="108" t="s">
        <v>144</v>
      </c>
      <c r="EC21" s="108" t="s">
        <v>143</v>
      </c>
      <c r="ED21" s="107" t="s">
        <v>3</v>
      </c>
      <c r="EE21" s="62"/>
      <c r="EF21" s="95"/>
      <c r="EG21" s="95"/>
      <c r="EH21" s="96" t="s">
        <v>94</v>
      </c>
      <c r="EI21" s="96" t="s">
        <v>99</v>
      </c>
      <c r="EJ21" s="95" t="s">
        <v>3</v>
      </c>
      <c r="EK21" s="96" t="s">
        <v>98</v>
      </c>
      <c r="EL21" s="96" t="s">
        <v>96</v>
      </c>
      <c r="EM21" s="95" t="s">
        <v>3</v>
      </c>
      <c r="EN21" s="62"/>
      <c r="EO21" s="54"/>
      <c r="EP21" s="54"/>
      <c r="EQ21" s="55">
        <v>18323</v>
      </c>
      <c r="ER21" s="55">
        <v>18354</v>
      </c>
      <c r="ES21" s="54" t="s">
        <v>3</v>
      </c>
      <c r="ET21" s="55">
        <v>17989</v>
      </c>
      <c r="EU21" s="55">
        <v>18354</v>
      </c>
      <c r="EV21" s="54" t="s">
        <v>3</v>
      </c>
      <c r="EY21" s="29"/>
      <c r="EZ21" s="30">
        <v>17958</v>
      </c>
      <c r="FA21" s="30">
        <v>17989</v>
      </c>
      <c r="FB21" s="29" t="s">
        <v>3</v>
      </c>
      <c r="FC21" s="30">
        <v>17624</v>
      </c>
      <c r="FD21" s="30">
        <v>17989</v>
      </c>
      <c r="FE21" s="29" t="s">
        <v>3</v>
      </c>
    </row>
    <row r="22" spans="1:161" s="1" customFormat="1" ht="21" x14ac:dyDescent="0.45">
      <c r="A22" s="165" t="s">
        <v>0</v>
      </c>
      <c r="B22" s="165"/>
      <c r="C22" s="166">
        <v>129909</v>
      </c>
      <c r="D22" s="166">
        <v>104250</v>
      </c>
      <c r="E22" s="167">
        <f>((D22-C22)/C22)*100</f>
        <v>-19.751518370551693</v>
      </c>
      <c r="F22" s="166">
        <v>104667</v>
      </c>
      <c r="G22" s="166">
        <v>104250</v>
      </c>
      <c r="H22" s="167">
        <f t="shared" ref="H22:H32" si="49">((G22-F22)/F22)*100</f>
        <v>-0.39840637450199201</v>
      </c>
      <c r="I22" s="165" t="s">
        <v>0</v>
      </c>
      <c r="J22" s="165"/>
      <c r="K22" s="166">
        <v>138331</v>
      </c>
      <c r="L22" s="166">
        <v>104667</v>
      </c>
      <c r="M22" s="167">
        <f>((L22-K22)/K22)*100</f>
        <v>-24.335832170663117</v>
      </c>
      <c r="N22" s="166">
        <v>117636</v>
      </c>
      <c r="O22" s="166">
        <v>104667</v>
      </c>
      <c r="P22" s="167">
        <f t="shared" ref="P22:P32" si="50">((O22-N22)/N22)*100</f>
        <v>-11.024686320514128</v>
      </c>
      <c r="Q22" s="165" t="s">
        <v>0</v>
      </c>
      <c r="R22" s="165"/>
      <c r="S22" s="166">
        <v>179848</v>
      </c>
      <c r="T22" s="166">
        <v>117636</v>
      </c>
      <c r="U22" s="167">
        <f>((T22-S22)/S22)*100</f>
        <v>-34.591432765446378</v>
      </c>
      <c r="V22" s="166">
        <v>117786</v>
      </c>
      <c r="W22" s="166">
        <v>117636</v>
      </c>
      <c r="X22" s="167">
        <f t="shared" ref="X22:X32" si="51">((W22-V22)/V22)*100</f>
        <v>-0.12734960012225563</v>
      </c>
      <c r="Y22" s="165" t="s">
        <v>0</v>
      </c>
      <c r="Z22" s="165"/>
      <c r="AA22" s="166">
        <v>172671</v>
      </c>
      <c r="AB22" s="166">
        <v>117786</v>
      </c>
      <c r="AC22" s="167">
        <f>((AB22-AA22)/AA22)*100</f>
        <v>-31.785881821498691</v>
      </c>
      <c r="AD22" s="166">
        <v>104355</v>
      </c>
      <c r="AE22" s="166">
        <v>117786</v>
      </c>
      <c r="AF22" s="167">
        <f t="shared" ref="AF22:AF32" si="52">((AE22-AD22)/AD22)*100</f>
        <v>12.870490153801924</v>
      </c>
      <c r="AG22" s="165" t="s">
        <v>0</v>
      </c>
      <c r="AH22" s="165"/>
      <c r="AI22" s="166">
        <v>162515</v>
      </c>
      <c r="AJ22" s="166">
        <v>104355</v>
      </c>
      <c r="AK22" s="167">
        <f>((AJ22-AI22)/AI22)*100</f>
        <v>-35.787465772390242</v>
      </c>
      <c r="AL22" s="166">
        <v>24711</v>
      </c>
      <c r="AM22" s="166">
        <v>104355</v>
      </c>
      <c r="AN22" s="167">
        <f t="shared" ref="AN22:AN32" si="53">((AM22-AL22)/AL22)*100</f>
        <v>322.30180891101128</v>
      </c>
      <c r="AO22" s="165" t="s">
        <v>0</v>
      </c>
      <c r="AP22" s="165"/>
      <c r="AQ22" s="166">
        <v>146812</v>
      </c>
      <c r="AR22" s="166">
        <v>24711</v>
      </c>
      <c r="AS22" s="167">
        <f>((AR22-AQ22)/AQ22)*100</f>
        <v>-83.168269623736478</v>
      </c>
      <c r="AT22" s="166">
        <v>150242</v>
      </c>
      <c r="AU22" s="166">
        <v>24711</v>
      </c>
      <c r="AV22" s="167">
        <f t="shared" ref="AV22:AV32" si="54">((AU22-AT22)/AT22)*100</f>
        <v>-83.552535243141065</v>
      </c>
      <c r="AW22" s="165" t="s">
        <v>0</v>
      </c>
      <c r="AX22" s="165"/>
      <c r="AY22" s="166">
        <v>198821</v>
      </c>
      <c r="AZ22" s="166">
        <v>150242</v>
      </c>
      <c r="BA22" s="167">
        <f>((AZ22-AY22)/AY22)*100</f>
        <v>-24.433535692909704</v>
      </c>
      <c r="BB22" s="166">
        <v>134779</v>
      </c>
      <c r="BC22" s="166">
        <v>150242</v>
      </c>
      <c r="BD22" s="167">
        <f t="shared" ref="BD22:BD32" si="55">((BC22-BB22)/BB22)*100</f>
        <v>11.472855563552185</v>
      </c>
      <c r="BE22" s="165" t="s">
        <v>0</v>
      </c>
      <c r="BF22" s="165"/>
      <c r="BG22" s="166">
        <v>195257</v>
      </c>
      <c r="BH22" s="166">
        <v>134779</v>
      </c>
      <c r="BI22" s="167">
        <f>((BH22-BG22)/BG22)*100</f>
        <v>-30.973537440399063</v>
      </c>
      <c r="BJ22" s="166">
        <v>120473</v>
      </c>
      <c r="BK22" s="166">
        <v>134779</v>
      </c>
      <c r="BL22" s="167">
        <f t="shared" ref="BL22:BL32" si="56">((BK22-BJ22)/BJ22)*100</f>
        <v>11.8748599271206</v>
      </c>
      <c r="BM22" s="165" t="s">
        <v>0</v>
      </c>
      <c r="BN22" s="165"/>
      <c r="BO22" s="166">
        <v>178798</v>
      </c>
      <c r="BP22" s="166">
        <v>120473</v>
      </c>
      <c r="BQ22" s="167">
        <f>((BP22-BO22)/BO22)*100</f>
        <v>-32.620610968802779</v>
      </c>
      <c r="BR22" s="166">
        <v>138237</v>
      </c>
      <c r="BS22" s="166">
        <v>120473</v>
      </c>
      <c r="BT22" s="167">
        <f t="shared" ref="BT22:BT32" si="57">((BS22-BR22)/BR22)*100</f>
        <v>-12.850394612151595</v>
      </c>
      <c r="BU22" s="165" t="s">
        <v>0</v>
      </c>
      <c r="BV22" s="165"/>
      <c r="BW22" s="166">
        <v>192811</v>
      </c>
      <c r="BX22" s="166">
        <v>138237</v>
      </c>
      <c r="BY22" s="167">
        <f>((BX22-BW22)/BW22)*100</f>
        <v>-28.304401719818888</v>
      </c>
      <c r="BZ22" s="166">
        <v>123968</v>
      </c>
      <c r="CA22" s="166">
        <v>138237</v>
      </c>
      <c r="CB22" s="167">
        <f t="shared" ref="CB22:CB32" si="58">((CA22-BZ22)/BZ22)*100</f>
        <v>11.510228446050593</v>
      </c>
      <c r="CC22" s="73"/>
      <c r="CD22" s="165" t="s">
        <v>0</v>
      </c>
      <c r="CE22" s="165"/>
      <c r="CF22" s="166">
        <v>178217</v>
      </c>
      <c r="CG22" s="166">
        <v>123968</v>
      </c>
      <c r="CH22" s="167">
        <f>((CG22-CF22)/CF22)*100</f>
        <v>-30.439857028229628</v>
      </c>
      <c r="CI22" s="166">
        <f>SUM(CI23:CI25)</f>
        <v>126730</v>
      </c>
      <c r="CJ22" s="166">
        <v>123968</v>
      </c>
      <c r="CK22" s="167">
        <f t="shared" ref="CK22:CK32" si="59">((CJ22-CI22)/CI22)*100</f>
        <v>-2.1794365974907284</v>
      </c>
      <c r="CL22" s="73"/>
      <c r="CM22" s="165"/>
      <c r="CN22" s="166">
        <f>SUM(CN23:CN25)</f>
        <v>181334</v>
      </c>
      <c r="CO22" s="166">
        <f>SUM(CO23:CO25)</f>
        <v>126730</v>
      </c>
      <c r="CP22" s="167">
        <f>((CO22-CN22)/CN22)*100</f>
        <v>-30.112389292686427</v>
      </c>
      <c r="CQ22" s="166">
        <f>SUM(CQ23:CQ25)</f>
        <v>170434</v>
      </c>
      <c r="CR22" s="166">
        <f>SUM(CR23:CR25)</f>
        <v>126730</v>
      </c>
      <c r="CS22" s="167">
        <f t="shared" ref="CS22:CS32" si="60">((CR22-CQ22)/CQ22)*100</f>
        <v>-25.642770808641469</v>
      </c>
      <c r="CT22" s="167"/>
      <c r="CU22" s="73"/>
      <c r="CV22" s="224" t="s">
        <v>0</v>
      </c>
      <c r="CW22" s="224"/>
      <c r="CX22" s="238">
        <f>SUM(CX23:CX25)</f>
        <v>256231</v>
      </c>
      <c r="CY22" s="238">
        <f>SUM(CY23:CY25)</f>
        <v>170451</v>
      </c>
      <c r="CZ22" s="225">
        <f>((CY22-CX22)/CX22)*100</f>
        <v>-33.477604193091395</v>
      </c>
      <c r="DA22" s="238">
        <f>SUM(DA23:DA25)</f>
        <v>145179</v>
      </c>
      <c r="DB22" s="238">
        <f>SUM(DB23:DB25)</f>
        <v>170451</v>
      </c>
      <c r="DC22" s="225">
        <f>((DB22-DA22)/DA22)*100</f>
        <v>17.407476287892877</v>
      </c>
      <c r="DD22" s="73"/>
      <c r="DE22" s="150" t="s">
        <v>0</v>
      </c>
      <c r="DF22" s="150"/>
      <c r="DG22" s="147">
        <f>SUM(DG23:DG25)</f>
        <v>172004</v>
      </c>
      <c r="DH22" s="147">
        <f>SUM(DH23:DH25)</f>
        <v>89179</v>
      </c>
      <c r="DI22" s="151">
        <f>((DH22-DG22)/DG22)*100</f>
        <v>-48.152949931396947</v>
      </c>
      <c r="DJ22" s="147">
        <v>105110</v>
      </c>
      <c r="DK22" s="147">
        <f>SUM(DK23:DK25)</f>
        <v>89179</v>
      </c>
      <c r="DL22" s="151">
        <f>((DK22-DJ22)/DJ22)*100</f>
        <v>-15.156502711445153</v>
      </c>
      <c r="DM22" s="155"/>
      <c r="DN22" s="86" t="s">
        <v>0</v>
      </c>
      <c r="DO22" s="86"/>
      <c r="DP22" s="87">
        <f>SUM(DP23:DP25)</f>
        <v>151231</v>
      </c>
      <c r="DQ22" s="87">
        <f>SUM(DQ23:DQ25)</f>
        <v>105110</v>
      </c>
      <c r="DR22" s="126">
        <f>((DQ22-DP22)/DP22)*100</f>
        <v>-30.497054175400546</v>
      </c>
      <c r="DS22" s="87">
        <v>53644</v>
      </c>
      <c r="DT22" s="87">
        <v>105110</v>
      </c>
      <c r="DU22" s="126">
        <f>((DT22-DS22)/DS22)*100</f>
        <v>95.93990008202222</v>
      </c>
      <c r="DV22" s="127"/>
      <c r="DW22" s="63" t="s">
        <v>0</v>
      </c>
      <c r="DX22" s="63"/>
      <c r="DY22" s="68">
        <f>SUM(DY23:DY25)</f>
        <v>65449</v>
      </c>
      <c r="DZ22" s="68">
        <f>SUM(DZ23:DZ25)</f>
        <v>53644</v>
      </c>
      <c r="EA22" s="65">
        <f t="shared" ref="EA22:EA32" si="61">(DZ22-DY22)/DY22*100</f>
        <v>-18.036944796711943</v>
      </c>
      <c r="EB22" s="68">
        <v>97453</v>
      </c>
      <c r="EC22" s="68">
        <v>53644</v>
      </c>
      <c r="ED22" s="65">
        <f t="shared" ref="ED22:ED32" si="62">(EC22-EB22)/EB22*100</f>
        <v>-44.953977814946697</v>
      </c>
      <c r="EE22" s="73"/>
      <c r="EF22" s="86" t="s">
        <v>0</v>
      </c>
      <c r="EG22" s="86"/>
      <c r="EH22" s="87">
        <f>SUM(EH23:EH25)</f>
        <v>133943</v>
      </c>
      <c r="EI22" s="87">
        <f>SUM(EI23:EI25)</f>
        <v>97453</v>
      </c>
      <c r="EJ22" s="88">
        <f t="shared" ref="EJ22:EJ32" si="63">(EI22-EH22)/EH22*100</f>
        <v>-27.242931694825412</v>
      </c>
      <c r="EK22" s="87">
        <f>SUM(EK23:EK25)</f>
        <v>82980</v>
      </c>
      <c r="EL22" s="87">
        <f>SUM(EL23:EL25)</f>
        <v>97453</v>
      </c>
      <c r="EM22" s="88">
        <f t="shared" ref="EM22:EM32" si="64">(EL22-EK22)/EK22*100</f>
        <v>17.441552181248493</v>
      </c>
      <c r="EN22" s="73"/>
      <c r="EO22" s="63" t="s">
        <v>0</v>
      </c>
      <c r="EP22" s="63"/>
      <c r="EQ22" s="68">
        <f>SUM(EQ23:EQ25)</f>
        <v>111751</v>
      </c>
      <c r="ER22" s="68">
        <f>SUM(ER23:ER25)</f>
        <v>82980</v>
      </c>
      <c r="ES22" s="65">
        <f t="shared" ref="ES22:ES32" si="65">(ER22-EQ22)/EQ22*100</f>
        <v>-25.745630911580207</v>
      </c>
      <c r="ET22" s="68">
        <v>85166</v>
      </c>
      <c r="EU22" s="68">
        <f>SUM(EU23:EU25)</f>
        <v>82980</v>
      </c>
      <c r="EV22" s="65">
        <f t="shared" ref="EV22:EV32" si="66">(EU22-ET22)/ET22*100</f>
        <v>-2.5667519902308431</v>
      </c>
      <c r="EY22" s="69" t="s">
        <v>0</v>
      </c>
      <c r="EZ22" s="70">
        <v>116298</v>
      </c>
      <c r="FA22" s="70">
        <v>85166</v>
      </c>
      <c r="FB22" s="71">
        <f>(FA22-EZ22)/EZ22*100</f>
        <v>-26.769161980429583</v>
      </c>
      <c r="FC22" s="72">
        <v>76977</v>
      </c>
      <c r="FD22" s="70">
        <v>85166</v>
      </c>
      <c r="FE22" s="71">
        <f>(FD22-FC22)/FC22*100</f>
        <v>10.638242591943047</v>
      </c>
    </row>
    <row r="23" spans="1:161" x14ac:dyDescent="0.5">
      <c r="A23" s="168"/>
      <c r="B23" s="168" t="s">
        <v>51</v>
      </c>
      <c r="C23" s="169">
        <v>44694</v>
      </c>
      <c r="D23" s="169">
        <v>39262</v>
      </c>
      <c r="E23" s="167">
        <f t="shared" ref="E23:E32" si="67">((D23-C23)/C23)*100</f>
        <v>-12.153756656374458</v>
      </c>
      <c r="F23" s="169">
        <v>37523</v>
      </c>
      <c r="G23" s="169">
        <v>39262</v>
      </c>
      <c r="H23" s="167">
        <f t="shared" si="49"/>
        <v>4.6344908456146898</v>
      </c>
      <c r="I23" s="168"/>
      <c r="J23" s="168" t="s">
        <v>51</v>
      </c>
      <c r="K23" s="169">
        <v>51244</v>
      </c>
      <c r="L23" s="169">
        <v>37523</v>
      </c>
      <c r="M23" s="167">
        <f t="shared" ref="M23:M32" si="68">((L23-K23)/K23)*100</f>
        <v>-26.775817656701271</v>
      </c>
      <c r="N23" s="169">
        <v>39765</v>
      </c>
      <c r="O23" s="169">
        <v>37523</v>
      </c>
      <c r="P23" s="167">
        <f t="shared" si="50"/>
        <v>-5.6381239783729411</v>
      </c>
      <c r="Q23" s="168"/>
      <c r="R23" s="168" t="s">
        <v>51</v>
      </c>
      <c r="S23" s="169">
        <v>63074</v>
      </c>
      <c r="T23" s="169">
        <v>39765</v>
      </c>
      <c r="U23" s="167">
        <f t="shared" ref="U23:U32" si="69">((T23-S23)/S23)*100</f>
        <v>-36.955005231949769</v>
      </c>
      <c r="V23" s="169">
        <v>36180</v>
      </c>
      <c r="W23" s="169">
        <v>39765</v>
      </c>
      <c r="X23" s="167">
        <f t="shared" si="51"/>
        <v>9.9087893864013274</v>
      </c>
      <c r="Y23" s="168"/>
      <c r="Z23" s="168" t="s">
        <v>51</v>
      </c>
      <c r="AA23" s="169">
        <v>48868</v>
      </c>
      <c r="AB23" s="169">
        <v>36180</v>
      </c>
      <c r="AC23" s="167">
        <f t="shared" ref="AC23:AC32" si="70">((AB23-AA23)/AA23)*100</f>
        <v>-25.963820905295897</v>
      </c>
      <c r="AD23" s="169">
        <v>32767</v>
      </c>
      <c r="AE23" s="169">
        <v>36180</v>
      </c>
      <c r="AF23" s="167">
        <f t="shared" si="52"/>
        <v>10.415967284157841</v>
      </c>
      <c r="AG23" s="168"/>
      <c r="AH23" s="168" t="s">
        <v>51</v>
      </c>
      <c r="AI23" s="169">
        <v>56870</v>
      </c>
      <c r="AJ23" s="169">
        <v>32767</v>
      </c>
      <c r="AK23" s="167">
        <f t="shared" ref="AK23:AK32" si="71">((AJ23-AI23)/AI23)*100</f>
        <v>-42.382627044135745</v>
      </c>
      <c r="AL23" s="169">
        <v>8635</v>
      </c>
      <c r="AM23" s="169">
        <v>32767</v>
      </c>
      <c r="AN23" s="167">
        <f t="shared" si="53"/>
        <v>279.46728430804865</v>
      </c>
      <c r="AO23" s="168"/>
      <c r="AP23" s="168" t="s">
        <v>51</v>
      </c>
      <c r="AQ23" s="169">
        <v>55032</v>
      </c>
      <c r="AR23" s="169">
        <v>8635</v>
      </c>
      <c r="AS23" s="167">
        <f t="shared" ref="AS23:AS32" si="72">((AR23-AQ23)/AQ23)*100</f>
        <v>-84.309129233900265</v>
      </c>
      <c r="AT23" s="169">
        <v>60704</v>
      </c>
      <c r="AU23" s="169">
        <v>8635</v>
      </c>
      <c r="AV23" s="167">
        <f t="shared" si="54"/>
        <v>-85.775237216657885</v>
      </c>
      <c r="AW23" s="168"/>
      <c r="AX23" s="168" t="s">
        <v>51</v>
      </c>
      <c r="AY23" s="169">
        <v>76845</v>
      </c>
      <c r="AZ23" s="169">
        <v>60704</v>
      </c>
      <c r="BA23" s="167">
        <f t="shared" ref="BA23:BA32" si="73">((AZ23-AY23)/AY23)*100</f>
        <v>-21.00461968898432</v>
      </c>
      <c r="BB23" s="169">
        <v>55596</v>
      </c>
      <c r="BC23" s="169">
        <v>60704</v>
      </c>
      <c r="BD23" s="167">
        <f t="shared" si="55"/>
        <v>9.1877113461400093</v>
      </c>
      <c r="BE23" s="168"/>
      <c r="BF23" s="168" t="s">
        <v>51</v>
      </c>
      <c r="BG23" s="169">
        <v>80351</v>
      </c>
      <c r="BH23" s="169">
        <v>55596</v>
      </c>
      <c r="BI23" s="167">
        <f t="shared" ref="BI23:BI32" si="74">((BH23-BG23)/BG23)*100</f>
        <v>-30.808577366803153</v>
      </c>
      <c r="BJ23" s="169">
        <v>46325</v>
      </c>
      <c r="BK23" s="169">
        <v>55596</v>
      </c>
      <c r="BL23" s="167">
        <f t="shared" si="56"/>
        <v>20.012951969778737</v>
      </c>
      <c r="BM23" s="168"/>
      <c r="BN23" s="168" t="s">
        <v>51</v>
      </c>
      <c r="BO23" s="169">
        <v>71678</v>
      </c>
      <c r="BP23" s="169">
        <v>46325</v>
      </c>
      <c r="BQ23" s="167">
        <f t="shared" ref="BQ23:BQ32" si="75">((BP23-BO23)/BO23)*100</f>
        <v>-35.370685566003516</v>
      </c>
      <c r="BR23" s="169">
        <v>57283</v>
      </c>
      <c r="BS23" s="169">
        <v>46325</v>
      </c>
      <c r="BT23" s="167">
        <f t="shared" si="57"/>
        <v>-19.129584693539094</v>
      </c>
      <c r="BU23" s="168"/>
      <c r="BV23" s="168" t="s">
        <v>51</v>
      </c>
      <c r="BW23" s="169">
        <v>70733</v>
      </c>
      <c r="BX23" s="169">
        <v>57283</v>
      </c>
      <c r="BY23" s="167">
        <f t="shared" ref="BY23:BY32" si="76">((BX23-BW23)/BW23)*100</f>
        <v>-19.015169722760238</v>
      </c>
      <c r="BZ23" s="169">
        <v>54049</v>
      </c>
      <c r="CA23" s="169">
        <v>57283</v>
      </c>
      <c r="CB23" s="167">
        <f t="shared" si="58"/>
        <v>5.9834594534588978</v>
      </c>
      <c r="CC23" s="73"/>
      <c r="CD23" s="168"/>
      <c r="CE23" s="168" t="s">
        <v>51</v>
      </c>
      <c r="CF23" s="169">
        <v>71254</v>
      </c>
      <c r="CG23" s="169">
        <v>54049</v>
      </c>
      <c r="CH23" s="167">
        <f t="shared" ref="CH23:CH32" si="77">((CG23-CF23)/CF23)*100</f>
        <v>-24.146012855418643</v>
      </c>
      <c r="CI23" s="169">
        <v>51067</v>
      </c>
      <c r="CJ23" s="169">
        <v>54049</v>
      </c>
      <c r="CK23" s="167">
        <f t="shared" si="59"/>
        <v>5.8393874713611531</v>
      </c>
      <c r="CL23" s="73"/>
      <c r="CM23" s="168" t="s">
        <v>51</v>
      </c>
      <c r="CN23" s="169">
        <v>70097</v>
      </c>
      <c r="CO23" s="169">
        <v>51067</v>
      </c>
      <c r="CP23" s="167">
        <f t="shared" ref="CP23:CP32" si="78">((CO23-CN23)/CN23)*100</f>
        <v>-27.148094782943634</v>
      </c>
      <c r="CQ23" s="169">
        <v>69602</v>
      </c>
      <c r="CR23" s="169">
        <v>51067</v>
      </c>
      <c r="CS23" s="167">
        <f t="shared" si="60"/>
        <v>-26.629981897071925</v>
      </c>
      <c r="CT23" s="167"/>
      <c r="CU23" s="73"/>
      <c r="CV23" s="226"/>
      <c r="CW23" s="226" t="s">
        <v>51</v>
      </c>
      <c r="CX23" s="227">
        <v>117500</v>
      </c>
      <c r="CY23" s="227">
        <v>69602</v>
      </c>
      <c r="CZ23" s="225">
        <f t="shared" ref="CZ23:CZ32" si="79">((CY23-CX23)/CX23)*100</f>
        <v>-40.764255319148937</v>
      </c>
      <c r="DA23" s="227">
        <v>52425</v>
      </c>
      <c r="DB23" s="227">
        <v>69602</v>
      </c>
      <c r="DC23" s="225">
        <f t="shared" ref="DC23:DC32" si="80">((DB23-DA23)/DA23)*100</f>
        <v>32.764902241297087</v>
      </c>
      <c r="DD23" s="73"/>
      <c r="DE23" s="152"/>
      <c r="DF23" s="152" t="s">
        <v>51</v>
      </c>
      <c r="DG23" s="148">
        <v>65044</v>
      </c>
      <c r="DH23" s="148">
        <v>35078</v>
      </c>
      <c r="DI23" s="151">
        <f t="shared" ref="DI23:DI32" si="81">((DH23-DG23)/DG23)*100</f>
        <v>-46.07035237685259</v>
      </c>
      <c r="DJ23" s="148">
        <v>31915</v>
      </c>
      <c r="DK23" s="148">
        <v>35078</v>
      </c>
      <c r="DL23" s="151">
        <f t="shared" ref="DL23:DL32" si="82">((DK23-DJ23)/DJ23)*100</f>
        <v>9.9107002976656737</v>
      </c>
      <c r="DM23" s="155"/>
      <c r="DN23" s="89"/>
      <c r="DO23" s="89" t="s">
        <v>51</v>
      </c>
      <c r="DP23" s="90">
        <v>43978</v>
      </c>
      <c r="DQ23" s="90">
        <v>31915</v>
      </c>
      <c r="DR23" s="129">
        <f t="shared" ref="DR23:DR32" si="83">((DQ23-DP23)/DP23)*100</f>
        <v>-27.429623902860524</v>
      </c>
      <c r="DS23" s="90">
        <v>18859</v>
      </c>
      <c r="DT23" s="90">
        <v>31915</v>
      </c>
      <c r="DU23" s="129">
        <f t="shared" ref="DU23:DU32" si="84">((DT23-DS23)/DS23)*100</f>
        <v>69.229545575057003</v>
      </c>
      <c r="DV23" s="127"/>
      <c r="DW23" s="42"/>
      <c r="DX23" s="42" t="s">
        <v>51</v>
      </c>
      <c r="DY23" s="43">
        <v>20316</v>
      </c>
      <c r="DZ23" s="43">
        <v>18859</v>
      </c>
      <c r="EA23" s="44">
        <f t="shared" si="61"/>
        <v>-7.1716873400275647</v>
      </c>
      <c r="EB23" s="45">
        <v>25599</v>
      </c>
      <c r="EC23" s="43">
        <v>18859</v>
      </c>
      <c r="ED23" s="44">
        <f t="shared" si="62"/>
        <v>-26.32915348255791</v>
      </c>
      <c r="EE23" s="61"/>
      <c r="EF23" s="89"/>
      <c r="EG23" s="89" t="s">
        <v>51</v>
      </c>
      <c r="EH23" s="90">
        <v>39228</v>
      </c>
      <c r="EI23" s="90">
        <v>25599</v>
      </c>
      <c r="EJ23" s="91">
        <f t="shared" si="63"/>
        <v>-34.743040685224841</v>
      </c>
      <c r="EK23" s="92">
        <v>17584</v>
      </c>
      <c r="EL23" s="90">
        <v>25599</v>
      </c>
      <c r="EM23" s="91">
        <f t="shared" si="64"/>
        <v>45.581210191082803</v>
      </c>
      <c r="EN23" s="61"/>
      <c r="EO23" s="42"/>
      <c r="EP23" s="42" t="s">
        <v>51</v>
      </c>
      <c r="EQ23" s="43">
        <v>26477</v>
      </c>
      <c r="ER23" s="43">
        <v>17584</v>
      </c>
      <c r="ES23" s="44">
        <f t="shared" si="65"/>
        <v>-33.587642104468031</v>
      </c>
      <c r="ET23" s="45">
        <v>20461</v>
      </c>
      <c r="EU23" s="43">
        <v>17584</v>
      </c>
      <c r="EV23" s="44">
        <f t="shared" si="66"/>
        <v>-14.060896339377353</v>
      </c>
      <c r="EY23" s="24"/>
      <c r="EZ23" s="25"/>
      <c r="FA23" s="25"/>
      <c r="FB23" s="32"/>
      <c r="FC23" s="27"/>
      <c r="FD23" s="25"/>
      <c r="FE23" s="32"/>
    </row>
    <row r="24" spans="1:161" x14ac:dyDescent="0.5">
      <c r="A24" s="168"/>
      <c r="B24" s="168" t="s">
        <v>52</v>
      </c>
      <c r="C24" s="169">
        <v>83417</v>
      </c>
      <c r="D24" s="169">
        <v>63740</v>
      </c>
      <c r="E24" s="167">
        <f t="shared" si="67"/>
        <v>-23.588716928204086</v>
      </c>
      <c r="F24" s="169">
        <v>65752</v>
      </c>
      <c r="G24" s="169">
        <v>63740</v>
      </c>
      <c r="H24" s="167">
        <f t="shared" si="49"/>
        <v>-3.059982966297603</v>
      </c>
      <c r="I24" s="168"/>
      <c r="J24" s="168" t="s">
        <v>52</v>
      </c>
      <c r="K24" s="169">
        <v>83210</v>
      </c>
      <c r="L24" s="169">
        <v>65752</v>
      </c>
      <c r="M24" s="167">
        <f t="shared" si="68"/>
        <v>-20.980651364018748</v>
      </c>
      <c r="N24" s="169">
        <v>75148</v>
      </c>
      <c r="O24" s="169">
        <v>65752</v>
      </c>
      <c r="P24" s="167">
        <f t="shared" si="50"/>
        <v>-12.50332676851014</v>
      </c>
      <c r="Q24" s="168"/>
      <c r="R24" s="168" t="s">
        <v>52</v>
      </c>
      <c r="S24" s="169">
        <v>112970</v>
      </c>
      <c r="T24" s="169">
        <v>75148</v>
      </c>
      <c r="U24" s="167">
        <f t="shared" si="69"/>
        <v>-33.47968487208994</v>
      </c>
      <c r="V24" s="169">
        <v>78592</v>
      </c>
      <c r="W24" s="169">
        <v>75148</v>
      </c>
      <c r="X24" s="167">
        <f t="shared" si="51"/>
        <v>-4.3821254071661233</v>
      </c>
      <c r="Y24" s="168"/>
      <c r="Z24" s="168" t="s">
        <v>52</v>
      </c>
      <c r="AA24" s="169">
        <v>119917</v>
      </c>
      <c r="AB24" s="169">
        <v>78592</v>
      </c>
      <c r="AC24" s="167">
        <f t="shared" si="70"/>
        <v>-34.461335757232085</v>
      </c>
      <c r="AD24" s="169">
        <v>69015</v>
      </c>
      <c r="AE24" s="169">
        <v>78592</v>
      </c>
      <c r="AF24" s="167">
        <f t="shared" si="52"/>
        <v>13.87669347243353</v>
      </c>
      <c r="AG24" s="168"/>
      <c r="AH24" s="168" t="s">
        <v>52</v>
      </c>
      <c r="AI24" s="169">
        <v>102019</v>
      </c>
      <c r="AJ24" s="169">
        <v>69015</v>
      </c>
      <c r="AK24" s="167">
        <f t="shared" si="71"/>
        <v>-32.35083660886697</v>
      </c>
      <c r="AL24" s="169">
        <v>15397</v>
      </c>
      <c r="AM24" s="169">
        <v>69015</v>
      </c>
      <c r="AN24" s="167">
        <f t="shared" si="53"/>
        <v>348.23666948106774</v>
      </c>
      <c r="AO24" s="168"/>
      <c r="AP24" s="168" t="s">
        <v>52</v>
      </c>
      <c r="AQ24" s="169">
        <v>88916</v>
      </c>
      <c r="AR24" s="169">
        <v>15397</v>
      </c>
      <c r="AS24" s="167">
        <f t="shared" si="72"/>
        <v>-82.683656484772143</v>
      </c>
      <c r="AT24" s="169">
        <v>87096</v>
      </c>
      <c r="AU24" s="169">
        <v>15397</v>
      </c>
      <c r="AV24" s="167">
        <f t="shared" si="54"/>
        <v>-82.321805823459172</v>
      </c>
      <c r="AW24" s="168"/>
      <c r="AX24" s="168" t="s">
        <v>52</v>
      </c>
      <c r="AY24" s="169">
        <v>118286</v>
      </c>
      <c r="AZ24" s="169">
        <v>87096</v>
      </c>
      <c r="BA24" s="167">
        <f t="shared" si="73"/>
        <v>-26.368293796391796</v>
      </c>
      <c r="BB24" s="169">
        <v>76848</v>
      </c>
      <c r="BC24" s="169">
        <v>87096</v>
      </c>
      <c r="BD24" s="167">
        <f t="shared" si="55"/>
        <v>13.335415365396628</v>
      </c>
      <c r="BE24" s="168"/>
      <c r="BF24" s="168" t="s">
        <v>52</v>
      </c>
      <c r="BG24" s="169">
        <v>111564</v>
      </c>
      <c r="BH24" s="169">
        <v>76848</v>
      </c>
      <c r="BI24" s="167">
        <f t="shared" si="74"/>
        <v>-31.117564805851352</v>
      </c>
      <c r="BJ24" s="169">
        <v>71545</v>
      </c>
      <c r="BK24" s="169">
        <v>76848</v>
      </c>
      <c r="BL24" s="167">
        <f t="shared" si="56"/>
        <v>7.4121182472569718</v>
      </c>
      <c r="BM24" s="168"/>
      <c r="BN24" s="168" t="s">
        <v>52</v>
      </c>
      <c r="BO24" s="169">
        <v>103775</v>
      </c>
      <c r="BP24" s="169">
        <v>71545</v>
      </c>
      <c r="BQ24" s="167">
        <f t="shared" si="75"/>
        <v>-31.057576487593352</v>
      </c>
      <c r="BR24" s="169">
        <v>78741</v>
      </c>
      <c r="BS24" s="169">
        <v>71545</v>
      </c>
      <c r="BT24" s="167">
        <f t="shared" si="57"/>
        <v>-9.1388222146023033</v>
      </c>
      <c r="BU24" s="168"/>
      <c r="BV24" s="168" t="s">
        <v>52</v>
      </c>
      <c r="BW24" s="169">
        <v>119409</v>
      </c>
      <c r="BX24" s="169">
        <v>78741</v>
      </c>
      <c r="BY24" s="167">
        <f t="shared" si="76"/>
        <v>-34.057734341632539</v>
      </c>
      <c r="BZ24" s="169">
        <v>68054</v>
      </c>
      <c r="CA24" s="169">
        <v>78741</v>
      </c>
      <c r="CB24" s="167">
        <f t="shared" si="58"/>
        <v>15.703705880624211</v>
      </c>
      <c r="CC24" s="73"/>
      <c r="CD24" s="168"/>
      <c r="CE24" s="168" t="s">
        <v>52</v>
      </c>
      <c r="CF24" s="169">
        <v>104407</v>
      </c>
      <c r="CG24" s="169">
        <v>68054</v>
      </c>
      <c r="CH24" s="167">
        <f t="shared" si="77"/>
        <v>-34.818546649171033</v>
      </c>
      <c r="CI24" s="169">
        <v>74402</v>
      </c>
      <c r="CJ24" s="169">
        <v>68054</v>
      </c>
      <c r="CK24" s="167">
        <f t="shared" si="59"/>
        <v>-8.5320287089056741</v>
      </c>
      <c r="CL24" s="73"/>
      <c r="CM24" s="168" t="s">
        <v>52</v>
      </c>
      <c r="CN24" s="169">
        <v>109204</v>
      </c>
      <c r="CO24" s="169">
        <v>74402</v>
      </c>
      <c r="CP24" s="167">
        <f t="shared" si="78"/>
        <v>-31.868796014797994</v>
      </c>
      <c r="CQ24" s="169">
        <v>97149</v>
      </c>
      <c r="CR24" s="169">
        <v>74402</v>
      </c>
      <c r="CS24" s="167">
        <f t="shared" si="60"/>
        <v>-23.414548785885597</v>
      </c>
      <c r="CT24" s="167"/>
      <c r="CU24" s="73"/>
      <c r="CV24" s="226"/>
      <c r="CW24" s="226" t="s">
        <v>52</v>
      </c>
      <c r="CX24" s="227">
        <v>133962</v>
      </c>
      <c r="CY24" s="227">
        <v>97149</v>
      </c>
      <c r="CZ24" s="225">
        <f t="shared" si="79"/>
        <v>-27.48018094683567</v>
      </c>
      <c r="DA24" s="227">
        <v>89951</v>
      </c>
      <c r="DB24" s="227">
        <v>97149</v>
      </c>
      <c r="DC24" s="225">
        <f t="shared" si="80"/>
        <v>8.0021344954475211</v>
      </c>
      <c r="DD24" s="73"/>
      <c r="DE24" s="152"/>
      <c r="DF24" s="152" t="s">
        <v>52</v>
      </c>
      <c r="DG24" s="148">
        <v>104596</v>
      </c>
      <c r="DH24" s="148">
        <v>52882</v>
      </c>
      <c r="DI24" s="151">
        <f t="shared" si="81"/>
        <v>-49.441661248996141</v>
      </c>
      <c r="DJ24" s="148">
        <v>71727</v>
      </c>
      <c r="DK24" s="148">
        <v>52882</v>
      </c>
      <c r="DL24" s="151">
        <f t="shared" si="82"/>
        <v>-26.273230443208273</v>
      </c>
      <c r="DM24" s="155"/>
      <c r="DN24" s="89"/>
      <c r="DO24" s="89" t="s">
        <v>52</v>
      </c>
      <c r="DP24" s="90">
        <v>105323</v>
      </c>
      <c r="DQ24" s="90">
        <v>71727</v>
      </c>
      <c r="DR24" s="129">
        <f t="shared" si="83"/>
        <v>-31.898065949507703</v>
      </c>
      <c r="DS24" s="90">
        <v>33955</v>
      </c>
      <c r="DT24" s="90">
        <v>71727</v>
      </c>
      <c r="DU24" s="129">
        <f t="shared" si="84"/>
        <v>111.24134884405832</v>
      </c>
      <c r="DV24" s="127"/>
      <c r="DW24" s="42"/>
      <c r="DX24" s="42" t="s">
        <v>52</v>
      </c>
      <c r="DY24" s="43">
        <v>43976</v>
      </c>
      <c r="DZ24" s="43">
        <v>33955</v>
      </c>
      <c r="EA24" s="44">
        <f t="shared" si="61"/>
        <v>-22.787429507003822</v>
      </c>
      <c r="EB24" s="45">
        <v>70384</v>
      </c>
      <c r="EC24" s="43">
        <v>33955</v>
      </c>
      <c r="ED24" s="44">
        <f t="shared" si="62"/>
        <v>-51.757501704932942</v>
      </c>
      <c r="EE24" s="61"/>
      <c r="EF24" s="89"/>
      <c r="EG24" s="89" t="s">
        <v>52</v>
      </c>
      <c r="EH24" s="90">
        <v>93031</v>
      </c>
      <c r="EI24" s="90">
        <v>70384</v>
      </c>
      <c r="EJ24" s="91">
        <f t="shared" si="63"/>
        <v>-24.343498403757888</v>
      </c>
      <c r="EK24" s="92">
        <v>63681</v>
      </c>
      <c r="EL24" s="90">
        <v>70384</v>
      </c>
      <c r="EM24" s="91">
        <f t="shared" si="64"/>
        <v>10.525902545500228</v>
      </c>
      <c r="EN24" s="61"/>
      <c r="EO24" s="42"/>
      <c r="EP24" s="42" t="s">
        <v>52</v>
      </c>
      <c r="EQ24" s="43">
        <v>83088</v>
      </c>
      <c r="ER24" s="43">
        <v>63681</v>
      </c>
      <c r="ES24" s="44">
        <f t="shared" si="65"/>
        <v>-23.357163489312533</v>
      </c>
      <c r="ET24" s="45">
        <v>63476</v>
      </c>
      <c r="EU24" s="43">
        <v>63681</v>
      </c>
      <c r="EV24" s="44">
        <f t="shared" si="66"/>
        <v>0.32295670804713594</v>
      </c>
      <c r="EY24" s="24"/>
      <c r="EZ24" s="25"/>
      <c r="FA24" s="25"/>
      <c r="FB24" s="32"/>
      <c r="FC24" s="27"/>
      <c r="FD24" s="25"/>
      <c r="FE24" s="32"/>
    </row>
    <row r="25" spans="1:161" x14ac:dyDescent="0.5">
      <c r="A25" s="168"/>
      <c r="B25" s="168" t="s">
        <v>53</v>
      </c>
      <c r="C25" s="169">
        <v>1798</v>
      </c>
      <c r="D25" s="169">
        <f>D22-D23-D24</f>
        <v>1248</v>
      </c>
      <c r="E25" s="167">
        <f t="shared" si="67"/>
        <v>-30.589543937708562</v>
      </c>
      <c r="F25" s="169">
        <v>1392</v>
      </c>
      <c r="G25" s="169">
        <v>1248</v>
      </c>
      <c r="H25" s="167">
        <f t="shared" si="49"/>
        <v>-10.344827586206897</v>
      </c>
      <c r="I25" s="168"/>
      <c r="J25" s="168" t="s">
        <v>53</v>
      </c>
      <c r="K25" s="169">
        <v>3877</v>
      </c>
      <c r="L25" s="169">
        <v>1392</v>
      </c>
      <c r="M25" s="167">
        <f t="shared" si="68"/>
        <v>-64.095950477173062</v>
      </c>
      <c r="N25" s="169">
        <v>2723</v>
      </c>
      <c r="O25" s="169">
        <v>1392</v>
      </c>
      <c r="P25" s="167">
        <f t="shared" si="50"/>
        <v>-48.879911861917002</v>
      </c>
      <c r="Q25" s="168"/>
      <c r="R25" s="168" t="s">
        <v>53</v>
      </c>
      <c r="S25" s="169">
        <v>3804</v>
      </c>
      <c r="T25" s="169">
        <v>2723</v>
      </c>
      <c r="U25" s="167">
        <f t="shared" si="69"/>
        <v>-28.417455310199792</v>
      </c>
      <c r="V25" s="169">
        <v>3014</v>
      </c>
      <c r="W25" s="169">
        <v>2723</v>
      </c>
      <c r="X25" s="167">
        <f t="shared" si="51"/>
        <v>-9.654943596549435</v>
      </c>
      <c r="Y25" s="168"/>
      <c r="Z25" s="168" t="s">
        <v>53</v>
      </c>
      <c r="AA25" s="169">
        <v>3886</v>
      </c>
      <c r="AB25" s="169">
        <v>3014</v>
      </c>
      <c r="AC25" s="167">
        <f t="shared" si="70"/>
        <v>-22.439526505404015</v>
      </c>
      <c r="AD25" s="169">
        <v>2573</v>
      </c>
      <c r="AE25" s="169">
        <v>3014</v>
      </c>
      <c r="AF25" s="167">
        <f t="shared" si="52"/>
        <v>17.139525845316751</v>
      </c>
      <c r="AG25" s="168"/>
      <c r="AH25" s="168" t="s">
        <v>53</v>
      </c>
      <c r="AI25" s="169">
        <v>3626</v>
      </c>
      <c r="AJ25" s="169">
        <v>2573</v>
      </c>
      <c r="AK25" s="167">
        <f t="shared" si="71"/>
        <v>-29.040264754550471</v>
      </c>
      <c r="AL25" s="169">
        <v>679</v>
      </c>
      <c r="AM25" s="169">
        <v>2573</v>
      </c>
      <c r="AN25" s="167">
        <f t="shared" si="53"/>
        <v>278.93961708394698</v>
      </c>
      <c r="AO25" s="168"/>
      <c r="AP25" s="168" t="s">
        <v>53</v>
      </c>
      <c r="AQ25" s="169">
        <v>2864</v>
      </c>
      <c r="AR25" s="169">
        <v>679</v>
      </c>
      <c r="AS25" s="167">
        <f t="shared" si="72"/>
        <v>-76.291899441340789</v>
      </c>
      <c r="AT25" s="169">
        <v>2442</v>
      </c>
      <c r="AU25" s="169">
        <v>679</v>
      </c>
      <c r="AV25" s="167">
        <f t="shared" si="54"/>
        <v>-72.194922194922199</v>
      </c>
      <c r="AW25" s="168"/>
      <c r="AX25" s="168" t="s">
        <v>53</v>
      </c>
      <c r="AY25" s="169">
        <v>3690</v>
      </c>
      <c r="AZ25" s="169">
        <v>2442</v>
      </c>
      <c r="BA25" s="167">
        <f t="shared" si="73"/>
        <v>-33.821138211382113</v>
      </c>
      <c r="BB25" s="169">
        <v>2335</v>
      </c>
      <c r="BC25" s="169">
        <v>2442</v>
      </c>
      <c r="BD25" s="167">
        <f t="shared" si="55"/>
        <v>4.582441113490364</v>
      </c>
      <c r="BE25" s="168"/>
      <c r="BF25" s="168" t="s">
        <v>53</v>
      </c>
      <c r="BG25" s="169">
        <v>3342</v>
      </c>
      <c r="BH25" s="169">
        <v>2335</v>
      </c>
      <c r="BI25" s="167">
        <f t="shared" si="74"/>
        <v>-30.131657690005987</v>
      </c>
      <c r="BJ25" s="169">
        <v>2603</v>
      </c>
      <c r="BK25" s="169">
        <v>2335</v>
      </c>
      <c r="BL25" s="167">
        <f t="shared" si="56"/>
        <v>-10.295812524010756</v>
      </c>
      <c r="BM25" s="168"/>
      <c r="BN25" s="168" t="s">
        <v>53</v>
      </c>
      <c r="BO25" s="169">
        <v>3345</v>
      </c>
      <c r="BP25" s="169">
        <v>2603</v>
      </c>
      <c r="BQ25" s="167">
        <f t="shared" si="75"/>
        <v>-22.182361733931241</v>
      </c>
      <c r="BR25" s="169">
        <v>2213</v>
      </c>
      <c r="BS25" s="169">
        <v>2603</v>
      </c>
      <c r="BT25" s="167">
        <f t="shared" si="57"/>
        <v>17.623136014460009</v>
      </c>
      <c r="BU25" s="168"/>
      <c r="BV25" s="168" t="s">
        <v>53</v>
      </c>
      <c r="BW25" s="169">
        <v>2669</v>
      </c>
      <c r="BX25" s="169">
        <v>2213</v>
      </c>
      <c r="BY25" s="167">
        <f t="shared" si="76"/>
        <v>-17.08505058074185</v>
      </c>
      <c r="BZ25" s="169">
        <v>1865</v>
      </c>
      <c r="CA25" s="169">
        <v>2213</v>
      </c>
      <c r="CB25" s="167">
        <f t="shared" si="58"/>
        <v>18.65951742627346</v>
      </c>
      <c r="CC25" s="73"/>
      <c r="CD25" s="168"/>
      <c r="CE25" s="168" t="s">
        <v>53</v>
      </c>
      <c r="CF25" s="169">
        <v>2556</v>
      </c>
      <c r="CG25" s="169">
        <v>1865</v>
      </c>
      <c r="CH25" s="167">
        <f t="shared" si="77"/>
        <v>-27.034428794992177</v>
      </c>
      <c r="CI25" s="169">
        <v>1261</v>
      </c>
      <c r="CJ25" s="169">
        <v>1865</v>
      </c>
      <c r="CK25" s="167">
        <f t="shared" si="59"/>
        <v>47.898493259318002</v>
      </c>
      <c r="CL25" s="73"/>
      <c r="CM25" s="168" t="s">
        <v>53</v>
      </c>
      <c r="CN25" s="169">
        <v>2033</v>
      </c>
      <c r="CO25" s="169">
        <v>1261</v>
      </c>
      <c r="CP25" s="167">
        <f t="shared" si="78"/>
        <v>-37.973438268568614</v>
      </c>
      <c r="CQ25" s="169">
        <v>3683</v>
      </c>
      <c r="CR25" s="169">
        <v>1261</v>
      </c>
      <c r="CS25" s="167">
        <f t="shared" si="60"/>
        <v>-65.761607385283739</v>
      </c>
      <c r="CT25" s="167"/>
      <c r="CU25" s="73"/>
      <c r="CV25" s="226"/>
      <c r="CW25" s="226" t="s">
        <v>53</v>
      </c>
      <c r="CX25" s="227">
        <v>4769</v>
      </c>
      <c r="CY25" s="227">
        <v>3700</v>
      </c>
      <c r="CZ25" s="225">
        <f t="shared" si="79"/>
        <v>-22.415600754875236</v>
      </c>
      <c r="DA25" s="227">
        <v>2803</v>
      </c>
      <c r="DB25" s="227">
        <v>3700</v>
      </c>
      <c r="DC25" s="225">
        <f t="shared" si="80"/>
        <v>32.001427042454509</v>
      </c>
      <c r="DD25" s="73"/>
      <c r="DE25" s="152"/>
      <c r="DF25" s="152" t="s">
        <v>53</v>
      </c>
      <c r="DG25" s="148">
        <v>2364</v>
      </c>
      <c r="DH25" s="148">
        <v>1219</v>
      </c>
      <c r="DI25" s="151">
        <f t="shared" si="81"/>
        <v>-48.434856175972932</v>
      </c>
      <c r="DJ25" s="148">
        <v>1468</v>
      </c>
      <c r="DK25" s="148">
        <v>1219</v>
      </c>
      <c r="DL25" s="151">
        <f t="shared" si="82"/>
        <v>-16.961852861035425</v>
      </c>
      <c r="DM25" s="155"/>
      <c r="DN25" s="89"/>
      <c r="DO25" s="89" t="s">
        <v>53</v>
      </c>
      <c r="DP25" s="90">
        <v>1930</v>
      </c>
      <c r="DQ25" s="90">
        <v>1468</v>
      </c>
      <c r="DR25" s="129">
        <f t="shared" si="83"/>
        <v>-23.937823834196891</v>
      </c>
      <c r="DS25" s="90">
        <v>830</v>
      </c>
      <c r="DT25" s="90">
        <v>1468</v>
      </c>
      <c r="DU25" s="129">
        <f t="shared" si="84"/>
        <v>76.867469879518069</v>
      </c>
      <c r="DV25" s="127"/>
      <c r="DW25" s="42"/>
      <c r="DX25" s="42" t="s">
        <v>53</v>
      </c>
      <c r="DY25" s="43">
        <v>1157</v>
      </c>
      <c r="DZ25" s="43">
        <v>830</v>
      </c>
      <c r="EA25" s="44">
        <f t="shared" si="61"/>
        <v>-28.262748487467587</v>
      </c>
      <c r="EB25" s="45">
        <v>1470</v>
      </c>
      <c r="EC25" s="43">
        <v>830</v>
      </c>
      <c r="ED25" s="44">
        <f t="shared" si="62"/>
        <v>-43.537414965986393</v>
      </c>
      <c r="EE25" s="61"/>
      <c r="EF25" s="89"/>
      <c r="EG25" s="89" t="s">
        <v>53</v>
      </c>
      <c r="EH25" s="90">
        <v>1684</v>
      </c>
      <c r="EI25" s="90">
        <v>1470</v>
      </c>
      <c r="EJ25" s="91">
        <f t="shared" si="63"/>
        <v>-12.707838479809977</v>
      </c>
      <c r="EK25" s="92">
        <v>1715</v>
      </c>
      <c r="EL25" s="90">
        <v>1470</v>
      </c>
      <c r="EM25" s="91">
        <f t="shared" si="64"/>
        <v>-14.285714285714285</v>
      </c>
      <c r="EN25" s="61"/>
      <c r="EO25" s="42"/>
      <c r="EP25" s="42" t="s">
        <v>53</v>
      </c>
      <c r="EQ25" s="43">
        <v>2186</v>
      </c>
      <c r="ER25" s="43">
        <v>1715</v>
      </c>
      <c r="ES25" s="44">
        <f t="shared" si="65"/>
        <v>-21.546203110704486</v>
      </c>
      <c r="ET25" s="45">
        <v>1229</v>
      </c>
      <c r="EU25" s="43">
        <v>1715</v>
      </c>
      <c r="EV25" s="44">
        <f t="shared" si="66"/>
        <v>39.544344995931652</v>
      </c>
      <c r="EY25" s="24"/>
      <c r="EZ25" s="25"/>
      <c r="FA25" s="25"/>
      <c r="FB25" s="32"/>
      <c r="FC25" s="27"/>
      <c r="FD25" s="25"/>
      <c r="FE25" s="32"/>
    </row>
    <row r="26" spans="1:161" s="1" customFormat="1" ht="21" x14ac:dyDescent="0.45">
      <c r="A26" s="165" t="s">
        <v>1</v>
      </c>
      <c r="B26" s="165"/>
      <c r="C26" s="166">
        <v>55798</v>
      </c>
      <c r="D26" s="166">
        <v>47193</v>
      </c>
      <c r="E26" s="167">
        <f>((D26-C26)/C26)*100</f>
        <v>-15.421699702498298</v>
      </c>
      <c r="F26" s="166">
        <v>46738</v>
      </c>
      <c r="G26" s="166">
        <f>G27+G28+G29+G30</f>
        <v>47193</v>
      </c>
      <c r="H26" s="167">
        <f t="shared" si="49"/>
        <v>0.9735119174975394</v>
      </c>
      <c r="I26" s="165" t="s">
        <v>1</v>
      </c>
      <c r="J26" s="165"/>
      <c r="K26" s="166">
        <v>56099</v>
      </c>
      <c r="L26" s="166">
        <v>46738</v>
      </c>
      <c r="M26" s="167">
        <f t="shared" si="68"/>
        <v>-16.686571953154246</v>
      </c>
      <c r="N26" s="166">
        <v>59530</v>
      </c>
      <c r="O26" s="166">
        <v>46738</v>
      </c>
      <c r="P26" s="167">
        <f t="shared" si="50"/>
        <v>-21.488325214177724</v>
      </c>
      <c r="Q26" s="165" t="s">
        <v>1</v>
      </c>
      <c r="R26" s="165"/>
      <c r="S26" s="166">
        <v>79943</v>
      </c>
      <c r="T26" s="166">
        <v>59530</v>
      </c>
      <c r="U26" s="167">
        <f t="shared" si="69"/>
        <v>-25.534443290844727</v>
      </c>
      <c r="V26" s="166">
        <v>63427</v>
      </c>
      <c r="W26" s="166">
        <v>59530</v>
      </c>
      <c r="X26" s="167">
        <f t="shared" si="51"/>
        <v>-6.1440711368975363</v>
      </c>
      <c r="Y26" s="165" t="s">
        <v>1</v>
      </c>
      <c r="Z26" s="165"/>
      <c r="AA26" s="166">
        <v>87245</v>
      </c>
      <c r="AB26" s="166">
        <v>63427</v>
      </c>
      <c r="AC26" s="167">
        <f t="shared" si="70"/>
        <v>-27.300131812711331</v>
      </c>
      <c r="AD26" s="166">
        <v>58132</v>
      </c>
      <c r="AE26" s="166">
        <v>63427</v>
      </c>
      <c r="AF26" s="167">
        <f t="shared" si="52"/>
        <v>9.1085804720291748</v>
      </c>
      <c r="AG26" s="165" t="s">
        <v>1</v>
      </c>
      <c r="AH26" s="165"/>
      <c r="AI26" s="166">
        <v>74295</v>
      </c>
      <c r="AJ26" s="166">
        <v>58132</v>
      </c>
      <c r="AK26" s="167">
        <f t="shared" si="71"/>
        <v>-21.755165219732149</v>
      </c>
      <c r="AL26" s="166">
        <v>30109</v>
      </c>
      <c r="AM26" s="166">
        <v>58132</v>
      </c>
      <c r="AN26" s="167">
        <f t="shared" si="53"/>
        <v>93.071838985021088</v>
      </c>
      <c r="AO26" s="165" t="s">
        <v>1</v>
      </c>
      <c r="AP26" s="165"/>
      <c r="AQ26" s="166">
        <v>60105</v>
      </c>
      <c r="AR26" s="166">
        <v>30109</v>
      </c>
      <c r="AS26" s="167">
        <f t="shared" si="72"/>
        <v>-49.905997837118377</v>
      </c>
      <c r="AT26" s="166">
        <v>86076</v>
      </c>
      <c r="AU26" s="166">
        <v>30109</v>
      </c>
      <c r="AV26" s="167">
        <f t="shared" si="54"/>
        <v>-65.020447046795866</v>
      </c>
      <c r="AW26" s="165" t="s">
        <v>1</v>
      </c>
      <c r="AX26" s="165"/>
      <c r="AY26" s="166">
        <v>103164</v>
      </c>
      <c r="AZ26" s="166">
        <v>86076</v>
      </c>
      <c r="BA26" s="167">
        <f t="shared" si="73"/>
        <v>-16.563917645690356</v>
      </c>
      <c r="BB26" s="166">
        <v>79206</v>
      </c>
      <c r="BC26" s="166">
        <v>86076</v>
      </c>
      <c r="BD26" s="167">
        <f t="shared" si="55"/>
        <v>8.6735853344443594</v>
      </c>
      <c r="BE26" s="165" t="s">
        <v>1</v>
      </c>
      <c r="BF26" s="165"/>
      <c r="BG26" s="166">
        <v>95082</v>
      </c>
      <c r="BH26" s="166">
        <v>79206</v>
      </c>
      <c r="BI26" s="167">
        <f t="shared" si="74"/>
        <v>-16.697166656149427</v>
      </c>
      <c r="BJ26" s="166">
        <v>63267</v>
      </c>
      <c r="BK26" s="166">
        <v>79206</v>
      </c>
      <c r="BL26" s="167">
        <f t="shared" si="56"/>
        <v>25.193228697425198</v>
      </c>
      <c r="BM26" s="165" t="s">
        <v>1</v>
      </c>
      <c r="BN26" s="165"/>
      <c r="BO26" s="166">
        <v>84801</v>
      </c>
      <c r="BP26" s="166">
        <v>63267</v>
      </c>
      <c r="BQ26" s="167">
        <f t="shared" si="75"/>
        <v>-25.393568472069905</v>
      </c>
      <c r="BR26" s="166">
        <v>54986</v>
      </c>
      <c r="BS26" s="166">
        <v>63267</v>
      </c>
      <c r="BT26" s="167">
        <f t="shared" si="57"/>
        <v>15.060197141090459</v>
      </c>
      <c r="BU26" s="165" t="s">
        <v>1</v>
      </c>
      <c r="BV26" s="165"/>
      <c r="BW26" s="166">
        <v>72646</v>
      </c>
      <c r="BX26" s="166">
        <v>54986</v>
      </c>
      <c r="BY26" s="167">
        <f t="shared" si="76"/>
        <v>-24.309666051812901</v>
      </c>
      <c r="BZ26" s="166">
        <v>54058</v>
      </c>
      <c r="CA26" s="166">
        <v>54986</v>
      </c>
      <c r="CB26" s="167">
        <f t="shared" si="58"/>
        <v>1.7166746827481594</v>
      </c>
      <c r="CC26" s="73"/>
      <c r="CD26" s="165" t="s">
        <v>1</v>
      </c>
      <c r="CE26" s="165"/>
      <c r="CF26" s="166">
        <v>74117</v>
      </c>
      <c r="CG26" s="166">
        <v>54058</v>
      </c>
      <c r="CH26" s="167">
        <f t="shared" si="77"/>
        <v>-27.063966431452975</v>
      </c>
      <c r="CI26" s="166">
        <f>SUM(CI27:CI30)</f>
        <v>73260</v>
      </c>
      <c r="CJ26" s="166">
        <v>54058</v>
      </c>
      <c r="CK26" s="167">
        <f t="shared" si="59"/>
        <v>-26.210756210756209</v>
      </c>
      <c r="CL26" s="73"/>
      <c r="CM26" s="165"/>
      <c r="CN26" s="166">
        <v>83983</v>
      </c>
      <c r="CO26" s="166">
        <f>SUM(CO27:CO30)</f>
        <v>73260</v>
      </c>
      <c r="CP26" s="167">
        <f t="shared" si="78"/>
        <v>-12.768060202660061</v>
      </c>
      <c r="CQ26" s="166">
        <f>SUM(CQ27:CQ30)</f>
        <v>109673</v>
      </c>
      <c r="CR26" s="166">
        <f>SUM(CR27:CR30)</f>
        <v>73260</v>
      </c>
      <c r="CS26" s="167">
        <f t="shared" si="60"/>
        <v>-33.201426057461724</v>
      </c>
      <c r="CT26" s="167"/>
      <c r="CU26" s="73"/>
      <c r="CV26" s="224" t="s">
        <v>1</v>
      </c>
      <c r="CW26" s="224"/>
      <c r="CX26" s="238">
        <f>SUM(CX27:CX30)</f>
        <v>157527</v>
      </c>
      <c r="CY26" s="238">
        <f>SUM(CY27:CY30)</f>
        <v>109673</v>
      </c>
      <c r="CZ26" s="225">
        <f t="shared" si="79"/>
        <v>-30.378284357602187</v>
      </c>
      <c r="DA26" s="238">
        <f>SUM(DA27:DA30)</f>
        <v>87788</v>
      </c>
      <c r="DB26" s="238">
        <f>SUM(DB27:DB30)</f>
        <v>109673</v>
      </c>
      <c r="DC26" s="225">
        <f t="shared" si="80"/>
        <v>24.92937531325466</v>
      </c>
      <c r="DD26" s="73"/>
      <c r="DE26" s="150" t="s">
        <v>1</v>
      </c>
      <c r="DF26" s="150"/>
      <c r="DG26" s="147">
        <f>SUM(DG27:DG30)</f>
        <v>93008</v>
      </c>
      <c r="DH26" s="147">
        <f>SUM(DH27:DH30)</f>
        <v>67283</v>
      </c>
      <c r="DI26" s="151">
        <f t="shared" si="81"/>
        <v>-27.65891106141407</v>
      </c>
      <c r="DJ26" s="147">
        <v>57128</v>
      </c>
      <c r="DK26" s="147">
        <f>SUM(DK27:DK30)</f>
        <v>67283</v>
      </c>
      <c r="DL26" s="151">
        <f t="shared" si="82"/>
        <v>17.77587172664893</v>
      </c>
      <c r="DM26" s="155"/>
      <c r="DN26" s="86" t="s">
        <v>1</v>
      </c>
      <c r="DO26" s="86"/>
      <c r="DP26" s="87">
        <f>SUM(DP27:DP30)</f>
        <v>63067</v>
      </c>
      <c r="DQ26" s="87">
        <f>SUM(DQ27:DQ30)</f>
        <v>57128</v>
      </c>
      <c r="DR26" s="126">
        <f t="shared" si="83"/>
        <v>-9.4169692549193726</v>
      </c>
      <c r="DS26" s="87">
        <v>39713</v>
      </c>
      <c r="DT26" s="87">
        <v>57128</v>
      </c>
      <c r="DU26" s="126">
        <f t="shared" si="84"/>
        <v>43.852139098028353</v>
      </c>
      <c r="DV26" s="127"/>
      <c r="DW26" s="63" t="s">
        <v>1</v>
      </c>
      <c r="DX26" s="63"/>
      <c r="DY26" s="68">
        <f>SUM(DY27:DY30)</f>
        <v>41328</v>
      </c>
      <c r="DZ26" s="68">
        <f>SUM(DZ27:DZ30)</f>
        <v>39713</v>
      </c>
      <c r="EA26" s="65">
        <f t="shared" si="61"/>
        <v>-3.9077622919086332</v>
      </c>
      <c r="EB26" s="68">
        <v>54479</v>
      </c>
      <c r="EC26" s="68">
        <v>39713</v>
      </c>
      <c r="ED26" s="65">
        <f t="shared" si="62"/>
        <v>-27.104021733144883</v>
      </c>
      <c r="EE26" s="73"/>
      <c r="EF26" s="86" t="s">
        <v>1</v>
      </c>
      <c r="EG26" s="86"/>
      <c r="EH26" s="87">
        <f>SUM(EH27:EH30)</f>
        <v>66088</v>
      </c>
      <c r="EI26" s="87">
        <f>SUM(EI27:EI30)</f>
        <v>54479</v>
      </c>
      <c r="EJ26" s="88">
        <f t="shared" si="63"/>
        <v>-17.565972642537222</v>
      </c>
      <c r="EK26" s="87">
        <f>SUM(EK27:EK30)</f>
        <v>49658</v>
      </c>
      <c r="EL26" s="87">
        <f>SUM(EL27:EL30)</f>
        <v>54479</v>
      </c>
      <c r="EM26" s="88">
        <f t="shared" si="64"/>
        <v>9.7084054935760591</v>
      </c>
      <c r="EN26" s="73"/>
      <c r="EO26" s="63" t="s">
        <v>1</v>
      </c>
      <c r="EP26" s="63"/>
      <c r="EQ26" s="68">
        <f>SUM(EQ27:EQ30)</f>
        <v>56021</v>
      </c>
      <c r="ER26" s="68">
        <f>SUM(ER27:ER30)</f>
        <v>49658</v>
      </c>
      <c r="ES26" s="65">
        <f t="shared" si="65"/>
        <v>-11.358240659752592</v>
      </c>
      <c r="ET26" s="68">
        <v>53560</v>
      </c>
      <c r="EU26" s="68">
        <f>SUM(EU27:EU30)</f>
        <v>49658</v>
      </c>
      <c r="EV26" s="65">
        <f t="shared" si="66"/>
        <v>-7.2852875280059752</v>
      </c>
      <c r="EY26" s="69" t="s">
        <v>1</v>
      </c>
      <c r="EZ26" s="70">
        <v>66101</v>
      </c>
      <c r="FA26" s="70">
        <v>53560</v>
      </c>
      <c r="FB26" s="71">
        <f>(FA26-EZ26)/EZ26*100</f>
        <v>-18.972481505574802</v>
      </c>
      <c r="FC26" s="72">
        <v>55920</v>
      </c>
      <c r="FD26" s="70">
        <v>53560</v>
      </c>
      <c r="FE26" s="71">
        <f>(FD26-FC26)/FC26*100</f>
        <v>-4.2203147353361947</v>
      </c>
    </row>
    <row r="27" spans="1:161" x14ac:dyDescent="0.5">
      <c r="A27" s="168"/>
      <c r="B27" s="168" t="s">
        <v>51</v>
      </c>
      <c r="C27" s="169">
        <v>28124</v>
      </c>
      <c r="D27" s="169">
        <f>D26-D28-D29-D30</f>
        <v>17917</v>
      </c>
      <c r="E27" s="167">
        <f t="shared" si="67"/>
        <v>-36.292845967856636</v>
      </c>
      <c r="F27" s="169">
        <v>17288</v>
      </c>
      <c r="G27" s="166">
        <f t="shared" ref="G27:G32" si="85">D27</f>
        <v>17917</v>
      </c>
      <c r="H27" s="167">
        <f t="shared" si="49"/>
        <v>3.638361869504859</v>
      </c>
      <c r="I27" s="168"/>
      <c r="J27" s="168" t="s">
        <v>51</v>
      </c>
      <c r="K27" s="169">
        <v>22342</v>
      </c>
      <c r="L27" s="169">
        <v>17288</v>
      </c>
      <c r="M27" s="167">
        <f t="shared" si="68"/>
        <v>-22.621072419658041</v>
      </c>
      <c r="N27" s="169">
        <v>20203</v>
      </c>
      <c r="O27" s="169">
        <v>17288</v>
      </c>
      <c r="P27" s="167">
        <f t="shared" si="50"/>
        <v>-14.428550215314557</v>
      </c>
      <c r="Q27" s="168"/>
      <c r="R27" s="168" t="s">
        <v>51</v>
      </c>
      <c r="S27" s="169">
        <v>29713</v>
      </c>
      <c r="T27" s="169">
        <v>20203</v>
      </c>
      <c r="U27" s="167">
        <f t="shared" si="69"/>
        <v>-32.006192575640291</v>
      </c>
      <c r="V27" s="169">
        <v>20492</v>
      </c>
      <c r="W27" s="169">
        <v>20203</v>
      </c>
      <c r="X27" s="167">
        <f t="shared" si="51"/>
        <v>-1.4103064610579739</v>
      </c>
      <c r="Y27" s="168"/>
      <c r="Z27" s="168" t="s">
        <v>51</v>
      </c>
      <c r="AA27" s="169">
        <v>29771</v>
      </c>
      <c r="AB27" s="169">
        <v>20492</v>
      </c>
      <c r="AC27" s="167">
        <f t="shared" si="70"/>
        <v>-31.167915085149978</v>
      </c>
      <c r="AD27" s="169">
        <v>16988</v>
      </c>
      <c r="AE27" s="169">
        <v>20492</v>
      </c>
      <c r="AF27" s="167">
        <f t="shared" si="52"/>
        <v>20.626324464327762</v>
      </c>
      <c r="AG27" s="168"/>
      <c r="AH27" s="168" t="s">
        <v>51</v>
      </c>
      <c r="AI27" s="169">
        <v>24509</v>
      </c>
      <c r="AJ27" s="169">
        <v>16988</v>
      </c>
      <c r="AK27" s="167">
        <f t="shared" si="71"/>
        <v>-30.686686523317963</v>
      </c>
      <c r="AL27" s="169">
        <v>8830</v>
      </c>
      <c r="AM27" s="169">
        <v>16988</v>
      </c>
      <c r="AN27" s="167">
        <f t="shared" si="53"/>
        <v>92.389580973952434</v>
      </c>
      <c r="AO27" s="168"/>
      <c r="AP27" s="168" t="s">
        <v>51</v>
      </c>
      <c r="AQ27" s="169">
        <v>20698</v>
      </c>
      <c r="AR27" s="169">
        <v>8830</v>
      </c>
      <c r="AS27" s="167">
        <f t="shared" si="72"/>
        <v>-57.338873321093828</v>
      </c>
      <c r="AT27" s="169">
        <v>34931</v>
      </c>
      <c r="AU27" s="169">
        <v>8830</v>
      </c>
      <c r="AV27" s="167">
        <f t="shared" si="54"/>
        <v>-74.721593999599207</v>
      </c>
      <c r="AW27" s="168"/>
      <c r="AX27" s="168" t="s">
        <v>51</v>
      </c>
      <c r="AY27" s="169">
        <v>40061</v>
      </c>
      <c r="AZ27" s="169">
        <v>34931</v>
      </c>
      <c r="BA27" s="167">
        <f t="shared" si="73"/>
        <v>-12.80547165572502</v>
      </c>
      <c r="BB27" s="169">
        <v>29888</v>
      </c>
      <c r="BC27" s="169">
        <v>34931</v>
      </c>
      <c r="BD27" s="167">
        <f t="shared" si="55"/>
        <v>16.872992505353317</v>
      </c>
      <c r="BE27" s="168"/>
      <c r="BF27" s="168" t="s">
        <v>51</v>
      </c>
      <c r="BG27" s="169">
        <v>34765</v>
      </c>
      <c r="BH27" s="169">
        <v>29888</v>
      </c>
      <c r="BI27" s="167">
        <f t="shared" si="74"/>
        <v>-14.028476916438947</v>
      </c>
      <c r="BJ27" s="169">
        <v>25493</v>
      </c>
      <c r="BK27" s="169">
        <v>29888</v>
      </c>
      <c r="BL27" s="167">
        <f t="shared" si="56"/>
        <v>17.240026673988936</v>
      </c>
      <c r="BM27" s="168"/>
      <c r="BN27" s="168" t="s">
        <v>51</v>
      </c>
      <c r="BO27" s="169">
        <v>33482</v>
      </c>
      <c r="BP27" s="169">
        <v>25493</v>
      </c>
      <c r="BQ27" s="167">
        <f t="shared" si="75"/>
        <v>-23.860581805149035</v>
      </c>
      <c r="BR27" s="169">
        <v>20687</v>
      </c>
      <c r="BS27" s="169">
        <v>25493</v>
      </c>
      <c r="BT27" s="167">
        <f t="shared" si="57"/>
        <v>23.231981437617826</v>
      </c>
      <c r="BU27" s="168"/>
      <c r="BV27" s="168" t="s">
        <v>51</v>
      </c>
      <c r="BW27" s="169">
        <v>23763</v>
      </c>
      <c r="BX27" s="169">
        <v>20687</v>
      </c>
      <c r="BY27" s="167">
        <f t="shared" si="76"/>
        <v>-12.944493540377898</v>
      </c>
      <c r="BZ27" s="169">
        <v>23470</v>
      </c>
      <c r="CA27" s="169">
        <v>20687</v>
      </c>
      <c r="CB27" s="167">
        <f t="shared" si="58"/>
        <v>-11.857690668939071</v>
      </c>
      <c r="CC27" s="73"/>
      <c r="CD27" s="168"/>
      <c r="CE27" s="168" t="s">
        <v>51</v>
      </c>
      <c r="CF27" s="169">
        <v>30140</v>
      </c>
      <c r="CG27" s="169">
        <v>23470</v>
      </c>
      <c r="CH27" s="167">
        <f t="shared" si="77"/>
        <v>-22.130059721300597</v>
      </c>
      <c r="CI27" s="169">
        <v>31168</v>
      </c>
      <c r="CJ27" s="169">
        <v>23470</v>
      </c>
      <c r="CK27" s="167">
        <f t="shared" si="59"/>
        <v>-24.698408624229977</v>
      </c>
      <c r="CL27" s="73"/>
      <c r="CM27" s="168" t="s">
        <v>51</v>
      </c>
      <c r="CN27" s="169">
        <v>34813</v>
      </c>
      <c r="CO27" s="169">
        <v>31168</v>
      </c>
      <c r="CP27" s="167">
        <f t="shared" si="78"/>
        <v>-10.47022663947376</v>
      </c>
      <c r="CQ27" s="169">
        <v>47511</v>
      </c>
      <c r="CR27" s="169">
        <v>31168</v>
      </c>
      <c r="CS27" s="167">
        <f t="shared" si="60"/>
        <v>-34.398349855822865</v>
      </c>
      <c r="CT27" s="167"/>
      <c r="CU27" s="73"/>
      <c r="CV27" s="226"/>
      <c r="CW27" s="226" t="s">
        <v>51</v>
      </c>
      <c r="CX27" s="227">
        <v>78816</v>
      </c>
      <c r="CY27" s="227">
        <v>47511</v>
      </c>
      <c r="CZ27" s="225">
        <f t="shared" si="79"/>
        <v>-39.719092570036537</v>
      </c>
      <c r="DA27" s="227">
        <v>38656</v>
      </c>
      <c r="DB27" s="227">
        <v>47511</v>
      </c>
      <c r="DC27" s="225">
        <f t="shared" si="80"/>
        <v>22.907181291390728</v>
      </c>
      <c r="DD27" s="73"/>
      <c r="DE27" s="152"/>
      <c r="DF27" s="152" t="s">
        <v>51</v>
      </c>
      <c r="DG27" s="148">
        <v>41692</v>
      </c>
      <c r="DH27" s="148">
        <v>30953</v>
      </c>
      <c r="DI27" s="151">
        <f t="shared" si="81"/>
        <v>-25.757939172982823</v>
      </c>
      <c r="DJ27" s="148">
        <v>26274</v>
      </c>
      <c r="DK27" s="148">
        <v>30953</v>
      </c>
      <c r="DL27" s="151">
        <f t="shared" si="82"/>
        <v>17.808479866027252</v>
      </c>
      <c r="DM27" s="155"/>
      <c r="DN27" s="89"/>
      <c r="DO27" s="89" t="s">
        <v>51</v>
      </c>
      <c r="DP27" s="90">
        <v>23122</v>
      </c>
      <c r="DQ27" s="90">
        <v>26274</v>
      </c>
      <c r="DR27" s="129">
        <f t="shared" si="83"/>
        <v>13.6320387509731</v>
      </c>
      <c r="DS27" s="90">
        <v>15981</v>
      </c>
      <c r="DT27" s="90">
        <v>26274</v>
      </c>
      <c r="DU27" s="129">
        <f t="shared" si="84"/>
        <v>64.407734184343909</v>
      </c>
      <c r="DV27" s="127"/>
      <c r="DW27" s="42"/>
      <c r="DX27" s="42" t="s">
        <v>51</v>
      </c>
      <c r="DY27" s="43">
        <v>16194</v>
      </c>
      <c r="DZ27" s="43">
        <v>15981</v>
      </c>
      <c r="EA27" s="44">
        <f t="shared" si="61"/>
        <v>-1.3153019636902556</v>
      </c>
      <c r="EB27" s="45">
        <v>15170</v>
      </c>
      <c r="EC27" s="43">
        <v>15981</v>
      </c>
      <c r="ED27" s="44">
        <f t="shared" si="62"/>
        <v>5.3460777851021755</v>
      </c>
      <c r="EE27" s="61"/>
      <c r="EF27" s="89"/>
      <c r="EG27" s="89" t="s">
        <v>51</v>
      </c>
      <c r="EH27" s="90">
        <v>20854</v>
      </c>
      <c r="EI27" s="90">
        <v>15170</v>
      </c>
      <c r="EJ27" s="91">
        <f t="shared" si="63"/>
        <v>-27.256161887407693</v>
      </c>
      <c r="EK27" s="92">
        <v>13343</v>
      </c>
      <c r="EL27" s="90">
        <v>15170</v>
      </c>
      <c r="EM27" s="91">
        <f t="shared" si="64"/>
        <v>13.692572884658622</v>
      </c>
      <c r="EN27" s="61"/>
      <c r="EO27" s="42"/>
      <c r="EP27" s="42" t="s">
        <v>51</v>
      </c>
      <c r="EQ27" s="43">
        <v>14985</v>
      </c>
      <c r="ER27" s="43">
        <v>13343</v>
      </c>
      <c r="ES27" s="44">
        <f t="shared" si="65"/>
        <v>-10.957624290957623</v>
      </c>
      <c r="ET27" s="45">
        <v>16318</v>
      </c>
      <c r="EU27" s="43">
        <v>13343</v>
      </c>
      <c r="EV27" s="44">
        <f t="shared" si="66"/>
        <v>-18.231400906973892</v>
      </c>
      <c r="EY27" s="24"/>
      <c r="EZ27" s="25"/>
      <c r="FA27" s="25"/>
      <c r="FB27" s="32"/>
      <c r="FC27" s="27"/>
      <c r="FD27" s="25"/>
      <c r="FE27" s="32"/>
    </row>
    <row r="28" spans="1:161" x14ac:dyDescent="0.5">
      <c r="A28" s="168"/>
      <c r="B28" s="168" t="s">
        <v>52</v>
      </c>
      <c r="C28" s="169">
        <v>7923</v>
      </c>
      <c r="D28" s="169">
        <v>11017</v>
      </c>
      <c r="E28" s="167">
        <f t="shared" si="67"/>
        <v>39.050864571500696</v>
      </c>
      <c r="F28" s="169">
        <v>14067</v>
      </c>
      <c r="G28" s="166">
        <f t="shared" si="85"/>
        <v>11017</v>
      </c>
      <c r="H28" s="167">
        <f t="shared" si="49"/>
        <v>-21.68195066467619</v>
      </c>
      <c r="I28" s="168"/>
      <c r="J28" s="168" t="s">
        <v>52</v>
      </c>
      <c r="K28" s="169">
        <v>16212</v>
      </c>
      <c r="L28" s="169">
        <v>14067</v>
      </c>
      <c r="M28" s="167">
        <f t="shared" si="68"/>
        <v>-13.230940044411547</v>
      </c>
      <c r="N28" s="169">
        <v>21874</v>
      </c>
      <c r="O28" s="169">
        <v>14067</v>
      </c>
      <c r="P28" s="167">
        <f t="shared" si="50"/>
        <v>-35.690774435402759</v>
      </c>
      <c r="Q28" s="168"/>
      <c r="R28" s="168" t="s">
        <v>52</v>
      </c>
      <c r="S28" s="169">
        <v>29622</v>
      </c>
      <c r="T28" s="169">
        <v>21874</v>
      </c>
      <c r="U28" s="167">
        <f t="shared" si="69"/>
        <v>-26.156235230571873</v>
      </c>
      <c r="V28" s="169">
        <v>29070</v>
      </c>
      <c r="W28" s="169">
        <v>21874</v>
      </c>
      <c r="X28" s="167">
        <f t="shared" si="51"/>
        <v>-24.754041967664257</v>
      </c>
      <c r="Y28" s="168"/>
      <c r="Z28" s="168" t="s">
        <v>52</v>
      </c>
      <c r="AA28" s="169">
        <v>40593</v>
      </c>
      <c r="AB28" s="169">
        <v>29070</v>
      </c>
      <c r="AC28" s="167">
        <f t="shared" si="70"/>
        <v>-28.386667652058232</v>
      </c>
      <c r="AD28" s="169">
        <v>27458</v>
      </c>
      <c r="AE28" s="169">
        <v>29070</v>
      </c>
      <c r="AF28" s="167">
        <f t="shared" si="52"/>
        <v>5.8707844708281742</v>
      </c>
      <c r="AG28" s="168"/>
      <c r="AH28" s="168" t="s">
        <v>52</v>
      </c>
      <c r="AI28" s="169">
        <v>32256</v>
      </c>
      <c r="AJ28" s="169">
        <v>27458</v>
      </c>
      <c r="AK28" s="167">
        <f t="shared" si="71"/>
        <v>-14.874751984126986</v>
      </c>
      <c r="AL28" s="169">
        <v>15158</v>
      </c>
      <c r="AM28" s="169">
        <v>27458</v>
      </c>
      <c r="AN28" s="167">
        <f t="shared" si="53"/>
        <v>81.145269824515111</v>
      </c>
      <c r="AO28" s="168"/>
      <c r="AP28" s="168" t="s">
        <v>52</v>
      </c>
      <c r="AQ28" s="169">
        <v>27215</v>
      </c>
      <c r="AR28" s="169">
        <v>15158</v>
      </c>
      <c r="AS28" s="167">
        <f t="shared" si="72"/>
        <v>-44.302774205401434</v>
      </c>
      <c r="AT28" s="169">
        <v>36257</v>
      </c>
      <c r="AU28" s="169">
        <v>15158</v>
      </c>
      <c r="AV28" s="167">
        <f t="shared" si="54"/>
        <v>-58.192900681247764</v>
      </c>
      <c r="AW28" s="168"/>
      <c r="AX28" s="168" t="s">
        <v>52</v>
      </c>
      <c r="AY28" s="169">
        <v>44977</v>
      </c>
      <c r="AZ28" s="169">
        <v>36257</v>
      </c>
      <c r="BA28" s="167">
        <f t="shared" si="73"/>
        <v>-19.387687040042689</v>
      </c>
      <c r="BB28" s="169">
        <v>33204</v>
      </c>
      <c r="BC28" s="169">
        <v>36257</v>
      </c>
      <c r="BD28" s="167">
        <f t="shared" si="55"/>
        <v>9.194675340320444</v>
      </c>
      <c r="BE28" s="168"/>
      <c r="BF28" s="168" t="s">
        <v>52</v>
      </c>
      <c r="BG28" s="169">
        <v>42078</v>
      </c>
      <c r="BH28" s="169">
        <v>33204</v>
      </c>
      <c r="BI28" s="167">
        <f t="shared" si="74"/>
        <v>-21.089405389990016</v>
      </c>
      <c r="BJ28" s="169">
        <v>26146</v>
      </c>
      <c r="BK28" s="169">
        <v>33204</v>
      </c>
      <c r="BL28" s="167">
        <f t="shared" si="56"/>
        <v>26.994568958922972</v>
      </c>
      <c r="BM28" s="168"/>
      <c r="BN28" s="168" t="s">
        <v>52</v>
      </c>
      <c r="BO28" s="169">
        <v>35826</v>
      </c>
      <c r="BP28" s="169">
        <v>26146</v>
      </c>
      <c r="BQ28" s="167">
        <f t="shared" si="75"/>
        <v>-27.019483056997711</v>
      </c>
      <c r="BR28" s="169">
        <v>23019</v>
      </c>
      <c r="BS28" s="169">
        <v>26146</v>
      </c>
      <c r="BT28" s="167">
        <f t="shared" si="57"/>
        <v>13.584430253269039</v>
      </c>
      <c r="BU28" s="168"/>
      <c r="BV28" s="168" t="s">
        <v>52</v>
      </c>
      <c r="BW28" s="169">
        <v>30931</v>
      </c>
      <c r="BX28" s="169">
        <v>23019</v>
      </c>
      <c r="BY28" s="167">
        <f t="shared" si="76"/>
        <v>-25.579515696227084</v>
      </c>
      <c r="BZ28" s="169">
        <v>20211</v>
      </c>
      <c r="CA28" s="169">
        <v>23019</v>
      </c>
      <c r="CB28" s="167">
        <f t="shared" si="58"/>
        <v>13.893424372866262</v>
      </c>
      <c r="CC28" s="73"/>
      <c r="CD28" s="168"/>
      <c r="CE28" s="168" t="s">
        <v>52</v>
      </c>
      <c r="CF28" s="169">
        <v>30396</v>
      </c>
      <c r="CG28" s="169">
        <v>20211</v>
      </c>
      <c r="CH28" s="167">
        <f t="shared" si="77"/>
        <v>-33.507698381365969</v>
      </c>
      <c r="CI28" s="169">
        <v>30292</v>
      </c>
      <c r="CJ28" s="169">
        <v>20211</v>
      </c>
      <c r="CK28" s="167">
        <f t="shared" si="59"/>
        <v>-33.279413706589203</v>
      </c>
      <c r="CL28" s="73"/>
      <c r="CM28" s="168" t="s">
        <v>52</v>
      </c>
      <c r="CN28" s="169">
        <v>35765</v>
      </c>
      <c r="CO28" s="169">
        <v>30292</v>
      </c>
      <c r="CP28" s="167">
        <f t="shared" si="78"/>
        <v>-15.302670208304209</v>
      </c>
      <c r="CQ28" s="169">
        <v>48052</v>
      </c>
      <c r="CR28" s="169">
        <v>30292</v>
      </c>
      <c r="CS28" s="167">
        <f t="shared" si="60"/>
        <v>-36.959960043286436</v>
      </c>
      <c r="CT28" s="167"/>
      <c r="CU28" s="73"/>
      <c r="CV28" s="226"/>
      <c r="CW28" s="226" t="s">
        <v>52</v>
      </c>
      <c r="CX28" s="227">
        <v>60294</v>
      </c>
      <c r="CY28" s="227">
        <v>48052</v>
      </c>
      <c r="CZ28" s="225">
        <f t="shared" si="79"/>
        <v>-20.303844495306333</v>
      </c>
      <c r="DA28" s="227">
        <v>37148</v>
      </c>
      <c r="DB28" s="227">
        <v>48052</v>
      </c>
      <c r="DC28" s="225">
        <f t="shared" si="80"/>
        <v>29.352858834930551</v>
      </c>
      <c r="DD28" s="73"/>
      <c r="DE28" s="152"/>
      <c r="DF28" s="152" t="s">
        <v>52</v>
      </c>
      <c r="DG28" s="148">
        <v>39811</v>
      </c>
      <c r="DH28" s="148">
        <v>28191</v>
      </c>
      <c r="DI28" s="151">
        <f t="shared" si="81"/>
        <v>-29.187912888397676</v>
      </c>
      <c r="DJ28" s="148">
        <v>22550</v>
      </c>
      <c r="DK28" s="148">
        <v>28191</v>
      </c>
      <c r="DL28" s="151">
        <f t="shared" si="82"/>
        <v>25.015521064301556</v>
      </c>
      <c r="DM28" s="155"/>
      <c r="DN28" s="89"/>
      <c r="DO28" s="89" t="s">
        <v>52</v>
      </c>
      <c r="DP28" s="90">
        <v>30790</v>
      </c>
      <c r="DQ28" s="90">
        <v>22550</v>
      </c>
      <c r="DR28" s="129">
        <f t="shared" si="83"/>
        <v>-26.761935693406951</v>
      </c>
      <c r="DS28" s="90">
        <v>18901</v>
      </c>
      <c r="DT28" s="90">
        <v>22550</v>
      </c>
      <c r="DU28" s="129">
        <f t="shared" si="84"/>
        <v>19.305856832971802</v>
      </c>
      <c r="DV28" s="127"/>
      <c r="DW28" s="42"/>
      <c r="DX28" s="42" t="s">
        <v>52</v>
      </c>
      <c r="DY28" s="43">
        <v>19405</v>
      </c>
      <c r="DZ28" s="43">
        <v>18901</v>
      </c>
      <c r="EA28" s="44">
        <f t="shared" si="61"/>
        <v>-2.5972687451687708</v>
      </c>
      <c r="EB28" s="45">
        <v>32338</v>
      </c>
      <c r="EC28" s="43">
        <v>18901</v>
      </c>
      <c r="ED28" s="44">
        <f t="shared" si="62"/>
        <v>-41.551734801162723</v>
      </c>
      <c r="EE28" s="61"/>
      <c r="EF28" s="89"/>
      <c r="EG28" s="89" t="s">
        <v>52</v>
      </c>
      <c r="EH28" s="90">
        <v>36622</v>
      </c>
      <c r="EI28" s="90">
        <v>32338</v>
      </c>
      <c r="EJ28" s="91">
        <f t="shared" si="63"/>
        <v>-11.697886516301677</v>
      </c>
      <c r="EK28" s="92">
        <v>30212</v>
      </c>
      <c r="EL28" s="90">
        <v>32338</v>
      </c>
      <c r="EM28" s="91">
        <f t="shared" si="64"/>
        <v>7.0369389646498082</v>
      </c>
      <c r="EN28" s="61"/>
      <c r="EO28" s="42"/>
      <c r="EP28" s="42" t="s">
        <v>52</v>
      </c>
      <c r="EQ28" s="43">
        <v>34258</v>
      </c>
      <c r="ER28" s="43">
        <v>30212</v>
      </c>
      <c r="ES28" s="44">
        <f t="shared" si="65"/>
        <v>-11.810380057212914</v>
      </c>
      <c r="ET28" s="45">
        <v>31238</v>
      </c>
      <c r="EU28" s="43">
        <v>30212</v>
      </c>
      <c r="EV28" s="44">
        <f t="shared" si="66"/>
        <v>-3.2844612331135155</v>
      </c>
      <c r="EY28" s="24"/>
      <c r="EZ28" s="25"/>
      <c r="FA28" s="25"/>
      <c r="FB28" s="32"/>
      <c r="FC28" s="27"/>
      <c r="FD28" s="25"/>
      <c r="FE28" s="32"/>
    </row>
    <row r="29" spans="1:161" x14ac:dyDescent="0.5">
      <c r="A29" s="168"/>
      <c r="B29" s="168" t="s">
        <v>53</v>
      </c>
      <c r="C29" s="169">
        <v>2758</v>
      </c>
      <c r="D29" s="169">
        <v>2182</v>
      </c>
      <c r="E29" s="167">
        <f t="shared" si="67"/>
        <v>-20.884699057287889</v>
      </c>
      <c r="F29" s="169">
        <v>1971</v>
      </c>
      <c r="G29" s="166">
        <f t="shared" si="85"/>
        <v>2182</v>
      </c>
      <c r="H29" s="167">
        <f t="shared" si="49"/>
        <v>10.705225773718924</v>
      </c>
      <c r="I29" s="168"/>
      <c r="J29" s="168" t="s">
        <v>53</v>
      </c>
      <c r="K29" s="169">
        <v>2722</v>
      </c>
      <c r="L29" s="169">
        <v>1971</v>
      </c>
      <c r="M29" s="167">
        <f t="shared" si="68"/>
        <v>-27.590007347538574</v>
      </c>
      <c r="N29" s="169">
        <v>3334</v>
      </c>
      <c r="O29" s="169">
        <v>1971</v>
      </c>
      <c r="P29" s="167">
        <f t="shared" si="50"/>
        <v>-40.881823635272944</v>
      </c>
      <c r="Q29" s="168"/>
      <c r="R29" s="168" t="s">
        <v>53</v>
      </c>
      <c r="S29" s="169">
        <v>3911</v>
      </c>
      <c r="T29" s="169">
        <v>3334</v>
      </c>
      <c r="U29" s="167">
        <f t="shared" si="69"/>
        <v>-14.753260035796472</v>
      </c>
      <c r="V29" s="169">
        <v>3469</v>
      </c>
      <c r="W29" s="169">
        <v>3334</v>
      </c>
      <c r="X29" s="167">
        <f t="shared" si="51"/>
        <v>-3.8916114153934851</v>
      </c>
      <c r="Y29" s="168"/>
      <c r="Z29" s="168" t="s">
        <v>53</v>
      </c>
      <c r="AA29" s="169">
        <v>4052</v>
      </c>
      <c r="AB29" s="169">
        <v>3469</v>
      </c>
      <c r="AC29" s="167">
        <f t="shared" si="70"/>
        <v>-14.387956564659426</v>
      </c>
      <c r="AD29" s="169">
        <v>2997</v>
      </c>
      <c r="AE29" s="169">
        <v>3469</v>
      </c>
      <c r="AF29" s="167">
        <f t="shared" si="52"/>
        <v>15.749082415749083</v>
      </c>
      <c r="AG29" s="168"/>
      <c r="AH29" s="168" t="s">
        <v>53</v>
      </c>
      <c r="AI29" s="169">
        <v>4221</v>
      </c>
      <c r="AJ29" s="169">
        <v>2997</v>
      </c>
      <c r="AK29" s="167">
        <f t="shared" si="71"/>
        <v>-28.997867803837952</v>
      </c>
      <c r="AL29" s="169">
        <v>2253</v>
      </c>
      <c r="AM29" s="169">
        <v>2997</v>
      </c>
      <c r="AN29" s="167">
        <f t="shared" si="53"/>
        <v>33.022636484687084</v>
      </c>
      <c r="AO29" s="168"/>
      <c r="AP29" s="168" t="s">
        <v>53</v>
      </c>
      <c r="AQ29" s="169">
        <v>3355</v>
      </c>
      <c r="AR29" s="169">
        <v>2253</v>
      </c>
      <c r="AS29" s="167">
        <f t="shared" si="72"/>
        <v>-32.846497764530554</v>
      </c>
      <c r="AT29" s="169">
        <v>3400</v>
      </c>
      <c r="AU29" s="169">
        <v>2253</v>
      </c>
      <c r="AV29" s="167">
        <f t="shared" si="54"/>
        <v>-33.735294117647058</v>
      </c>
      <c r="AW29" s="168"/>
      <c r="AX29" s="168" t="s">
        <v>53</v>
      </c>
      <c r="AY29" s="169">
        <v>4086</v>
      </c>
      <c r="AZ29" s="169">
        <v>3400</v>
      </c>
      <c r="BA29" s="167">
        <f t="shared" si="73"/>
        <v>-16.789035731767012</v>
      </c>
      <c r="BB29" s="169">
        <v>3914</v>
      </c>
      <c r="BC29" s="169">
        <v>3400</v>
      </c>
      <c r="BD29" s="167">
        <f t="shared" si="55"/>
        <v>-13.132345426673481</v>
      </c>
      <c r="BE29" s="168"/>
      <c r="BF29" s="168" t="s">
        <v>53</v>
      </c>
      <c r="BG29" s="169">
        <v>4199</v>
      </c>
      <c r="BH29" s="169">
        <v>3914</v>
      </c>
      <c r="BI29" s="167">
        <f t="shared" si="74"/>
        <v>-6.7873303167420813</v>
      </c>
      <c r="BJ29" s="169">
        <v>3507</v>
      </c>
      <c r="BK29" s="169">
        <v>3914</v>
      </c>
      <c r="BL29" s="167">
        <f t="shared" si="56"/>
        <v>11.605360707157114</v>
      </c>
      <c r="BM29" s="168"/>
      <c r="BN29" s="168" t="s">
        <v>53</v>
      </c>
      <c r="BO29" s="169">
        <v>4764</v>
      </c>
      <c r="BP29" s="169">
        <v>3507</v>
      </c>
      <c r="BQ29" s="167">
        <f t="shared" si="75"/>
        <v>-26.385390428211586</v>
      </c>
      <c r="BR29" s="169">
        <v>3143</v>
      </c>
      <c r="BS29" s="169">
        <v>3507</v>
      </c>
      <c r="BT29" s="167">
        <f t="shared" si="57"/>
        <v>11.581291759465479</v>
      </c>
      <c r="BU29" s="168"/>
      <c r="BV29" s="168" t="s">
        <v>53</v>
      </c>
      <c r="BW29" s="169">
        <v>4209</v>
      </c>
      <c r="BX29" s="169">
        <v>3143</v>
      </c>
      <c r="BY29" s="167">
        <f t="shared" si="76"/>
        <v>-25.326680921834168</v>
      </c>
      <c r="BZ29" s="169">
        <v>3710</v>
      </c>
      <c r="CA29" s="169">
        <v>3143</v>
      </c>
      <c r="CB29" s="167">
        <f t="shared" si="58"/>
        <v>-15.283018867924527</v>
      </c>
      <c r="CC29" s="73"/>
      <c r="CD29" s="168"/>
      <c r="CE29" s="168" t="s">
        <v>53</v>
      </c>
      <c r="CF29" s="169">
        <v>4581</v>
      </c>
      <c r="CG29" s="169">
        <v>3710</v>
      </c>
      <c r="CH29" s="167">
        <f t="shared" si="77"/>
        <v>-19.013315869897401</v>
      </c>
      <c r="CI29" s="169">
        <v>3884</v>
      </c>
      <c r="CJ29" s="169">
        <v>3710</v>
      </c>
      <c r="CK29" s="167">
        <f t="shared" si="59"/>
        <v>-4.4799176107106078</v>
      </c>
      <c r="CL29" s="73"/>
      <c r="CM29" s="168" t="s">
        <v>53</v>
      </c>
      <c r="CN29" s="169">
        <v>4241</v>
      </c>
      <c r="CO29" s="169">
        <v>3884</v>
      </c>
      <c r="CP29" s="167">
        <f t="shared" si="78"/>
        <v>-8.4178259844376324</v>
      </c>
      <c r="CQ29" s="169">
        <v>6914</v>
      </c>
      <c r="CR29" s="169">
        <v>3884</v>
      </c>
      <c r="CS29" s="167">
        <f t="shared" si="60"/>
        <v>-43.824124963841484</v>
      </c>
      <c r="CT29" s="167"/>
      <c r="CU29" s="73"/>
      <c r="CV29" s="226"/>
      <c r="CW29" s="226" t="s">
        <v>53</v>
      </c>
      <c r="CX29" s="227">
        <v>8090</v>
      </c>
      <c r="CY29" s="227">
        <v>6914</v>
      </c>
      <c r="CZ29" s="225">
        <f t="shared" si="79"/>
        <v>-14.53646477132262</v>
      </c>
      <c r="DA29" s="227">
        <v>5715</v>
      </c>
      <c r="DB29" s="227">
        <v>6914</v>
      </c>
      <c r="DC29" s="225">
        <f t="shared" si="80"/>
        <v>20.979877515310584</v>
      </c>
      <c r="DD29" s="73"/>
      <c r="DE29" s="152"/>
      <c r="DF29" s="152" t="s">
        <v>53</v>
      </c>
      <c r="DG29" s="148">
        <v>5642</v>
      </c>
      <c r="DH29" s="148">
        <v>3821</v>
      </c>
      <c r="DI29" s="151">
        <f t="shared" si="81"/>
        <v>-32.275788727401633</v>
      </c>
      <c r="DJ29" s="148">
        <v>3825</v>
      </c>
      <c r="DK29" s="148">
        <v>3821</v>
      </c>
      <c r="DL29" s="151">
        <f t="shared" si="82"/>
        <v>-0.10457516339869283</v>
      </c>
      <c r="DM29" s="155"/>
      <c r="DN29" s="89"/>
      <c r="DO29" s="89" t="s">
        <v>53</v>
      </c>
      <c r="DP29" s="90">
        <v>4187</v>
      </c>
      <c r="DQ29" s="90">
        <v>3825</v>
      </c>
      <c r="DR29" s="129">
        <f t="shared" si="83"/>
        <v>-8.6458084547408642</v>
      </c>
      <c r="DS29" s="90">
        <v>2287</v>
      </c>
      <c r="DT29" s="90">
        <v>3825</v>
      </c>
      <c r="DU29" s="129">
        <f t="shared" si="84"/>
        <v>67.249672059466548</v>
      </c>
      <c r="DV29" s="127"/>
      <c r="DW29" s="42"/>
      <c r="DX29" s="42" t="s">
        <v>53</v>
      </c>
      <c r="DY29" s="43">
        <v>2854</v>
      </c>
      <c r="DZ29" s="43">
        <v>2287</v>
      </c>
      <c r="EA29" s="44">
        <f t="shared" si="61"/>
        <v>-19.86685353889278</v>
      </c>
      <c r="EB29" s="45">
        <v>3455</v>
      </c>
      <c r="EC29" s="43">
        <v>2287</v>
      </c>
      <c r="ED29" s="44">
        <f t="shared" si="62"/>
        <v>-33.806078147612155</v>
      </c>
      <c r="EE29" s="61"/>
      <c r="EF29" s="89"/>
      <c r="EG29" s="89" t="s">
        <v>53</v>
      </c>
      <c r="EH29" s="90">
        <v>4204</v>
      </c>
      <c r="EI29" s="90">
        <v>3455</v>
      </c>
      <c r="EJ29" s="91">
        <f t="shared" si="63"/>
        <v>-17.816365366317793</v>
      </c>
      <c r="EK29" s="92">
        <v>3390</v>
      </c>
      <c r="EL29" s="90">
        <v>3455</v>
      </c>
      <c r="EM29" s="91">
        <f t="shared" si="64"/>
        <v>1.9174041297935103</v>
      </c>
      <c r="EN29" s="61"/>
      <c r="EO29" s="42"/>
      <c r="EP29" s="42" t="s">
        <v>53</v>
      </c>
      <c r="EQ29" s="43">
        <v>3722</v>
      </c>
      <c r="ER29" s="43">
        <v>3390</v>
      </c>
      <c r="ES29" s="44">
        <f t="shared" si="65"/>
        <v>-8.9199355185384199</v>
      </c>
      <c r="ET29" s="45">
        <v>3087</v>
      </c>
      <c r="EU29" s="43">
        <v>3390</v>
      </c>
      <c r="EV29" s="44">
        <f t="shared" si="66"/>
        <v>9.8153547133138961</v>
      </c>
      <c r="EY29" s="24"/>
      <c r="EZ29" s="25"/>
      <c r="FA29" s="25"/>
      <c r="FB29" s="32"/>
      <c r="FC29" s="27"/>
      <c r="FD29" s="25"/>
      <c r="FE29" s="32"/>
    </row>
    <row r="30" spans="1:161" x14ac:dyDescent="0.5">
      <c r="A30" s="168"/>
      <c r="B30" s="168" t="s">
        <v>54</v>
      </c>
      <c r="C30" s="169">
        <v>16993</v>
      </c>
      <c r="D30" s="169">
        <v>16077</v>
      </c>
      <c r="E30" s="167">
        <f t="shared" si="67"/>
        <v>-5.3904548931913139</v>
      </c>
      <c r="F30" s="169">
        <v>13412</v>
      </c>
      <c r="G30" s="166">
        <f t="shared" si="85"/>
        <v>16077</v>
      </c>
      <c r="H30" s="167">
        <f t="shared" si="49"/>
        <v>19.870265433939753</v>
      </c>
      <c r="I30" s="168"/>
      <c r="J30" s="168" t="s">
        <v>54</v>
      </c>
      <c r="K30" s="169">
        <v>14823</v>
      </c>
      <c r="L30" s="169">
        <v>13412</v>
      </c>
      <c r="M30" s="167">
        <f t="shared" si="68"/>
        <v>-9.5189907576064225</v>
      </c>
      <c r="N30" s="169">
        <v>14119</v>
      </c>
      <c r="O30" s="169">
        <v>13412</v>
      </c>
      <c r="P30" s="167">
        <f t="shared" si="50"/>
        <v>-5.0074367873078831</v>
      </c>
      <c r="Q30" s="168"/>
      <c r="R30" s="168" t="s">
        <v>54</v>
      </c>
      <c r="S30" s="169">
        <v>16697</v>
      </c>
      <c r="T30" s="169">
        <v>14119</v>
      </c>
      <c r="U30" s="167">
        <f t="shared" si="69"/>
        <v>-15.439899383122716</v>
      </c>
      <c r="V30" s="169">
        <v>10396</v>
      </c>
      <c r="W30" s="169">
        <v>14119</v>
      </c>
      <c r="X30" s="167">
        <f t="shared" si="51"/>
        <v>35.811850711812241</v>
      </c>
      <c r="Y30" s="168"/>
      <c r="Z30" s="168" t="s">
        <v>54</v>
      </c>
      <c r="AA30" s="169">
        <v>12829</v>
      </c>
      <c r="AB30" s="169">
        <v>10396</v>
      </c>
      <c r="AC30" s="167">
        <f t="shared" si="70"/>
        <v>-18.964845272429649</v>
      </c>
      <c r="AD30" s="169">
        <v>10689</v>
      </c>
      <c r="AE30" s="169">
        <v>10396</v>
      </c>
      <c r="AF30" s="167">
        <f t="shared" si="52"/>
        <v>-2.7411357470296567</v>
      </c>
      <c r="AG30" s="168"/>
      <c r="AH30" s="168" t="s">
        <v>54</v>
      </c>
      <c r="AI30" s="169">
        <v>13309</v>
      </c>
      <c r="AJ30" s="169">
        <v>10689</v>
      </c>
      <c r="AK30" s="167">
        <f t="shared" si="71"/>
        <v>-19.685926816440002</v>
      </c>
      <c r="AL30" s="169">
        <v>3868</v>
      </c>
      <c r="AM30" s="169">
        <v>10689</v>
      </c>
      <c r="AN30" s="167">
        <f t="shared" si="53"/>
        <v>176.34436401240953</v>
      </c>
      <c r="AO30" s="168"/>
      <c r="AP30" s="168" t="s">
        <v>54</v>
      </c>
      <c r="AQ30" s="169">
        <v>8837</v>
      </c>
      <c r="AR30" s="169">
        <v>3868</v>
      </c>
      <c r="AS30" s="167">
        <f t="shared" si="72"/>
        <v>-56.229489645807398</v>
      </c>
      <c r="AT30" s="169">
        <v>11488</v>
      </c>
      <c r="AU30" s="169">
        <v>3868</v>
      </c>
      <c r="AV30" s="167">
        <f t="shared" si="54"/>
        <v>-66.330083565459603</v>
      </c>
      <c r="AW30" s="168"/>
      <c r="AX30" s="168" t="s">
        <v>54</v>
      </c>
      <c r="AY30" s="169">
        <v>14040</v>
      </c>
      <c r="AZ30" s="169">
        <v>11488</v>
      </c>
      <c r="BA30" s="167">
        <f t="shared" si="73"/>
        <v>-18.176638176638178</v>
      </c>
      <c r="BB30" s="169">
        <v>12200</v>
      </c>
      <c r="BC30" s="169">
        <v>11488</v>
      </c>
      <c r="BD30" s="167">
        <f t="shared" si="55"/>
        <v>-5.8360655737704912</v>
      </c>
      <c r="BE30" s="168"/>
      <c r="BF30" s="168" t="s">
        <v>54</v>
      </c>
      <c r="BG30" s="169">
        <v>14040</v>
      </c>
      <c r="BH30" s="169">
        <v>12200</v>
      </c>
      <c r="BI30" s="167">
        <f t="shared" si="74"/>
        <v>-13.105413105413104</v>
      </c>
      <c r="BJ30" s="169">
        <v>8121</v>
      </c>
      <c r="BK30" s="169">
        <v>12200</v>
      </c>
      <c r="BL30" s="167">
        <f t="shared" si="56"/>
        <v>50.227804457579118</v>
      </c>
      <c r="BM30" s="168"/>
      <c r="BN30" s="168" t="s">
        <v>54</v>
      </c>
      <c r="BO30" s="169">
        <v>10729</v>
      </c>
      <c r="BP30" s="169">
        <v>8121</v>
      </c>
      <c r="BQ30" s="167">
        <f t="shared" si="75"/>
        <v>-24.307950414763724</v>
      </c>
      <c r="BR30" s="169">
        <v>8137</v>
      </c>
      <c r="BS30" s="169">
        <v>8121</v>
      </c>
      <c r="BT30" s="167">
        <f t="shared" si="57"/>
        <v>-0.19663266560157305</v>
      </c>
      <c r="BU30" s="168"/>
      <c r="BV30" s="168" t="s">
        <v>54</v>
      </c>
      <c r="BW30" s="169">
        <v>13743</v>
      </c>
      <c r="BX30" s="169">
        <v>8137</v>
      </c>
      <c r="BY30" s="167">
        <f t="shared" si="76"/>
        <v>-40.791675762206211</v>
      </c>
      <c r="BZ30" s="169">
        <v>6667</v>
      </c>
      <c r="CA30" s="169">
        <v>8137</v>
      </c>
      <c r="CB30" s="167">
        <f t="shared" si="58"/>
        <v>22.048897555122242</v>
      </c>
      <c r="CC30" s="73"/>
      <c r="CD30" s="168"/>
      <c r="CE30" s="168" t="s">
        <v>54</v>
      </c>
      <c r="CF30" s="169">
        <v>9000</v>
      </c>
      <c r="CG30" s="169">
        <v>6667</v>
      </c>
      <c r="CH30" s="167">
        <f t="shared" si="77"/>
        <v>-25.922222222222224</v>
      </c>
      <c r="CI30" s="169">
        <v>7916</v>
      </c>
      <c r="CJ30" s="169">
        <v>6667</v>
      </c>
      <c r="CK30" s="167">
        <f t="shared" si="59"/>
        <v>-15.778170793329965</v>
      </c>
      <c r="CL30" s="73"/>
      <c r="CM30" s="168" t="s">
        <v>54</v>
      </c>
      <c r="CN30" s="169">
        <v>9164</v>
      </c>
      <c r="CO30" s="169">
        <v>7916</v>
      </c>
      <c r="CP30" s="167">
        <f t="shared" si="78"/>
        <v>-13.618507202095154</v>
      </c>
      <c r="CQ30" s="169">
        <v>7196</v>
      </c>
      <c r="CR30" s="169">
        <v>7916</v>
      </c>
      <c r="CS30" s="167">
        <f t="shared" si="60"/>
        <v>10.005558643690939</v>
      </c>
      <c r="CT30" s="167"/>
      <c r="CU30" s="73"/>
      <c r="CV30" s="226"/>
      <c r="CW30" s="226" t="s">
        <v>54</v>
      </c>
      <c r="CX30" s="227">
        <v>10327</v>
      </c>
      <c r="CY30" s="227">
        <v>7196</v>
      </c>
      <c r="CZ30" s="225">
        <f t="shared" si="79"/>
        <v>-30.318582356928442</v>
      </c>
      <c r="DA30" s="227">
        <v>6269</v>
      </c>
      <c r="DB30" s="227">
        <v>7196</v>
      </c>
      <c r="DC30" s="225">
        <f t="shared" si="80"/>
        <v>14.78704737597703</v>
      </c>
      <c r="DD30" s="73"/>
      <c r="DE30" s="152"/>
      <c r="DF30" s="152" t="s">
        <v>54</v>
      </c>
      <c r="DG30" s="148">
        <v>5863</v>
      </c>
      <c r="DH30" s="148">
        <v>4318</v>
      </c>
      <c r="DI30" s="151">
        <f t="shared" si="81"/>
        <v>-26.351697083404403</v>
      </c>
      <c r="DJ30" s="148">
        <v>4479</v>
      </c>
      <c r="DK30" s="148">
        <v>4318</v>
      </c>
      <c r="DL30" s="151">
        <f t="shared" si="82"/>
        <v>-3.5945523554364813</v>
      </c>
      <c r="DM30" s="155"/>
      <c r="DN30" s="89"/>
      <c r="DO30" s="89" t="s">
        <v>54</v>
      </c>
      <c r="DP30" s="90">
        <v>4968</v>
      </c>
      <c r="DQ30" s="90">
        <v>4479</v>
      </c>
      <c r="DR30" s="129">
        <f t="shared" si="83"/>
        <v>-9.8429951690821262</v>
      </c>
      <c r="DS30" s="90">
        <v>2544</v>
      </c>
      <c r="DT30" s="90">
        <v>4479</v>
      </c>
      <c r="DU30" s="129">
        <f t="shared" si="84"/>
        <v>76.061320754716974</v>
      </c>
      <c r="DV30" s="127"/>
      <c r="DW30" s="42"/>
      <c r="DX30" s="42" t="s">
        <v>54</v>
      </c>
      <c r="DY30" s="43">
        <v>2875</v>
      </c>
      <c r="DZ30" s="43">
        <v>2544</v>
      </c>
      <c r="EA30" s="44">
        <f t="shared" si="61"/>
        <v>-11.513043478260869</v>
      </c>
      <c r="EB30" s="45">
        <v>3516</v>
      </c>
      <c r="EC30" s="43">
        <v>2544</v>
      </c>
      <c r="ED30" s="44">
        <f t="shared" si="62"/>
        <v>-27.645051194539249</v>
      </c>
      <c r="EE30" s="61"/>
      <c r="EF30" s="89"/>
      <c r="EG30" s="89" t="s">
        <v>54</v>
      </c>
      <c r="EH30" s="90">
        <v>4408</v>
      </c>
      <c r="EI30" s="90">
        <v>3516</v>
      </c>
      <c r="EJ30" s="91">
        <f t="shared" si="63"/>
        <v>-20.235934664246823</v>
      </c>
      <c r="EK30" s="92">
        <v>2713</v>
      </c>
      <c r="EL30" s="90">
        <v>3516</v>
      </c>
      <c r="EM30" s="91">
        <f t="shared" si="64"/>
        <v>29.598230740877256</v>
      </c>
      <c r="EN30" s="61"/>
      <c r="EO30" s="42"/>
      <c r="EP30" s="42" t="s">
        <v>54</v>
      </c>
      <c r="EQ30" s="43">
        <v>3056</v>
      </c>
      <c r="ER30" s="43">
        <v>2713</v>
      </c>
      <c r="ES30" s="44">
        <f t="shared" si="65"/>
        <v>-11.223821989528796</v>
      </c>
      <c r="ET30" s="45">
        <v>2917</v>
      </c>
      <c r="EU30" s="43">
        <v>2713</v>
      </c>
      <c r="EV30" s="44">
        <f t="shared" si="66"/>
        <v>-6.9934864586904357</v>
      </c>
      <c r="EY30" s="24"/>
      <c r="EZ30" s="25"/>
      <c r="FA30" s="25"/>
      <c r="FB30" s="32"/>
      <c r="FC30" s="27"/>
      <c r="FD30" s="25"/>
      <c r="FE30" s="32"/>
    </row>
    <row r="31" spans="1:161" s="1" customFormat="1" ht="21" x14ac:dyDescent="0.45">
      <c r="A31" s="165" t="s">
        <v>2</v>
      </c>
      <c r="B31" s="165" t="s">
        <v>55</v>
      </c>
      <c r="C31" s="166">
        <v>80914</v>
      </c>
      <c r="D31" s="166">
        <v>65730</v>
      </c>
      <c r="E31" s="167">
        <f t="shared" si="67"/>
        <v>-18.765602985886247</v>
      </c>
      <c r="F31" s="166">
        <v>70160</v>
      </c>
      <c r="G31" s="166">
        <f t="shared" si="85"/>
        <v>65730</v>
      </c>
      <c r="H31" s="167">
        <f t="shared" si="49"/>
        <v>-6.3141391106043336</v>
      </c>
      <c r="I31" s="165" t="s">
        <v>2</v>
      </c>
      <c r="J31" s="165" t="s">
        <v>55</v>
      </c>
      <c r="K31" s="166">
        <v>95089</v>
      </c>
      <c r="L31" s="166">
        <v>70160</v>
      </c>
      <c r="M31" s="167">
        <f t="shared" si="68"/>
        <v>-26.216491918097784</v>
      </c>
      <c r="N31" s="166">
        <v>79940</v>
      </c>
      <c r="O31" s="166">
        <v>70160</v>
      </c>
      <c r="P31" s="167">
        <f t="shared" si="50"/>
        <v>-12.234175631723792</v>
      </c>
      <c r="Q31" s="165" t="s">
        <v>2</v>
      </c>
      <c r="R31" s="165" t="s">
        <v>55</v>
      </c>
      <c r="S31" s="166">
        <v>98381</v>
      </c>
      <c r="T31" s="166">
        <v>79940</v>
      </c>
      <c r="U31" s="167">
        <f t="shared" si="69"/>
        <v>-18.744473018164076</v>
      </c>
      <c r="V31" s="166">
        <v>55696</v>
      </c>
      <c r="W31" s="166">
        <v>79940</v>
      </c>
      <c r="X31" s="167">
        <f t="shared" si="51"/>
        <v>43.529158287848318</v>
      </c>
      <c r="Y31" s="165" t="s">
        <v>2</v>
      </c>
      <c r="Z31" s="165" t="s">
        <v>55</v>
      </c>
      <c r="AA31" s="166">
        <v>93840</v>
      </c>
      <c r="AB31" s="166">
        <v>55696</v>
      </c>
      <c r="AC31" s="167">
        <f t="shared" si="70"/>
        <v>-40.647911338448424</v>
      </c>
      <c r="AD31" s="166">
        <v>52880</v>
      </c>
      <c r="AE31" s="166">
        <v>55696</v>
      </c>
      <c r="AF31" s="167">
        <f t="shared" si="52"/>
        <v>5.3252647503782145</v>
      </c>
      <c r="AG31" s="165" t="s">
        <v>2</v>
      </c>
      <c r="AH31" s="165" t="s">
        <v>55</v>
      </c>
      <c r="AI31" s="166">
        <v>104506</v>
      </c>
      <c r="AJ31" s="166">
        <v>52880</v>
      </c>
      <c r="AK31" s="167">
        <f t="shared" si="71"/>
        <v>-49.4000344477829</v>
      </c>
      <c r="AL31" s="166">
        <v>20326</v>
      </c>
      <c r="AM31" s="166">
        <v>52880</v>
      </c>
      <c r="AN31" s="167">
        <f t="shared" si="53"/>
        <v>160.15940175145133</v>
      </c>
      <c r="AO31" s="165" t="s">
        <v>2</v>
      </c>
      <c r="AP31" s="165" t="s">
        <v>55</v>
      </c>
      <c r="AQ31" s="166">
        <v>89795</v>
      </c>
      <c r="AR31" s="166">
        <v>20326</v>
      </c>
      <c r="AS31" s="167">
        <f t="shared" si="72"/>
        <v>-77.363995768138537</v>
      </c>
      <c r="AT31" s="166">
        <v>67114</v>
      </c>
      <c r="AU31" s="166">
        <v>20326</v>
      </c>
      <c r="AV31" s="167">
        <f t="shared" si="54"/>
        <v>-69.714217599904643</v>
      </c>
      <c r="AW31" s="165" t="s">
        <v>2</v>
      </c>
      <c r="AX31" s="165" t="s">
        <v>55</v>
      </c>
      <c r="AY31" s="166">
        <v>117708</v>
      </c>
      <c r="AZ31" s="166">
        <v>67114</v>
      </c>
      <c r="BA31" s="167">
        <f t="shared" si="73"/>
        <v>-42.982634995072559</v>
      </c>
      <c r="BB31" s="166">
        <v>72571</v>
      </c>
      <c r="BC31" s="166">
        <v>67114</v>
      </c>
      <c r="BD31" s="167">
        <f t="shared" si="55"/>
        <v>-7.519532595664935</v>
      </c>
      <c r="BE31" s="165" t="s">
        <v>2</v>
      </c>
      <c r="BF31" s="165" t="s">
        <v>55</v>
      </c>
      <c r="BG31" s="166">
        <v>110946</v>
      </c>
      <c r="BH31" s="166">
        <v>72571</v>
      </c>
      <c r="BI31" s="167">
        <f t="shared" si="74"/>
        <v>-34.588899104068645</v>
      </c>
      <c r="BJ31" s="166">
        <v>68927</v>
      </c>
      <c r="BK31" s="166">
        <v>72571</v>
      </c>
      <c r="BL31" s="167">
        <f t="shared" si="56"/>
        <v>5.2867526513557817</v>
      </c>
      <c r="BM31" s="165" t="s">
        <v>2</v>
      </c>
      <c r="BN31" s="165" t="s">
        <v>55</v>
      </c>
      <c r="BO31" s="166">
        <v>105967</v>
      </c>
      <c r="BP31" s="166">
        <v>68927</v>
      </c>
      <c r="BQ31" s="167">
        <f t="shared" si="75"/>
        <v>-34.954278218690725</v>
      </c>
      <c r="BR31" s="166">
        <v>80491</v>
      </c>
      <c r="BS31" s="166">
        <v>68927</v>
      </c>
      <c r="BT31" s="167">
        <f t="shared" si="57"/>
        <v>-14.366823620032054</v>
      </c>
      <c r="BU31" s="165" t="s">
        <v>2</v>
      </c>
      <c r="BV31" s="165" t="s">
        <v>55</v>
      </c>
      <c r="BW31" s="166">
        <v>109334</v>
      </c>
      <c r="BX31" s="166">
        <v>80491</v>
      </c>
      <c r="BY31" s="167">
        <f t="shared" si="76"/>
        <v>-26.380631825415701</v>
      </c>
      <c r="BZ31" s="166">
        <v>82130</v>
      </c>
      <c r="CA31" s="166">
        <v>80491</v>
      </c>
      <c r="CB31" s="167">
        <f t="shared" si="58"/>
        <v>-1.9956167052234262</v>
      </c>
      <c r="CC31" s="73"/>
      <c r="CD31" s="165" t="s">
        <v>2</v>
      </c>
      <c r="CE31" s="165" t="s">
        <v>55</v>
      </c>
      <c r="CF31" s="166">
        <v>127619</v>
      </c>
      <c r="CG31" s="166">
        <v>82130</v>
      </c>
      <c r="CH31" s="167">
        <f t="shared" si="77"/>
        <v>-35.644378971783198</v>
      </c>
      <c r="CI31" s="166">
        <v>69804</v>
      </c>
      <c r="CJ31" s="166">
        <v>82130</v>
      </c>
      <c r="CK31" s="167">
        <f t="shared" si="59"/>
        <v>17.65801386740015</v>
      </c>
      <c r="CL31" s="73"/>
      <c r="CM31" s="165" t="s">
        <v>55</v>
      </c>
      <c r="CN31" s="166">
        <v>113313</v>
      </c>
      <c r="CO31" s="166">
        <v>69804</v>
      </c>
      <c r="CP31" s="167">
        <f t="shared" si="78"/>
        <v>-38.397183024013131</v>
      </c>
      <c r="CQ31" s="166">
        <v>68205</v>
      </c>
      <c r="CR31" s="166">
        <v>69804</v>
      </c>
      <c r="CS31" s="167">
        <f t="shared" si="60"/>
        <v>2.3444029030129756</v>
      </c>
      <c r="CT31" s="167"/>
      <c r="CU31" s="73"/>
      <c r="CV31" s="224" t="s">
        <v>2</v>
      </c>
      <c r="CW31" s="224" t="s">
        <v>55</v>
      </c>
      <c r="CX31" s="238">
        <v>102742</v>
      </c>
      <c r="CY31" s="238">
        <v>67641</v>
      </c>
      <c r="CZ31" s="225">
        <f t="shared" si="79"/>
        <v>-34.164217165326747</v>
      </c>
      <c r="DA31" s="238">
        <v>55433</v>
      </c>
      <c r="DB31" s="238">
        <v>67641</v>
      </c>
      <c r="DC31" s="225">
        <f t="shared" si="80"/>
        <v>22.02298269983584</v>
      </c>
      <c r="DD31" s="73"/>
      <c r="DE31" s="150" t="s">
        <v>2</v>
      </c>
      <c r="DF31" s="150" t="s">
        <v>55</v>
      </c>
      <c r="DG31" s="147">
        <v>85626</v>
      </c>
      <c r="DH31" s="147">
        <v>52191</v>
      </c>
      <c r="DI31" s="151">
        <f t="shared" si="81"/>
        <v>-39.047719150725243</v>
      </c>
      <c r="DJ31" s="147">
        <v>57139</v>
      </c>
      <c r="DK31" s="147">
        <v>52191</v>
      </c>
      <c r="DL31" s="151">
        <f t="shared" si="82"/>
        <v>-8.6595845219552317</v>
      </c>
      <c r="DM31" s="155"/>
      <c r="DN31" s="86" t="s">
        <v>2</v>
      </c>
      <c r="DO31" s="86" t="s">
        <v>55</v>
      </c>
      <c r="DP31" s="87">
        <v>84097</v>
      </c>
      <c r="DQ31" s="87">
        <v>57139</v>
      </c>
      <c r="DR31" s="126">
        <f t="shared" si="83"/>
        <v>-32.055840279677042</v>
      </c>
      <c r="DS31" s="87">
        <v>28663</v>
      </c>
      <c r="DT31" s="87">
        <v>57139</v>
      </c>
      <c r="DU31" s="126">
        <f t="shared" si="84"/>
        <v>99.347590970938143</v>
      </c>
      <c r="DV31" s="127"/>
      <c r="DW31" s="63" t="s">
        <v>2</v>
      </c>
      <c r="DX31" s="63" t="s">
        <v>55</v>
      </c>
      <c r="DY31" s="68">
        <v>44742</v>
      </c>
      <c r="DZ31" s="68">
        <v>28663</v>
      </c>
      <c r="EA31" s="65">
        <f t="shared" si="61"/>
        <v>-35.93715077555764</v>
      </c>
      <c r="EB31" s="68">
        <v>52900</v>
      </c>
      <c r="EC31" s="68">
        <v>28663</v>
      </c>
      <c r="ED31" s="65">
        <f t="shared" si="62"/>
        <v>-45.816635160680534</v>
      </c>
      <c r="EE31" s="73"/>
      <c r="EF31" s="86" t="s">
        <v>2</v>
      </c>
      <c r="EG31" s="86" t="s">
        <v>55</v>
      </c>
      <c r="EH31" s="87">
        <v>72972</v>
      </c>
      <c r="EI31" s="87">
        <v>52900</v>
      </c>
      <c r="EJ31" s="88">
        <f t="shared" si="63"/>
        <v>-27.506440826618427</v>
      </c>
      <c r="EK31" s="87">
        <v>43115</v>
      </c>
      <c r="EL31" s="87">
        <v>52900</v>
      </c>
      <c r="EM31" s="88">
        <f t="shared" si="64"/>
        <v>22.695117708454134</v>
      </c>
      <c r="EN31" s="73"/>
      <c r="EO31" s="63" t="s">
        <v>2</v>
      </c>
      <c r="EP31" s="63" t="s">
        <v>55</v>
      </c>
      <c r="EQ31" s="68">
        <v>60217</v>
      </c>
      <c r="ER31" s="68">
        <v>43115</v>
      </c>
      <c r="ES31" s="65">
        <f t="shared" si="65"/>
        <v>-28.400617765747217</v>
      </c>
      <c r="ET31" s="68">
        <v>35972</v>
      </c>
      <c r="EU31" s="68">
        <v>43115</v>
      </c>
      <c r="EV31" s="65">
        <f t="shared" si="66"/>
        <v>19.857111086400533</v>
      </c>
      <c r="EY31" s="69" t="s">
        <v>2</v>
      </c>
      <c r="EZ31" s="70">
        <v>53578</v>
      </c>
      <c r="FA31" s="70">
        <v>35972</v>
      </c>
      <c r="FB31" s="71">
        <f>(FA31-EZ31)/EZ31*100</f>
        <v>-32.860502445033404</v>
      </c>
      <c r="FC31" s="72">
        <v>30307</v>
      </c>
      <c r="FD31" s="70">
        <v>35972</v>
      </c>
      <c r="FE31" s="71">
        <f>(FD31-FC31)/FC31*100</f>
        <v>18.692051341274293</v>
      </c>
    </row>
    <row r="32" spans="1:161" x14ac:dyDescent="0.5">
      <c r="A32" s="168"/>
      <c r="B32" s="168" t="s">
        <v>56</v>
      </c>
      <c r="C32" s="170">
        <v>57416.070262022004</v>
      </c>
      <c r="D32" s="170">
        <v>46031.326411053204</v>
      </c>
      <c r="E32" s="167">
        <f t="shared" si="67"/>
        <v>-19.828497142026222</v>
      </c>
      <c r="F32" s="170">
        <v>48146.789675020002</v>
      </c>
      <c r="G32" s="166">
        <f t="shared" si="85"/>
        <v>46031.326411053204</v>
      </c>
      <c r="H32" s="167">
        <f t="shared" si="49"/>
        <v>-4.3937784393221211</v>
      </c>
      <c r="I32" s="168"/>
      <c r="J32" s="168" t="s">
        <v>56</v>
      </c>
      <c r="K32" s="170">
        <v>67926.072737140013</v>
      </c>
      <c r="L32" s="170">
        <v>48146.789675020002</v>
      </c>
      <c r="M32" s="167">
        <f t="shared" si="68"/>
        <v>-29.118837973544835</v>
      </c>
      <c r="N32" s="170">
        <v>50164.308916690046</v>
      </c>
      <c r="O32" s="170">
        <v>48146.789675020002</v>
      </c>
      <c r="P32" s="167">
        <f t="shared" si="50"/>
        <v>-4.0218220588279658</v>
      </c>
      <c r="Q32" s="168"/>
      <c r="R32" s="168" t="s">
        <v>56</v>
      </c>
      <c r="S32" s="170">
        <v>60648.569731929972</v>
      </c>
      <c r="T32" s="170">
        <v>50164.308916690046</v>
      </c>
      <c r="U32" s="167">
        <f t="shared" si="69"/>
        <v>-17.286905299796743</v>
      </c>
      <c r="V32" s="170">
        <v>33480.956707543613</v>
      </c>
      <c r="W32" s="170">
        <v>50164.308916690046</v>
      </c>
      <c r="X32" s="167">
        <f t="shared" si="51"/>
        <v>49.829377203511918</v>
      </c>
      <c r="Y32" s="168"/>
      <c r="Z32" s="168" t="s">
        <v>56</v>
      </c>
      <c r="AA32" s="170">
        <v>55853.299831860117</v>
      </c>
      <c r="AB32" s="170">
        <v>33480.956707543613</v>
      </c>
      <c r="AC32" s="167">
        <f t="shared" si="70"/>
        <v>-40.055544062151831</v>
      </c>
      <c r="AD32" s="170">
        <v>30071.588991967299</v>
      </c>
      <c r="AE32" s="170">
        <v>33480.956707543613</v>
      </c>
      <c r="AF32" s="167">
        <f t="shared" si="52"/>
        <v>11.337504368282708</v>
      </c>
      <c r="AG32" s="168"/>
      <c r="AH32" s="168" t="s">
        <v>56</v>
      </c>
      <c r="AI32" s="170">
        <v>58564.249615065019</v>
      </c>
      <c r="AJ32" s="170">
        <v>30071.588991967299</v>
      </c>
      <c r="AK32" s="167">
        <f t="shared" si="71"/>
        <v>-48.651969094415392</v>
      </c>
      <c r="AL32" s="170">
        <v>12389.069433295401</v>
      </c>
      <c r="AM32" s="170">
        <v>30071.588991967299</v>
      </c>
      <c r="AN32" s="167">
        <f t="shared" si="53"/>
        <v>142.72677745392602</v>
      </c>
      <c r="AO32" s="168"/>
      <c r="AP32" s="168" t="s">
        <v>56</v>
      </c>
      <c r="AQ32" s="170">
        <v>49112.9256708334</v>
      </c>
      <c r="AR32" s="170">
        <v>12389.069433295401</v>
      </c>
      <c r="AS32" s="167">
        <f t="shared" si="72"/>
        <v>-74.774320071400524</v>
      </c>
      <c r="AT32" s="170">
        <v>35545.33</v>
      </c>
      <c r="AU32" s="170">
        <v>12389.069433295401</v>
      </c>
      <c r="AV32" s="167">
        <f t="shared" si="54"/>
        <v>-65.145718345292053</v>
      </c>
      <c r="AW32" s="168"/>
      <c r="AX32" s="168" t="s">
        <v>56</v>
      </c>
      <c r="AY32" s="170">
        <v>59785.59</v>
      </c>
      <c r="AZ32" s="170">
        <v>35545.33</v>
      </c>
      <c r="BA32" s="167">
        <f t="shared" si="73"/>
        <v>-40.545322041649165</v>
      </c>
      <c r="BB32" s="170">
        <v>36654.03</v>
      </c>
      <c r="BC32" s="170">
        <v>35545.33</v>
      </c>
      <c r="BD32" s="167">
        <f t="shared" si="55"/>
        <v>-3.0247697183638391</v>
      </c>
      <c r="BE32" s="168"/>
      <c r="BF32" s="168" t="s">
        <v>56</v>
      </c>
      <c r="BG32" s="170">
        <v>58925.47</v>
      </c>
      <c r="BH32" s="170">
        <v>36654.03</v>
      </c>
      <c r="BI32" s="167">
        <f t="shared" si="74"/>
        <v>-37.795948000075356</v>
      </c>
      <c r="BJ32" s="170">
        <v>38167.160000000003</v>
      </c>
      <c r="BK32" s="170">
        <v>36654.03</v>
      </c>
      <c r="BL32" s="167">
        <f t="shared" si="56"/>
        <v>-3.9644815071386099</v>
      </c>
      <c r="BM32" s="168"/>
      <c r="BN32" s="168" t="s">
        <v>56</v>
      </c>
      <c r="BO32" s="170">
        <v>54395.3</v>
      </c>
      <c r="BP32" s="170">
        <v>38167.160000000003</v>
      </c>
      <c r="BQ32" s="167">
        <f t="shared" si="75"/>
        <v>-29.833717251306634</v>
      </c>
      <c r="BR32" s="170">
        <v>43084.55</v>
      </c>
      <c r="BS32" s="170">
        <v>38167.160000000003</v>
      </c>
      <c r="BT32" s="167">
        <f t="shared" si="57"/>
        <v>-11.41334886867798</v>
      </c>
      <c r="BU32" s="168"/>
      <c r="BV32" s="168" t="s">
        <v>56</v>
      </c>
      <c r="BW32" s="170">
        <v>57335.79</v>
      </c>
      <c r="BX32" s="170">
        <v>43084.55</v>
      </c>
      <c r="BY32" s="167">
        <f t="shared" si="76"/>
        <v>-24.855748913549455</v>
      </c>
      <c r="BZ32" s="170">
        <v>39102.629999999997</v>
      </c>
      <c r="CA32" s="170">
        <v>43084.55</v>
      </c>
      <c r="CB32" s="167">
        <f t="shared" si="58"/>
        <v>10.183253658385654</v>
      </c>
      <c r="CC32" s="73"/>
      <c r="CD32" s="168"/>
      <c r="CE32" s="168" t="s">
        <v>56</v>
      </c>
      <c r="CF32" s="170">
        <v>57113.39</v>
      </c>
      <c r="CG32" s="170">
        <v>39102.629999999997</v>
      </c>
      <c r="CH32" s="167">
        <f t="shared" si="77"/>
        <v>-31.535091858494134</v>
      </c>
      <c r="CI32" s="170">
        <v>33080.120000000003</v>
      </c>
      <c r="CJ32" s="170">
        <v>39102.629999999997</v>
      </c>
      <c r="CK32" s="167">
        <f t="shared" si="59"/>
        <v>18.205828757574018</v>
      </c>
      <c r="CL32" s="73"/>
      <c r="CM32" s="168" t="s">
        <v>56</v>
      </c>
      <c r="CN32" s="170">
        <v>52843.89</v>
      </c>
      <c r="CO32" s="170">
        <v>33080.120000000003</v>
      </c>
      <c r="CP32" s="167">
        <f t="shared" si="78"/>
        <v>-37.400293581717769</v>
      </c>
      <c r="CQ32" s="170">
        <v>30775.13</v>
      </c>
      <c r="CR32" s="170">
        <v>33080.120000000003</v>
      </c>
      <c r="CS32" s="167">
        <f t="shared" si="60"/>
        <v>7.4897815216377683</v>
      </c>
      <c r="CT32" s="167"/>
      <c r="CU32" s="73"/>
      <c r="CV32" s="226"/>
      <c r="CW32" s="226" t="s">
        <v>56</v>
      </c>
      <c r="CX32" s="228">
        <v>44548.28</v>
      </c>
      <c r="CY32" s="228">
        <v>30607.86</v>
      </c>
      <c r="CZ32" s="225">
        <f t="shared" si="79"/>
        <v>-31.292835548308485</v>
      </c>
      <c r="DA32" s="228">
        <v>26516.05</v>
      </c>
      <c r="DB32" s="228">
        <v>30607.86</v>
      </c>
      <c r="DC32" s="225">
        <f t="shared" si="80"/>
        <v>15.431446237278937</v>
      </c>
      <c r="DD32" s="73"/>
      <c r="DE32" s="152"/>
      <c r="DF32" s="152" t="s">
        <v>56</v>
      </c>
      <c r="DG32" s="149">
        <v>37742.82</v>
      </c>
      <c r="DH32" s="149">
        <v>23191.86</v>
      </c>
      <c r="DI32" s="151">
        <f t="shared" si="81"/>
        <v>-38.552922118697012</v>
      </c>
      <c r="DJ32" s="149">
        <v>26437.21</v>
      </c>
      <c r="DK32" s="149">
        <v>23191.86</v>
      </c>
      <c r="DL32" s="151">
        <f t="shared" si="82"/>
        <v>-12.275690210880795</v>
      </c>
      <c r="DM32" s="155"/>
      <c r="DN32" s="89"/>
      <c r="DO32" s="89" t="s">
        <v>56</v>
      </c>
      <c r="DP32" s="93">
        <v>39222.370000000003</v>
      </c>
      <c r="DQ32" s="93">
        <v>26437.21</v>
      </c>
      <c r="DR32" s="129">
        <f t="shared" si="83"/>
        <v>-32.596602398070289</v>
      </c>
      <c r="DS32" s="93">
        <v>13269.59</v>
      </c>
      <c r="DT32" s="93">
        <v>26437.21</v>
      </c>
      <c r="DU32" s="129">
        <f t="shared" si="84"/>
        <v>99.231551238583847</v>
      </c>
      <c r="DV32" s="130"/>
      <c r="DW32" s="42"/>
      <c r="DX32" s="42" t="s">
        <v>56</v>
      </c>
      <c r="DY32" s="66">
        <v>19841.11</v>
      </c>
      <c r="DZ32" s="66">
        <v>13269.59</v>
      </c>
      <c r="EA32" s="44">
        <f t="shared" si="61"/>
        <v>-33.120727620581711</v>
      </c>
      <c r="EB32" s="67">
        <v>24092.1</v>
      </c>
      <c r="EC32" s="66">
        <v>13269.59</v>
      </c>
      <c r="ED32" s="44">
        <f t="shared" si="62"/>
        <v>-44.921405772016548</v>
      </c>
      <c r="EE32" s="61"/>
      <c r="EF32" s="89"/>
      <c r="EG32" s="89" t="s">
        <v>56</v>
      </c>
      <c r="EH32" s="93">
        <v>32269.95</v>
      </c>
      <c r="EI32" s="93">
        <v>23779.55</v>
      </c>
      <c r="EJ32" s="91">
        <f t="shared" si="63"/>
        <v>-26.31054587937075</v>
      </c>
      <c r="EK32" s="94">
        <v>18872.740000000002</v>
      </c>
      <c r="EL32" s="93">
        <v>23779.55</v>
      </c>
      <c r="EM32" s="91">
        <f t="shared" si="64"/>
        <v>25.99945741847764</v>
      </c>
      <c r="EN32" s="61"/>
      <c r="EO32" s="42"/>
      <c r="EP32" s="42" t="s">
        <v>56</v>
      </c>
      <c r="EQ32" s="66">
        <v>23367.19</v>
      </c>
      <c r="ER32" s="66">
        <v>18872.240000000002</v>
      </c>
      <c r="ES32" s="44">
        <f t="shared" si="65"/>
        <v>-19.236159760758557</v>
      </c>
      <c r="ET32" s="67">
        <v>15824.43</v>
      </c>
      <c r="EU32" s="66">
        <v>18872.240000000002</v>
      </c>
      <c r="EV32" s="44">
        <f t="shared" si="66"/>
        <v>19.260156605956745</v>
      </c>
      <c r="EY32" s="24"/>
      <c r="EZ32" s="25"/>
      <c r="FA32" s="25"/>
      <c r="FB32" s="32"/>
      <c r="FC32" s="27"/>
      <c r="FD32" s="25"/>
      <c r="FE32" s="32"/>
    </row>
    <row r="33" spans="109:141" x14ac:dyDescent="0.5">
      <c r="DE33"/>
      <c r="DM33" s="153"/>
      <c r="EB33" s="97"/>
      <c r="EK33" s="97"/>
    </row>
  </sheetData>
  <phoneticPr fontId="10" type="noConversion"/>
  <pageMargins left="0.55118110236220474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N33"/>
  <sheetViews>
    <sheetView view="pageBreakPreview" topLeftCell="A4" zoomScale="120" zoomScaleSheetLayoutView="120" workbookViewId="0">
      <selection sqref="A1:H33"/>
    </sheetView>
  </sheetViews>
  <sheetFormatPr defaultRowHeight="21.75" x14ac:dyDescent="0.5"/>
  <cols>
    <col min="2" max="2" width="23.5703125" customWidth="1"/>
    <col min="10" max="10" width="23.5703125" customWidth="1"/>
    <col min="18" max="18" width="23" customWidth="1"/>
    <col min="26" max="26" width="27.42578125" customWidth="1"/>
    <col min="34" max="34" width="24.7109375" customWidth="1"/>
    <col min="40" max="40" width="12.5703125" customWidth="1"/>
    <col min="42" max="42" width="23.5703125" customWidth="1"/>
    <col min="44" max="44" width="12.7109375" customWidth="1"/>
    <col min="50" max="50" width="24.5703125" customWidth="1"/>
    <col min="58" max="58" width="22" customWidth="1"/>
    <col min="62" max="62" width="9.140625" customWidth="1"/>
    <col min="76" max="76" width="10.140625" customWidth="1"/>
    <col min="86" max="86" width="12.42578125" customWidth="1"/>
    <col min="88" max="88" width="10.28515625" bestFit="1" customWidth="1"/>
    <col min="90" max="90" width="11" bestFit="1" customWidth="1"/>
    <col min="91" max="91" width="11.28515625" customWidth="1"/>
    <col min="93" max="93" width="9.140625" customWidth="1"/>
    <col min="95" max="95" width="12.42578125" customWidth="1"/>
    <col min="97" max="97" width="10.28515625" bestFit="1" customWidth="1"/>
    <col min="99" max="99" width="11" bestFit="1" customWidth="1"/>
    <col min="100" max="100" width="11.28515625" customWidth="1"/>
    <col min="102" max="102" width="9.140625" customWidth="1"/>
    <col min="104" max="104" width="12.42578125" customWidth="1"/>
    <col min="106" max="106" width="10.28515625" bestFit="1" customWidth="1"/>
    <col min="109" max="109" width="11.28515625" customWidth="1"/>
    <col min="111" max="111" width="9.140625" style="153" customWidth="1"/>
    <col min="113" max="113" width="12.42578125" customWidth="1"/>
    <col min="120" max="120" width="9.140625" customWidth="1"/>
    <col min="122" max="122" width="12.42578125" customWidth="1"/>
    <col min="129" max="129" width="9.140625" customWidth="1"/>
    <col min="131" max="131" width="12.42578125" customWidth="1"/>
    <col min="138" max="138" width="9.140625" customWidth="1"/>
    <col min="140" max="140" width="12.42578125" customWidth="1"/>
    <col min="147" max="147" width="9.140625" customWidth="1"/>
    <col min="155" max="155" width="9.140625" customWidth="1"/>
    <col min="157" max="162" width="12" customWidth="1"/>
  </cols>
  <sheetData>
    <row r="1" spans="1:170" x14ac:dyDescent="0.5">
      <c r="C1" s="62" t="s">
        <v>862</v>
      </c>
      <c r="K1" s="62" t="s">
        <v>817</v>
      </c>
      <c r="S1" s="62" t="s">
        <v>768</v>
      </c>
      <c r="AA1" s="62" t="s">
        <v>726</v>
      </c>
      <c r="AI1" s="62" t="s">
        <v>678</v>
      </c>
      <c r="AQ1" s="62" t="s">
        <v>632</v>
      </c>
      <c r="AY1" s="62" t="s">
        <v>584</v>
      </c>
      <c r="BG1" s="62" t="s">
        <v>543</v>
      </c>
      <c r="BO1" s="62" t="s">
        <v>493</v>
      </c>
      <c r="BX1" t="s">
        <v>428</v>
      </c>
      <c r="CG1" t="s">
        <v>383</v>
      </c>
      <c r="CQ1" t="s">
        <v>336</v>
      </c>
      <c r="CZ1" t="s">
        <v>290</v>
      </c>
      <c r="DG1"/>
      <c r="DI1" s="171" t="s">
        <v>253</v>
      </c>
      <c r="DO1" s="153"/>
      <c r="DR1" t="s">
        <v>213</v>
      </c>
      <c r="EA1" t="s">
        <v>176</v>
      </c>
      <c r="EJ1" t="s">
        <v>138</v>
      </c>
      <c r="ES1" t="s">
        <v>89</v>
      </c>
      <c r="FA1" t="s">
        <v>47</v>
      </c>
      <c r="FI1" t="s">
        <v>11</v>
      </c>
    </row>
    <row r="2" spans="1:170" x14ac:dyDescent="0.5">
      <c r="A2" s="257"/>
      <c r="B2" s="257"/>
      <c r="C2" s="323" t="s">
        <v>863</v>
      </c>
      <c r="D2" s="323" t="s">
        <v>864</v>
      </c>
      <c r="E2" s="262" t="s">
        <v>3</v>
      </c>
      <c r="F2" s="323" t="s">
        <v>821</v>
      </c>
      <c r="G2" s="323" t="s">
        <v>864</v>
      </c>
      <c r="H2" s="262" t="s">
        <v>3</v>
      </c>
      <c r="I2" s="257"/>
      <c r="J2" s="257"/>
      <c r="K2" s="323" t="s">
        <v>820</v>
      </c>
      <c r="L2" s="323" t="s">
        <v>821</v>
      </c>
      <c r="M2" s="262" t="s">
        <v>3</v>
      </c>
      <c r="N2" s="323" t="s">
        <v>770</v>
      </c>
      <c r="O2" s="323" t="s">
        <v>821</v>
      </c>
      <c r="P2" s="262" t="s">
        <v>3</v>
      </c>
      <c r="Q2" s="257"/>
      <c r="R2" s="257"/>
      <c r="S2" s="323" t="s">
        <v>769</v>
      </c>
      <c r="T2" s="323" t="s">
        <v>770</v>
      </c>
      <c r="U2" s="262" t="s">
        <v>3</v>
      </c>
      <c r="V2" s="323" t="s">
        <v>728</v>
      </c>
      <c r="W2" s="323" t="s">
        <v>770</v>
      </c>
      <c r="X2" s="262" t="s">
        <v>3</v>
      </c>
      <c r="Y2" s="257"/>
      <c r="Z2" s="257"/>
      <c r="AA2" s="323" t="s">
        <v>727</v>
      </c>
      <c r="AB2" s="323" t="s">
        <v>728</v>
      </c>
      <c r="AC2" s="262" t="s">
        <v>3</v>
      </c>
      <c r="AD2" s="323" t="s">
        <v>680</v>
      </c>
      <c r="AE2" s="323" t="s">
        <v>728</v>
      </c>
      <c r="AF2" s="262" t="s">
        <v>3</v>
      </c>
      <c r="AG2" s="257"/>
      <c r="AH2" s="257"/>
      <c r="AI2" s="323" t="s">
        <v>679</v>
      </c>
      <c r="AJ2" s="323" t="s">
        <v>680</v>
      </c>
      <c r="AK2" s="262" t="s">
        <v>3</v>
      </c>
      <c r="AL2" s="323" t="s">
        <v>635</v>
      </c>
      <c r="AM2" s="323" t="s">
        <v>680</v>
      </c>
      <c r="AN2" s="262" t="s">
        <v>3</v>
      </c>
      <c r="AO2" s="257"/>
      <c r="AP2" s="257"/>
      <c r="AQ2" s="323" t="s">
        <v>634</v>
      </c>
      <c r="AR2" s="323" t="s">
        <v>635</v>
      </c>
      <c r="AS2" s="262" t="s">
        <v>3</v>
      </c>
      <c r="AT2" s="323" t="s">
        <v>586</v>
      </c>
      <c r="AU2" s="323" t="s">
        <v>635</v>
      </c>
      <c r="AV2" s="262" t="s">
        <v>3</v>
      </c>
      <c r="AW2" s="257"/>
      <c r="AX2" s="257"/>
      <c r="AY2" s="323" t="s">
        <v>585</v>
      </c>
      <c r="AZ2" s="323" t="s">
        <v>586</v>
      </c>
      <c r="BA2" s="262" t="s">
        <v>3</v>
      </c>
      <c r="BB2" s="323" t="s">
        <v>545</v>
      </c>
      <c r="BC2" s="323" t="s">
        <v>586</v>
      </c>
      <c r="BD2" s="262" t="s">
        <v>3</v>
      </c>
      <c r="BE2" s="257"/>
      <c r="BF2" s="257"/>
      <c r="BG2" s="323" t="s">
        <v>544</v>
      </c>
      <c r="BH2" s="323" t="s">
        <v>545</v>
      </c>
      <c r="BI2" s="262" t="s">
        <v>3</v>
      </c>
      <c r="BJ2" s="323" t="s">
        <v>491</v>
      </c>
      <c r="BK2" s="323" t="s">
        <v>545</v>
      </c>
      <c r="BL2" s="262" t="s">
        <v>3</v>
      </c>
      <c r="BM2" s="257"/>
      <c r="BN2" s="257"/>
      <c r="BO2" s="323" t="s">
        <v>490</v>
      </c>
      <c r="BP2" s="323" t="s">
        <v>491</v>
      </c>
      <c r="BQ2" s="262" t="s">
        <v>3</v>
      </c>
      <c r="BR2" s="323" t="s">
        <v>492</v>
      </c>
      <c r="BS2" s="323" t="s">
        <v>491</v>
      </c>
      <c r="BT2" s="262" t="s">
        <v>3</v>
      </c>
      <c r="BU2" s="257"/>
      <c r="BV2" s="257"/>
      <c r="BW2" s="257"/>
      <c r="BX2" s="259" t="s">
        <v>426</v>
      </c>
      <c r="BY2" s="259" t="s">
        <v>430</v>
      </c>
      <c r="BZ2" s="257" t="s">
        <v>3</v>
      </c>
      <c r="CA2" s="259" t="s">
        <v>385</v>
      </c>
      <c r="CB2" s="259" t="s">
        <v>431</v>
      </c>
      <c r="CC2" s="257" t="s">
        <v>3</v>
      </c>
      <c r="CD2" s="257"/>
      <c r="CE2" s="257"/>
      <c r="CF2" s="257"/>
      <c r="CG2" s="259" t="s">
        <v>380</v>
      </c>
      <c r="CH2" s="259" t="s">
        <v>385</v>
      </c>
      <c r="CI2" s="257" t="s">
        <v>3</v>
      </c>
      <c r="CJ2" s="259" t="s">
        <v>338</v>
      </c>
      <c r="CK2" s="259" t="s">
        <v>386</v>
      </c>
      <c r="CL2" s="257" t="s">
        <v>3</v>
      </c>
      <c r="CO2" s="257"/>
      <c r="CP2" s="257"/>
      <c r="CQ2" s="259" t="s">
        <v>332</v>
      </c>
      <c r="CR2" s="259" t="s">
        <v>338</v>
      </c>
      <c r="CS2" s="257" t="s">
        <v>3</v>
      </c>
      <c r="CT2" s="259" t="s">
        <v>339</v>
      </c>
      <c r="CU2" s="259" t="s">
        <v>340</v>
      </c>
      <c r="CV2" s="257" t="s">
        <v>3</v>
      </c>
      <c r="CW2" s="62"/>
      <c r="CX2" s="188"/>
      <c r="CY2" s="188"/>
      <c r="CZ2" s="190" t="s">
        <v>287</v>
      </c>
      <c r="DA2" s="190" t="s">
        <v>292</v>
      </c>
      <c r="DB2" s="188" t="s">
        <v>3</v>
      </c>
      <c r="DC2" s="190" t="s">
        <v>251</v>
      </c>
      <c r="DD2" s="190" t="s">
        <v>293</v>
      </c>
      <c r="DE2" s="188" t="s">
        <v>3</v>
      </c>
      <c r="DF2" s="62"/>
      <c r="DG2" s="173"/>
      <c r="DH2" s="173"/>
      <c r="DI2" s="174" t="s">
        <v>251</v>
      </c>
      <c r="DJ2" s="174" t="s">
        <v>255</v>
      </c>
      <c r="DK2" s="173" t="s">
        <v>3</v>
      </c>
      <c r="DL2" s="174" t="s">
        <v>256</v>
      </c>
      <c r="DM2" s="174" t="s">
        <v>255</v>
      </c>
      <c r="DN2" s="173" t="s">
        <v>3</v>
      </c>
      <c r="DO2" s="176"/>
      <c r="DP2" s="98"/>
      <c r="DQ2" s="98"/>
      <c r="DR2" s="99" t="s">
        <v>211</v>
      </c>
      <c r="DS2" s="143" t="s">
        <v>212</v>
      </c>
      <c r="DT2" s="98" t="s">
        <v>3</v>
      </c>
      <c r="DU2" s="145" t="s">
        <v>175</v>
      </c>
      <c r="DV2" s="143" t="s">
        <v>212</v>
      </c>
      <c r="DW2" s="98" t="s">
        <v>3</v>
      </c>
      <c r="DX2" s="62"/>
      <c r="DY2" s="118"/>
      <c r="DZ2" s="118"/>
      <c r="EA2" s="119" t="s">
        <v>174</v>
      </c>
      <c r="EB2" s="119" t="s">
        <v>175</v>
      </c>
      <c r="EC2" s="118" t="s">
        <v>3</v>
      </c>
      <c r="ED2" s="119" t="s">
        <v>140</v>
      </c>
      <c r="EE2" s="119" t="s">
        <v>175</v>
      </c>
      <c r="EF2" s="118" t="s">
        <v>3</v>
      </c>
      <c r="EG2" s="62"/>
      <c r="EH2" s="98"/>
      <c r="EI2" s="98"/>
      <c r="EJ2" s="99" t="s">
        <v>135</v>
      </c>
      <c r="EK2" s="99" t="s">
        <v>140</v>
      </c>
      <c r="EL2" s="98" t="s">
        <v>3</v>
      </c>
      <c r="EM2" s="99" t="s">
        <v>91</v>
      </c>
      <c r="EN2" s="99" t="s">
        <v>140</v>
      </c>
      <c r="EO2" s="98" t="s">
        <v>3</v>
      </c>
      <c r="EP2" s="62"/>
      <c r="EQ2" s="84"/>
      <c r="ER2" s="84"/>
      <c r="ES2" s="85" t="s">
        <v>87</v>
      </c>
      <c r="ET2" s="85" t="s">
        <v>91</v>
      </c>
      <c r="EU2" s="84" t="s">
        <v>3</v>
      </c>
      <c r="EV2" s="85" t="s">
        <v>92</v>
      </c>
      <c r="EW2" s="85" t="s">
        <v>91</v>
      </c>
      <c r="EX2" s="84" t="s">
        <v>3</v>
      </c>
      <c r="EY2" s="62"/>
      <c r="EZ2" s="54"/>
      <c r="FA2" s="55">
        <v>18295</v>
      </c>
      <c r="FB2" s="55">
        <v>18323</v>
      </c>
      <c r="FC2" s="54" t="s">
        <v>3</v>
      </c>
      <c r="FD2" s="55">
        <v>17958</v>
      </c>
      <c r="FE2" s="55">
        <v>18323</v>
      </c>
      <c r="FF2" s="54" t="s">
        <v>3</v>
      </c>
      <c r="FG2" s="62"/>
      <c r="FH2" s="29"/>
      <c r="FI2" s="30">
        <v>17930</v>
      </c>
      <c r="FJ2" s="30">
        <v>17958</v>
      </c>
      <c r="FK2" s="29" t="s">
        <v>3</v>
      </c>
      <c r="FL2" s="30">
        <v>17593</v>
      </c>
      <c r="FM2" s="30">
        <v>17958</v>
      </c>
      <c r="FN2" s="29" t="s">
        <v>3</v>
      </c>
    </row>
    <row r="3" spans="1:170" x14ac:dyDescent="0.5">
      <c r="A3" s="247" t="s">
        <v>0</v>
      </c>
      <c r="B3" s="247"/>
      <c r="C3" s="267">
        <v>169671</v>
      </c>
      <c r="D3" s="248">
        <v>185931</v>
      </c>
      <c r="E3" s="249">
        <f>((D3-C3)/C3)*100</f>
        <v>9.5832522941457299</v>
      </c>
      <c r="F3" s="248">
        <v>179806</v>
      </c>
      <c r="G3" s="248">
        <f>D3</f>
        <v>185931</v>
      </c>
      <c r="H3" s="249">
        <f t="shared" ref="H3:H7" si="0">((G3-F3)/F3)*100</f>
        <v>3.4064491729975637</v>
      </c>
      <c r="I3" s="247" t="s">
        <v>0</v>
      </c>
      <c r="J3" s="247"/>
      <c r="K3" s="267">
        <v>175770</v>
      </c>
      <c r="L3" s="248">
        <v>179806</v>
      </c>
      <c r="M3" s="249">
        <f>((L3-K3)/K3)*100</f>
        <v>2.2961825112362746</v>
      </c>
      <c r="N3" s="248">
        <v>198496</v>
      </c>
      <c r="O3" s="248">
        <v>179806</v>
      </c>
      <c r="P3" s="249">
        <f t="shared" ref="P3:P8" si="1">((O3-N3)/N3)*100</f>
        <v>-9.4158068676446884</v>
      </c>
      <c r="Q3" s="247" t="s">
        <v>0</v>
      </c>
      <c r="R3" s="247"/>
      <c r="S3" s="267">
        <v>188272</v>
      </c>
      <c r="T3" s="248">
        <v>198496</v>
      </c>
      <c r="U3" s="249">
        <f>((T3-S3)/S3)*100</f>
        <v>5.4304410639925216</v>
      </c>
      <c r="V3" s="248">
        <v>178471</v>
      </c>
      <c r="W3" s="248">
        <v>198496</v>
      </c>
      <c r="X3" s="249">
        <f t="shared" ref="X3:X8" si="2">((W3-V3)/V3)*100</f>
        <v>11.220310302514134</v>
      </c>
      <c r="Y3" s="247" t="s">
        <v>0</v>
      </c>
      <c r="Z3" s="247"/>
      <c r="AA3" s="267">
        <v>141596</v>
      </c>
      <c r="AB3" s="248">
        <v>178471</v>
      </c>
      <c r="AC3" s="249">
        <f>((AB3-AA3)/AA3)*100</f>
        <v>26.042402327749372</v>
      </c>
      <c r="AD3" s="248">
        <v>182404</v>
      </c>
      <c r="AE3" s="248">
        <v>178471</v>
      </c>
      <c r="AF3" s="249">
        <f t="shared" ref="AF3:AF8" si="3">((AE3-AD3)/AD3)*100</f>
        <v>-2.1562027148527445</v>
      </c>
      <c r="AG3" s="247" t="s">
        <v>0</v>
      </c>
      <c r="AH3" s="247"/>
      <c r="AI3" s="267">
        <v>168127</v>
      </c>
      <c r="AJ3" s="248">
        <v>182359</v>
      </c>
      <c r="AK3" s="249">
        <f>((AJ3-AI3)/AI3)*100</f>
        <v>8.4650294122895193</v>
      </c>
      <c r="AL3" s="248">
        <v>151703</v>
      </c>
      <c r="AM3" s="248">
        <v>182359</v>
      </c>
      <c r="AN3" s="249">
        <f t="shared" ref="AN3:AN8" si="4">((AM3-AL3)/AL3)*100</f>
        <v>20.207906237846316</v>
      </c>
      <c r="AO3" s="247" t="s">
        <v>0</v>
      </c>
      <c r="AP3" s="247"/>
      <c r="AQ3" s="267">
        <v>161644</v>
      </c>
      <c r="AR3" s="248">
        <v>151703</v>
      </c>
      <c r="AS3" s="249">
        <f>((AR3-AQ3)/AQ3)*100</f>
        <v>-6.1499344237955018</v>
      </c>
      <c r="AT3" s="248">
        <v>183424</v>
      </c>
      <c r="AU3" s="248">
        <v>151703</v>
      </c>
      <c r="AV3" s="249">
        <f t="shared" ref="AV3:AV13" si="5">((AU3-AT3)/AT3)*100</f>
        <v>-17.293811060711796</v>
      </c>
      <c r="AW3" s="247" t="s">
        <v>0</v>
      </c>
      <c r="AX3" s="247"/>
      <c r="AY3" s="267">
        <v>161702</v>
      </c>
      <c r="AZ3" s="248">
        <v>183424</v>
      </c>
      <c r="BA3" s="249">
        <f>((AZ3-AY3)/AY3)*100</f>
        <v>13.433352710541612</v>
      </c>
      <c r="BB3" s="248">
        <v>178047</v>
      </c>
      <c r="BC3" s="248">
        <v>183424</v>
      </c>
      <c r="BD3" s="249">
        <f t="shared" ref="BD3:BD13" si="6">((BC3-BB3)/BB3)*100</f>
        <v>3.0199891040006288</v>
      </c>
      <c r="BE3" s="247" t="s">
        <v>0</v>
      </c>
      <c r="BF3" s="247"/>
      <c r="BG3" s="248">
        <v>182910</v>
      </c>
      <c r="BH3" s="248">
        <v>178047</v>
      </c>
      <c r="BI3" s="249">
        <f>((BH3-BG3)/BG3)*100</f>
        <v>-2.6586845989831067</v>
      </c>
      <c r="BJ3" s="248">
        <v>188278</v>
      </c>
      <c r="BK3" s="248">
        <v>178047</v>
      </c>
      <c r="BL3" s="249">
        <f t="shared" ref="BL3:BL18" si="7">((BK3-BJ3)/BJ3)*100</f>
        <v>-5.4339859144456604</v>
      </c>
      <c r="BM3" s="247" t="s">
        <v>0</v>
      </c>
      <c r="BN3" s="247"/>
      <c r="BO3" s="248">
        <v>156288</v>
      </c>
      <c r="BP3" s="248">
        <v>188278</v>
      </c>
      <c r="BQ3" s="249">
        <f>((BP3-BO3)/BO3)*100</f>
        <v>20.468622031122031</v>
      </c>
      <c r="BR3" s="248">
        <v>151313</v>
      </c>
      <c r="BS3" s="248">
        <v>188278</v>
      </c>
      <c r="BT3" s="249">
        <f t="shared" ref="BT3:BT18" si="8">((BS3-BR3)/BR3)*100</f>
        <v>24.429493830668878</v>
      </c>
      <c r="BU3" s="249"/>
      <c r="BV3" s="247" t="s">
        <v>0</v>
      </c>
      <c r="BW3" s="247"/>
      <c r="BX3" s="248">
        <v>150603</v>
      </c>
      <c r="BY3" s="248">
        <v>151313</v>
      </c>
      <c r="BZ3" s="249">
        <f>((BY3-BX3)/BX3)*100</f>
        <v>0.47143815196244432</v>
      </c>
      <c r="CA3" s="248">
        <v>184373</v>
      </c>
      <c r="CB3" s="248">
        <v>151313</v>
      </c>
      <c r="CC3" s="249">
        <f t="shared" ref="CC3:CC18" si="9">((CB3-CA3)/CA3)*100</f>
        <v>-17.931041963845033</v>
      </c>
      <c r="CD3" s="249"/>
      <c r="CE3" s="247" t="s">
        <v>0</v>
      </c>
      <c r="CF3" s="247"/>
      <c r="CG3" s="248">
        <v>179384</v>
      </c>
      <c r="CH3" s="248">
        <v>184373</v>
      </c>
      <c r="CI3" s="249">
        <f>((CH3-CG3)/CG3)*100</f>
        <v>2.7811844980600275</v>
      </c>
      <c r="CJ3" s="248">
        <f>SUM(CJ4:CJ5)</f>
        <v>174580</v>
      </c>
      <c r="CK3" s="248">
        <v>184373</v>
      </c>
      <c r="CL3" s="249">
        <f>((CK3-CJ3)/CJ3)*100</f>
        <v>5.6094627105052126</v>
      </c>
      <c r="CO3" s="247" t="s">
        <v>0</v>
      </c>
      <c r="CP3" s="247"/>
      <c r="CQ3" s="248">
        <f>SUM(CQ4:CQ5)</f>
        <v>148575</v>
      </c>
      <c r="CR3" s="248">
        <f>SUM(CR4:CR5)</f>
        <v>174580</v>
      </c>
      <c r="CS3" s="249">
        <f>((CR3-CQ3)/CQ3)*100</f>
        <v>17.502944640753828</v>
      </c>
      <c r="CT3" s="248">
        <f>SUM(CT4:CT5)</f>
        <v>207888</v>
      </c>
      <c r="CU3" s="248">
        <v>174580</v>
      </c>
      <c r="CV3" s="249">
        <f>((CU3-CT3)/CT3)*100</f>
        <v>-16.022088817055337</v>
      </c>
      <c r="CW3" s="73"/>
      <c r="CX3" s="206" t="s">
        <v>0</v>
      </c>
      <c r="CY3" s="206"/>
      <c r="CZ3" s="207">
        <f>SUM(CZ4:CZ5)</f>
        <v>193143</v>
      </c>
      <c r="DA3" s="207">
        <f>SUM(DA4:DA5)</f>
        <v>185645</v>
      </c>
      <c r="DB3" s="208">
        <f>((DA3-CZ3)/CZ3)*100</f>
        <v>-3.8820977203419225</v>
      </c>
      <c r="DC3" s="207">
        <v>224969</v>
      </c>
      <c r="DD3" s="207">
        <f>SUM(DD4:DD5)</f>
        <v>185645</v>
      </c>
      <c r="DE3" s="208">
        <f>((DD3-DC3)/DC3)*100</f>
        <v>-17.479741653294454</v>
      </c>
      <c r="DF3" s="73"/>
      <c r="DG3" s="156" t="s">
        <v>0</v>
      </c>
      <c r="DH3" s="156"/>
      <c r="DI3" s="157">
        <f>SUM(DI4:DI5)</f>
        <v>224969</v>
      </c>
      <c r="DJ3" s="157">
        <f>SUM(DJ4:DJ5)</f>
        <v>243203</v>
      </c>
      <c r="DK3" s="158">
        <f>((DJ3-DI3)/DI3)*100</f>
        <v>8.1051167049682409</v>
      </c>
      <c r="DL3" s="157">
        <v>221037</v>
      </c>
      <c r="DM3" s="157">
        <v>243203</v>
      </c>
      <c r="DN3" s="158">
        <f>((DM3-DL3)/DL3)*100</f>
        <v>10.02818532643856</v>
      </c>
      <c r="DO3" s="155"/>
      <c r="DP3" s="100" t="s">
        <v>0</v>
      </c>
      <c r="DQ3" s="100"/>
      <c r="DR3" s="101">
        <f>SUM(DR4:DR5)</f>
        <v>175077</v>
      </c>
      <c r="DS3" s="101">
        <f>SUM(DS4:DS5)</f>
        <v>221037</v>
      </c>
      <c r="DT3" s="102">
        <f>((DS3-DR3)/DR3)*100</f>
        <v>26.251306567967237</v>
      </c>
      <c r="DU3" s="101">
        <f>SUM(DU4:DU5)</f>
        <v>176097</v>
      </c>
      <c r="DV3" s="101">
        <f>SUM(DV4:DV5)</f>
        <v>221037</v>
      </c>
      <c r="DW3" s="102">
        <f>((DV3-DU3)/DU3)*100</f>
        <v>25.52002589481933</v>
      </c>
      <c r="DX3" s="73"/>
      <c r="DY3" s="120" t="s">
        <v>0</v>
      </c>
      <c r="DZ3" s="120"/>
      <c r="EA3" s="121">
        <f>SUM(EA4:EA5)</f>
        <v>149715</v>
      </c>
      <c r="EB3" s="121">
        <f>SUM(EB4:EB5)</f>
        <v>176097</v>
      </c>
      <c r="EC3" s="125">
        <f>((EB3-EA3)/EA3)*100</f>
        <v>17.621480813545737</v>
      </c>
      <c r="ED3" s="121">
        <v>126184</v>
      </c>
      <c r="EE3" s="121">
        <f>SUM(EE4:EE5)</f>
        <v>176097</v>
      </c>
      <c r="EF3" s="125">
        <f>((EE3-ED3)/ED3)*100</f>
        <v>39.555728143029228</v>
      </c>
      <c r="EG3" s="73"/>
      <c r="EH3" s="100" t="s">
        <v>0</v>
      </c>
      <c r="EI3" s="100"/>
      <c r="EJ3" s="101">
        <f>SUM(EJ4:EJ5)</f>
        <v>120272</v>
      </c>
      <c r="EK3" s="101">
        <f>SUM(EK4:EK5)</f>
        <v>126184</v>
      </c>
      <c r="EL3" s="102">
        <f>((EK3-EJ3)/EJ3)*100</f>
        <v>4.9155248104296927</v>
      </c>
      <c r="EM3" s="101">
        <f>SUM(EM4:EM5)</f>
        <v>158601</v>
      </c>
      <c r="EN3" s="101">
        <v>126184</v>
      </c>
      <c r="EO3" s="102">
        <f>((EN3-EM3)/EM3)*100</f>
        <v>-20.439341492172179</v>
      </c>
      <c r="EP3" s="73"/>
      <c r="EQ3" s="74" t="s">
        <v>0</v>
      </c>
      <c r="ER3" s="74"/>
      <c r="ES3" s="75">
        <f>SUM(ES4:ES5)</f>
        <v>138904</v>
      </c>
      <c r="ET3" s="75">
        <f>SUM(ET4:ET5)</f>
        <v>158601</v>
      </c>
      <c r="EU3" s="76">
        <f t="shared" ref="EU3:EU18" si="10">(ET3-ES3)/ES3*100</f>
        <v>14.180297183666418</v>
      </c>
      <c r="EV3" s="75">
        <f>SUM(EV4:EV5)</f>
        <v>133329</v>
      </c>
      <c r="EW3" s="75">
        <f>SUM(EW4:EW5)</f>
        <v>158601</v>
      </c>
      <c r="EX3" s="76">
        <f t="shared" ref="EX3:EX18" si="11">(EW3-EV3)/EV3*100</f>
        <v>18.954616025020812</v>
      </c>
      <c r="EY3" s="73"/>
      <c r="EZ3" s="42" t="s">
        <v>0</v>
      </c>
      <c r="FA3" s="43">
        <v>137873</v>
      </c>
      <c r="FB3" s="43">
        <v>133329</v>
      </c>
      <c r="FC3" s="44">
        <f>(FB3-FA3)/FA3*100</f>
        <v>-3.2957867022549734</v>
      </c>
      <c r="FD3" s="45">
        <v>220757</v>
      </c>
      <c r="FE3" s="43">
        <v>133329</v>
      </c>
      <c r="FF3" s="44">
        <f>(FE3-FD3)/FD3*100</f>
        <v>-39.603727175129215</v>
      </c>
      <c r="FG3" s="61"/>
      <c r="FH3" s="24" t="s">
        <v>0</v>
      </c>
      <c r="FI3" s="25">
        <v>178292</v>
      </c>
      <c r="FJ3" s="25">
        <v>220757</v>
      </c>
      <c r="FK3" s="32">
        <f>(FJ3-FI3)/FI3*100</f>
        <v>23.817669889843625</v>
      </c>
      <c r="FL3" s="27">
        <v>207584</v>
      </c>
      <c r="FM3" s="25">
        <v>220757</v>
      </c>
      <c r="FN3" s="32">
        <f>(FM3-FL3)/FL3*100</f>
        <v>6.3458648065361487</v>
      </c>
    </row>
    <row r="4" spans="1:170" x14ac:dyDescent="0.5">
      <c r="A4" s="250"/>
      <c r="B4" s="333" t="s">
        <v>495</v>
      </c>
      <c r="C4" s="309">
        <v>136882</v>
      </c>
      <c r="D4" s="251">
        <v>153953</v>
      </c>
      <c r="E4" s="249">
        <f t="shared" ref="E4:E8" si="12">((D4-C4)/C4)*100</f>
        <v>12.47132566736313</v>
      </c>
      <c r="F4" s="251">
        <v>142071</v>
      </c>
      <c r="G4" s="248">
        <f t="shared" ref="G4:G8" si="13">D4</f>
        <v>153953</v>
      </c>
      <c r="H4" s="249">
        <f t="shared" si="0"/>
        <v>8.3634239218418962</v>
      </c>
      <c r="I4" s="250"/>
      <c r="J4" s="333" t="s">
        <v>495</v>
      </c>
      <c r="K4" s="309">
        <v>138721</v>
      </c>
      <c r="L4" s="251">
        <v>142071</v>
      </c>
      <c r="M4" s="249">
        <f t="shared" ref="M4:M8" si="14">((L4-K4)/K4)*100</f>
        <v>2.4149191542736861</v>
      </c>
      <c r="N4" s="251">
        <v>156372</v>
      </c>
      <c r="O4" s="251">
        <v>142071</v>
      </c>
      <c r="P4" s="249">
        <f t="shared" si="1"/>
        <v>-9.1454991942291457</v>
      </c>
      <c r="Q4" s="250"/>
      <c r="R4" s="333" t="s">
        <v>495</v>
      </c>
      <c r="S4" s="309">
        <v>150336</v>
      </c>
      <c r="T4" s="251">
        <v>156372</v>
      </c>
      <c r="U4" s="249">
        <f t="shared" ref="U4:U8" si="15">((T4-S4)/S4)*100</f>
        <v>4.015006385696041</v>
      </c>
      <c r="V4" s="251">
        <v>148733</v>
      </c>
      <c r="W4" s="251">
        <v>156372</v>
      </c>
      <c r="X4" s="249">
        <f t="shared" si="2"/>
        <v>5.1360491619210258</v>
      </c>
      <c r="Y4" s="250"/>
      <c r="Z4" s="333" t="s">
        <v>495</v>
      </c>
      <c r="AA4" s="309">
        <v>118012</v>
      </c>
      <c r="AB4" s="251">
        <v>148733</v>
      </c>
      <c r="AC4" s="249">
        <f t="shared" ref="AC4:AC8" si="16">((AB4-AA4)/AA4)*100</f>
        <v>26.032098430668064</v>
      </c>
      <c r="AD4" s="251">
        <v>140722</v>
      </c>
      <c r="AE4" s="251">
        <v>148733</v>
      </c>
      <c r="AF4" s="249">
        <f t="shared" si="3"/>
        <v>5.6927843549693717</v>
      </c>
      <c r="AG4" s="250"/>
      <c r="AH4" s="333" t="s">
        <v>495</v>
      </c>
      <c r="AI4" s="309">
        <v>131556</v>
      </c>
      <c r="AJ4" s="251">
        <v>140722</v>
      </c>
      <c r="AK4" s="249">
        <f t="shared" ref="AK4:AK8" si="17">((AJ4-AI4)/AI4)*100</f>
        <v>6.9673751102192218</v>
      </c>
      <c r="AL4" s="251">
        <v>122273</v>
      </c>
      <c r="AM4" s="251">
        <v>140722</v>
      </c>
      <c r="AN4" s="249">
        <f t="shared" si="4"/>
        <v>15.088367832636804</v>
      </c>
      <c r="AO4" s="250"/>
      <c r="AP4" s="333" t="s">
        <v>495</v>
      </c>
      <c r="AQ4" s="309">
        <v>131614</v>
      </c>
      <c r="AR4" s="251">
        <v>122273</v>
      </c>
      <c r="AS4" s="249">
        <f t="shared" ref="AS4:AS8" si="18">((AR4-AQ4)/AQ4)*100</f>
        <v>-7.0972692874618204</v>
      </c>
      <c r="AT4" s="251">
        <v>147893</v>
      </c>
      <c r="AU4" s="251">
        <v>122273</v>
      </c>
      <c r="AV4" s="249">
        <f t="shared" si="5"/>
        <v>-17.323335113899915</v>
      </c>
      <c r="AW4" s="250"/>
      <c r="AX4" s="333" t="s">
        <v>495</v>
      </c>
      <c r="AY4" s="309">
        <v>130791</v>
      </c>
      <c r="AZ4" s="251">
        <v>147893</v>
      </c>
      <c r="BA4" s="249">
        <f t="shared" ref="BA4:BA18" si="19">((AZ4-AY4)/AY4)*100</f>
        <v>13.075823260010244</v>
      </c>
      <c r="BB4" s="251">
        <v>144326</v>
      </c>
      <c r="BC4" s="251">
        <v>147893</v>
      </c>
      <c r="BD4" s="249">
        <f t="shared" si="6"/>
        <v>2.4714881587517148</v>
      </c>
      <c r="BE4" s="250"/>
      <c r="BF4" s="333" t="s">
        <v>495</v>
      </c>
      <c r="BG4" s="251">
        <v>143237</v>
      </c>
      <c r="BH4" s="251">
        <v>144326</v>
      </c>
      <c r="BI4" s="249">
        <f t="shared" ref="BI4:BI18" si="20">((BH4-BG4)/BG4)*100</f>
        <v>0.76027841968206544</v>
      </c>
      <c r="BJ4" s="251">
        <v>140746</v>
      </c>
      <c r="BK4" s="251">
        <v>144326</v>
      </c>
      <c r="BL4" s="249">
        <f t="shared" si="7"/>
        <v>2.5435891606155772</v>
      </c>
      <c r="BM4" s="250"/>
      <c r="BN4" s="333" t="s">
        <v>495</v>
      </c>
      <c r="BO4" s="251">
        <v>111749</v>
      </c>
      <c r="BP4" s="251">
        <v>140746</v>
      </c>
      <c r="BQ4" s="249">
        <f t="shared" ref="BQ4:BQ18" si="21">((BP4-BO4)/BO4)*100</f>
        <v>25.948330633831173</v>
      </c>
      <c r="BR4" s="251">
        <v>106332</v>
      </c>
      <c r="BS4" s="251">
        <v>140746</v>
      </c>
      <c r="BT4" s="249">
        <f t="shared" si="8"/>
        <v>32.364669149456418</v>
      </c>
      <c r="BU4" s="249"/>
      <c r="BV4" s="250"/>
      <c r="BW4" s="250" t="s">
        <v>57</v>
      </c>
      <c r="BX4" s="251">
        <v>108727</v>
      </c>
      <c r="BY4" s="251">
        <v>106332</v>
      </c>
      <c r="BZ4" s="249">
        <f t="shared" ref="BZ4:BZ18" si="22">((BY4-BX4)/BX4)*100</f>
        <v>-2.2027647226539866</v>
      </c>
      <c r="CA4" s="251">
        <v>147295</v>
      </c>
      <c r="CB4" s="251">
        <v>106332</v>
      </c>
      <c r="CC4" s="249">
        <f t="shared" si="9"/>
        <v>-27.810176855969317</v>
      </c>
      <c r="CD4" s="249"/>
      <c r="CE4" s="250"/>
      <c r="CF4" s="250" t="s">
        <v>57</v>
      </c>
      <c r="CG4" s="251">
        <v>141527</v>
      </c>
      <c r="CH4" s="251">
        <v>147295</v>
      </c>
      <c r="CI4" s="249">
        <f t="shared" ref="CI4:CI18" si="23">((CH4-CG4)/CG4)*100</f>
        <v>4.0755474220466761</v>
      </c>
      <c r="CJ4" s="251">
        <v>141588</v>
      </c>
      <c r="CK4" s="251">
        <v>147295</v>
      </c>
      <c r="CL4" s="249">
        <f t="shared" ref="CL4:CL18" si="24">((CK4-CJ4)/CJ4)*100</f>
        <v>4.0307088171313952</v>
      </c>
      <c r="CO4" s="250"/>
      <c r="CP4" s="250" t="s">
        <v>57</v>
      </c>
      <c r="CQ4" s="251">
        <v>118068</v>
      </c>
      <c r="CR4" s="251">
        <v>141588</v>
      </c>
      <c r="CS4" s="249">
        <f t="shared" ref="CS4:CS18" si="25">((CR4-CQ4)/CQ4)*100</f>
        <v>19.920723650777518</v>
      </c>
      <c r="CT4" s="251">
        <v>175493</v>
      </c>
      <c r="CU4" s="251">
        <v>141588</v>
      </c>
      <c r="CV4" s="249">
        <f t="shared" ref="CV4:CV18" si="26">((CU4-CT4)/CT4)*100</f>
        <v>-19.319858911751467</v>
      </c>
      <c r="CW4" s="73"/>
      <c r="CX4" s="209"/>
      <c r="CY4" s="209" t="s">
        <v>57</v>
      </c>
      <c r="CZ4" s="210">
        <v>166974</v>
      </c>
      <c r="DA4" s="210">
        <v>154408</v>
      </c>
      <c r="DB4" s="208">
        <f t="shared" ref="DB4:DB18" si="27">((DA4-CZ4)/CZ4)*100</f>
        <v>-7.5257225675853734</v>
      </c>
      <c r="DC4" s="210">
        <v>202710</v>
      </c>
      <c r="DD4" s="210">
        <v>154408</v>
      </c>
      <c r="DE4" s="208">
        <f t="shared" ref="DE4:DE18" si="28">((DD4-DC4)/DC4)*100</f>
        <v>-23.828128854027923</v>
      </c>
      <c r="DF4" s="73"/>
      <c r="DG4" s="159"/>
      <c r="DH4" s="159" t="s">
        <v>57</v>
      </c>
      <c r="DI4" s="160">
        <v>202710</v>
      </c>
      <c r="DJ4" s="160">
        <v>221053</v>
      </c>
      <c r="DK4" s="158">
        <f t="shared" ref="DK4:DK18" si="29">((DJ4-DI4)/DI4)*100</f>
        <v>9.0488875733806911</v>
      </c>
      <c r="DL4" s="160">
        <v>203606</v>
      </c>
      <c r="DM4" s="160">
        <v>221053</v>
      </c>
      <c r="DN4" s="158">
        <f t="shared" ref="DN4:DN18" si="30">((DM4-DL4)/DL4)*100</f>
        <v>8.5690009135290701</v>
      </c>
      <c r="DO4" s="155"/>
      <c r="DP4" s="103"/>
      <c r="DQ4" s="103" t="s">
        <v>57</v>
      </c>
      <c r="DR4" s="104">
        <v>161238</v>
      </c>
      <c r="DS4" s="104">
        <v>203606</v>
      </c>
      <c r="DT4" s="102">
        <f t="shared" ref="DT4:DT18" si="31">((DS4-DR4)/DR4)*100</f>
        <v>26.27668415634032</v>
      </c>
      <c r="DU4" s="104">
        <v>168517</v>
      </c>
      <c r="DV4" s="104">
        <v>203606</v>
      </c>
      <c r="DW4" s="102">
        <f t="shared" ref="DW4:DW18" si="32">((DV4-DU4)/DU4)*100</f>
        <v>20.82223158494395</v>
      </c>
      <c r="DX4" s="73"/>
      <c r="DY4" s="24"/>
      <c r="DZ4" s="24" t="s">
        <v>57</v>
      </c>
      <c r="EA4" s="123">
        <v>137599</v>
      </c>
      <c r="EB4" s="123">
        <v>168517</v>
      </c>
      <c r="EC4" s="125">
        <f t="shared" ref="EC4:EC18" si="33">((EB4-EA4)/EA4)*100</f>
        <v>22.469640040988669</v>
      </c>
      <c r="ED4" s="123">
        <v>110624</v>
      </c>
      <c r="EE4" s="123">
        <v>168517</v>
      </c>
      <c r="EF4" s="125">
        <f t="shared" ref="EF4:EF18" si="34">((EE4-ED4)/ED4)*100</f>
        <v>52.333128435059294</v>
      </c>
      <c r="EG4" s="73"/>
      <c r="EH4" s="103"/>
      <c r="EI4" s="103" t="s">
        <v>57</v>
      </c>
      <c r="EJ4" s="104">
        <v>104640</v>
      </c>
      <c r="EK4" s="104">
        <v>110624</v>
      </c>
      <c r="EL4" s="102">
        <f t="shared" ref="EL4:EL18" si="35">((EK4-EJ4)/EJ4)*100</f>
        <v>5.718654434250765</v>
      </c>
      <c r="EM4" s="105">
        <v>145820</v>
      </c>
      <c r="EN4" s="104">
        <v>110624</v>
      </c>
      <c r="EO4" s="102">
        <f t="shared" ref="EO4:EO18" si="36">((EN4-EM4)/EM4)*100</f>
        <v>-24.136606775476615</v>
      </c>
      <c r="EP4" s="73"/>
      <c r="EQ4" s="77"/>
      <c r="ER4" s="77" t="s">
        <v>57</v>
      </c>
      <c r="ES4" s="78">
        <v>124807</v>
      </c>
      <c r="ET4" s="78">
        <v>145820</v>
      </c>
      <c r="EU4" s="79">
        <f t="shared" si="10"/>
        <v>16.836395394489088</v>
      </c>
      <c r="EV4" s="80">
        <v>122672</v>
      </c>
      <c r="EW4" s="78">
        <v>145820</v>
      </c>
      <c r="EX4" s="79">
        <f t="shared" si="11"/>
        <v>18.869831746445804</v>
      </c>
      <c r="EY4" s="61"/>
      <c r="EZ4" s="42" t="s">
        <v>1</v>
      </c>
      <c r="FA4" s="43">
        <v>116716</v>
      </c>
      <c r="FB4" s="43">
        <v>139237</v>
      </c>
      <c r="FC4" s="44">
        <f>(FB4-FA4)/FA4*100</f>
        <v>19.295555022447651</v>
      </c>
      <c r="FD4" s="45">
        <v>203575</v>
      </c>
      <c r="FE4" s="43">
        <v>139237</v>
      </c>
      <c r="FF4" s="44">
        <f>(FE4-FD4)/FD4*100</f>
        <v>-31.604077121454011</v>
      </c>
      <c r="FG4" s="61"/>
      <c r="FH4" s="24" t="s">
        <v>1</v>
      </c>
      <c r="FI4" s="25">
        <v>187287</v>
      </c>
      <c r="FJ4" s="25">
        <v>213586</v>
      </c>
      <c r="FK4" s="32">
        <f>(FJ4-FI4)/FI4*100</f>
        <v>14.042085142054708</v>
      </c>
      <c r="FL4" s="27">
        <v>188880</v>
      </c>
      <c r="FM4" s="25">
        <v>213586</v>
      </c>
      <c r="FN4" s="32">
        <f>(FM4-FL4)/FL4*100</f>
        <v>13.080262600592969</v>
      </c>
    </row>
    <row r="5" spans="1:170" x14ac:dyDescent="0.5">
      <c r="A5" s="250"/>
      <c r="B5" s="250" t="s">
        <v>58</v>
      </c>
      <c r="C5" s="309">
        <v>27091</v>
      </c>
      <c r="D5" s="251">
        <v>27178</v>
      </c>
      <c r="E5" s="249">
        <f t="shared" si="12"/>
        <v>0.32113986194677202</v>
      </c>
      <c r="F5" s="251">
        <v>33796</v>
      </c>
      <c r="G5" s="248">
        <f t="shared" si="13"/>
        <v>27178</v>
      </c>
      <c r="H5" s="249">
        <f t="shared" si="0"/>
        <v>-19.582199076813826</v>
      </c>
      <c r="I5" s="250"/>
      <c r="J5" s="250" t="s">
        <v>58</v>
      </c>
      <c r="K5" s="309">
        <v>32029</v>
      </c>
      <c r="L5" s="251">
        <v>33796</v>
      </c>
      <c r="M5" s="249">
        <f t="shared" si="14"/>
        <v>5.5168753317306187</v>
      </c>
      <c r="N5" s="251">
        <v>42124</v>
      </c>
      <c r="O5" s="251">
        <v>33796</v>
      </c>
      <c r="P5" s="249">
        <f t="shared" si="1"/>
        <v>-19.770202259994303</v>
      </c>
      <c r="Q5" s="250"/>
      <c r="R5" s="250" t="s">
        <v>58</v>
      </c>
      <c r="S5" s="309">
        <v>37936</v>
      </c>
      <c r="T5" s="251">
        <v>42124</v>
      </c>
      <c r="U5" s="249">
        <f t="shared" si="15"/>
        <v>11.039645719105863</v>
      </c>
      <c r="V5" s="251">
        <v>29738</v>
      </c>
      <c r="W5" s="251">
        <v>42124</v>
      </c>
      <c r="X5" s="249">
        <f t="shared" si="2"/>
        <v>41.650413612213327</v>
      </c>
      <c r="Y5" s="250"/>
      <c r="Z5" s="250" t="s">
        <v>58</v>
      </c>
      <c r="AA5" s="309">
        <v>23584</v>
      </c>
      <c r="AB5" s="251">
        <v>29738</v>
      </c>
      <c r="AC5" s="249">
        <f t="shared" si="16"/>
        <v>26.093962008141112</v>
      </c>
      <c r="AD5" s="251">
        <v>41682</v>
      </c>
      <c r="AE5" s="251">
        <v>29738</v>
      </c>
      <c r="AF5" s="249">
        <f t="shared" si="3"/>
        <v>-28.655054939782161</v>
      </c>
      <c r="AG5" s="250"/>
      <c r="AH5" s="250" t="s">
        <v>58</v>
      </c>
      <c r="AI5" s="309">
        <v>36571</v>
      </c>
      <c r="AJ5" s="251">
        <v>41637</v>
      </c>
      <c r="AK5" s="249">
        <f t="shared" si="17"/>
        <v>13.852506084055671</v>
      </c>
      <c r="AL5" s="251">
        <v>29430</v>
      </c>
      <c r="AM5" s="251">
        <v>41637</v>
      </c>
      <c r="AN5" s="249">
        <f t="shared" si="4"/>
        <v>41.47808358817533</v>
      </c>
      <c r="AO5" s="250"/>
      <c r="AP5" s="250" t="s">
        <v>58</v>
      </c>
      <c r="AQ5" s="309">
        <v>30030</v>
      </c>
      <c r="AR5" s="251">
        <v>29430</v>
      </c>
      <c r="AS5" s="249">
        <f t="shared" si="18"/>
        <v>-1.9980019980019981</v>
      </c>
      <c r="AT5" s="251">
        <v>35531</v>
      </c>
      <c r="AU5" s="251">
        <v>29430</v>
      </c>
      <c r="AV5" s="249">
        <f t="shared" si="5"/>
        <v>-17.170921167431256</v>
      </c>
      <c r="AW5" s="250"/>
      <c r="AX5" s="250" t="s">
        <v>58</v>
      </c>
      <c r="AY5" s="309">
        <v>30911</v>
      </c>
      <c r="AZ5" s="251">
        <v>35531</v>
      </c>
      <c r="BA5" s="249">
        <f t="shared" si="19"/>
        <v>14.946135679855068</v>
      </c>
      <c r="BB5" s="251">
        <v>33721</v>
      </c>
      <c r="BC5" s="251">
        <v>35531</v>
      </c>
      <c r="BD5" s="249">
        <f t="shared" si="6"/>
        <v>5.3675751015687556</v>
      </c>
      <c r="BE5" s="250"/>
      <c r="BF5" s="250" t="s">
        <v>58</v>
      </c>
      <c r="BG5" s="251">
        <v>39673</v>
      </c>
      <c r="BH5" s="251">
        <v>33721</v>
      </c>
      <c r="BI5" s="249">
        <f t="shared" si="20"/>
        <v>-15.002646636251354</v>
      </c>
      <c r="BJ5" s="251">
        <v>47532</v>
      </c>
      <c r="BK5" s="251">
        <v>33721</v>
      </c>
      <c r="BL5" s="249">
        <f t="shared" si="7"/>
        <v>-29.056214760582343</v>
      </c>
      <c r="BM5" s="250"/>
      <c r="BN5" s="250" t="s">
        <v>58</v>
      </c>
      <c r="BO5" s="251">
        <v>44539</v>
      </c>
      <c r="BP5" s="251">
        <v>47532</v>
      </c>
      <c r="BQ5" s="249">
        <f t="shared" si="21"/>
        <v>6.7199532993556215</v>
      </c>
      <c r="BR5" s="251">
        <v>44981</v>
      </c>
      <c r="BS5" s="251">
        <v>47532</v>
      </c>
      <c r="BT5" s="249">
        <f t="shared" si="8"/>
        <v>5.6712834307818856</v>
      </c>
      <c r="BU5" s="249"/>
      <c r="BV5" s="250"/>
      <c r="BW5" s="250" t="s">
        <v>58</v>
      </c>
      <c r="BX5" s="251">
        <v>41876</v>
      </c>
      <c r="BY5" s="251">
        <v>44981</v>
      </c>
      <c r="BZ5" s="249">
        <f t="shared" si="22"/>
        <v>7.4147483045181009</v>
      </c>
      <c r="CA5" s="251">
        <v>37078</v>
      </c>
      <c r="CB5" s="251">
        <v>44981</v>
      </c>
      <c r="CC5" s="249">
        <f t="shared" si="9"/>
        <v>21.31452613409569</v>
      </c>
      <c r="CD5" s="249"/>
      <c r="CE5" s="250"/>
      <c r="CF5" s="250" t="s">
        <v>58</v>
      </c>
      <c r="CG5" s="251">
        <v>37857</v>
      </c>
      <c r="CH5" s="251">
        <v>37078</v>
      </c>
      <c r="CI5" s="249">
        <f t="shared" si="23"/>
        <v>-2.0577436141268457</v>
      </c>
      <c r="CJ5" s="251">
        <v>32992</v>
      </c>
      <c r="CK5" s="251">
        <v>37078</v>
      </c>
      <c r="CL5" s="249">
        <f t="shared" si="24"/>
        <v>12.384820562560622</v>
      </c>
      <c r="CO5" s="250"/>
      <c r="CP5" s="250" t="s">
        <v>58</v>
      </c>
      <c r="CQ5" s="251">
        <v>30507</v>
      </c>
      <c r="CR5" s="251">
        <v>32992</v>
      </c>
      <c r="CS5" s="249">
        <f t="shared" si="25"/>
        <v>8.1456714852328975</v>
      </c>
      <c r="CT5" s="251">
        <v>32395</v>
      </c>
      <c r="CU5" s="251">
        <v>32992</v>
      </c>
      <c r="CV5" s="249">
        <f t="shared" si="26"/>
        <v>1.8428769871893811</v>
      </c>
      <c r="CW5" s="73"/>
      <c r="CX5" s="209"/>
      <c r="CY5" s="209" t="s">
        <v>58</v>
      </c>
      <c r="CZ5" s="210">
        <v>26169</v>
      </c>
      <c r="DA5" s="210">
        <v>31237</v>
      </c>
      <c r="DB5" s="208">
        <f t="shared" si="27"/>
        <v>19.366425923802975</v>
      </c>
      <c r="DC5" s="210">
        <v>22259</v>
      </c>
      <c r="DD5" s="210">
        <v>31237</v>
      </c>
      <c r="DE5" s="208">
        <f t="shared" si="28"/>
        <v>40.334246821510398</v>
      </c>
      <c r="DF5" s="73"/>
      <c r="DG5" s="159"/>
      <c r="DH5" s="159" t="s">
        <v>58</v>
      </c>
      <c r="DI5" s="160">
        <v>22259</v>
      </c>
      <c r="DJ5" s="160">
        <v>22150</v>
      </c>
      <c r="DK5" s="158">
        <f t="shared" si="29"/>
        <v>-0.48968956377195744</v>
      </c>
      <c r="DL5" s="160">
        <v>17431</v>
      </c>
      <c r="DM5" s="160">
        <v>22150</v>
      </c>
      <c r="DN5" s="158">
        <f t="shared" si="30"/>
        <v>27.072457116631288</v>
      </c>
      <c r="DO5" s="155"/>
      <c r="DP5" s="103"/>
      <c r="DQ5" s="103" t="s">
        <v>58</v>
      </c>
      <c r="DR5" s="104">
        <v>13839</v>
      </c>
      <c r="DS5" s="104">
        <v>17431</v>
      </c>
      <c r="DT5" s="102">
        <f t="shared" si="31"/>
        <v>25.955632632415636</v>
      </c>
      <c r="DU5" s="104">
        <v>7580</v>
      </c>
      <c r="DV5" s="104">
        <v>17431</v>
      </c>
      <c r="DW5" s="102">
        <f t="shared" si="32"/>
        <v>129.96042216358839</v>
      </c>
      <c r="DX5" s="73"/>
      <c r="DY5" s="24"/>
      <c r="DZ5" s="24" t="s">
        <v>58</v>
      </c>
      <c r="EA5" s="123">
        <v>12116</v>
      </c>
      <c r="EB5" s="123">
        <v>7580</v>
      </c>
      <c r="EC5" s="125">
        <f t="shared" si="33"/>
        <v>-37.438098382304389</v>
      </c>
      <c r="ED5" s="123">
        <v>15560</v>
      </c>
      <c r="EE5" s="123">
        <v>7580</v>
      </c>
      <c r="EF5" s="125">
        <f t="shared" si="34"/>
        <v>-51.285347043701805</v>
      </c>
      <c r="EG5" s="73"/>
      <c r="EH5" s="103"/>
      <c r="EI5" s="103" t="s">
        <v>58</v>
      </c>
      <c r="EJ5" s="104">
        <v>15632</v>
      </c>
      <c r="EK5" s="104">
        <v>15560</v>
      </c>
      <c r="EL5" s="102">
        <f t="shared" si="35"/>
        <v>-0.46059365404298874</v>
      </c>
      <c r="EM5" s="109">
        <v>12781</v>
      </c>
      <c r="EN5" s="104">
        <v>15560</v>
      </c>
      <c r="EO5" s="102">
        <f t="shared" si="36"/>
        <v>21.743212581175182</v>
      </c>
      <c r="EP5" s="73"/>
      <c r="EQ5" s="77"/>
      <c r="ER5" s="77" t="s">
        <v>58</v>
      </c>
      <c r="ES5" s="78">
        <v>14097</v>
      </c>
      <c r="ET5" s="78">
        <v>12781</v>
      </c>
      <c r="EU5" s="79">
        <f t="shared" si="10"/>
        <v>-9.3353195715400439</v>
      </c>
      <c r="EV5" s="81">
        <v>10657</v>
      </c>
      <c r="EW5" s="78">
        <v>12781</v>
      </c>
      <c r="EX5" s="79">
        <f t="shared" si="11"/>
        <v>19.930562071877638</v>
      </c>
      <c r="EY5" s="61"/>
      <c r="EZ5" s="42" t="s">
        <v>2</v>
      </c>
      <c r="FA5" s="43">
        <v>5872</v>
      </c>
      <c r="FB5" s="43">
        <v>12418</v>
      </c>
      <c r="FC5" s="44">
        <f>(FB5-FA5)/FA5*100</f>
        <v>111.47820163487738</v>
      </c>
      <c r="FD5" s="45">
        <v>12005</v>
      </c>
      <c r="FE5" s="43">
        <v>12418</v>
      </c>
      <c r="FF5" s="44">
        <f>(FE5-FD5)/FD5*100</f>
        <v>3.4402332361516033</v>
      </c>
      <c r="FG5" s="61"/>
      <c r="FH5" s="24" t="s">
        <v>2</v>
      </c>
      <c r="FI5" s="25">
        <v>14835</v>
      </c>
      <c r="FJ5" s="25">
        <v>12005</v>
      </c>
      <c r="FK5" s="32">
        <f>(FJ5-FI5)/FI5*100</f>
        <v>-19.076508257499157</v>
      </c>
      <c r="FL5" s="27">
        <v>14046</v>
      </c>
      <c r="FM5" s="25">
        <v>12005</v>
      </c>
      <c r="FN5" s="32">
        <f>(FM5-FL5)/FL5*100</f>
        <v>-14.530827281788408</v>
      </c>
    </row>
    <row r="6" spans="1:170" x14ac:dyDescent="0.5">
      <c r="A6" s="250"/>
      <c r="B6" s="307" t="s">
        <v>763</v>
      </c>
      <c r="C6" s="309">
        <v>0</v>
      </c>
      <c r="D6" s="251">
        <v>162</v>
      </c>
      <c r="E6" s="249" t="e">
        <f t="shared" si="12"/>
        <v>#DIV/0!</v>
      </c>
      <c r="F6" s="251">
        <v>0</v>
      </c>
      <c r="G6" s="248">
        <f t="shared" si="13"/>
        <v>162</v>
      </c>
      <c r="H6" s="249" t="e">
        <f t="shared" si="0"/>
        <v>#DIV/0!</v>
      </c>
      <c r="I6" s="250"/>
      <c r="J6" s="307" t="s">
        <v>763</v>
      </c>
      <c r="K6" s="309">
        <v>0</v>
      </c>
      <c r="L6" s="251">
        <v>0</v>
      </c>
      <c r="M6" s="249" t="e">
        <f t="shared" si="14"/>
        <v>#DIV/0!</v>
      </c>
      <c r="N6" s="251">
        <v>0</v>
      </c>
      <c r="O6" s="251">
        <v>0</v>
      </c>
      <c r="P6" s="249">
        <v>0</v>
      </c>
      <c r="Q6" s="250"/>
      <c r="R6" s="250"/>
      <c r="S6" s="309"/>
      <c r="T6" s="251"/>
      <c r="U6" s="249"/>
      <c r="V6" s="251"/>
      <c r="W6" s="251"/>
      <c r="X6" s="249"/>
      <c r="Y6" s="250"/>
      <c r="Z6" s="250"/>
      <c r="AA6" s="309"/>
      <c r="AB6" s="251"/>
      <c r="AC6" s="249"/>
      <c r="AD6" s="251"/>
      <c r="AE6" s="251"/>
      <c r="AF6" s="249"/>
      <c r="AG6" s="250"/>
      <c r="AH6" s="250"/>
      <c r="AI6" s="309"/>
      <c r="AJ6" s="251"/>
      <c r="AK6" s="249"/>
      <c r="AL6" s="251"/>
      <c r="AM6" s="251"/>
      <c r="AN6" s="249"/>
      <c r="AO6" s="250"/>
      <c r="AP6" s="250"/>
      <c r="AQ6" s="309"/>
      <c r="AR6" s="251"/>
      <c r="AS6" s="249"/>
      <c r="AT6" s="251"/>
      <c r="AU6" s="251"/>
      <c r="AV6" s="249"/>
      <c r="AW6" s="250"/>
      <c r="AX6" s="250"/>
      <c r="AY6" s="309"/>
      <c r="AZ6" s="251"/>
      <c r="BA6" s="249"/>
      <c r="BB6" s="251"/>
      <c r="BC6" s="251"/>
      <c r="BD6" s="249"/>
      <c r="BE6" s="250"/>
      <c r="BF6" s="250"/>
      <c r="BG6" s="251"/>
      <c r="BH6" s="251"/>
      <c r="BI6" s="249"/>
      <c r="BJ6" s="251"/>
      <c r="BK6" s="251"/>
      <c r="BL6" s="249"/>
      <c r="BM6" s="250"/>
      <c r="BN6" s="250"/>
      <c r="BO6" s="251"/>
      <c r="BP6" s="251"/>
      <c r="BQ6" s="249"/>
      <c r="BR6" s="251"/>
      <c r="BS6" s="251"/>
      <c r="BT6" s="249"/>
      <c r="BU6" s="249"/>
      <c r="BV6" s="250"/>
      <c r="BW6" s="250"/>
      <c r="BX6" s="251"/>
      <c r="BY6" s="251"/>
      <c r="BZ6" s="249"/>
      <c r="CA6" s="251"/>
      <c r="CB6" s="251"/>
      <c r="CC6" s="249"/>
      <c r="CD6" s="249"/>
      <c r="CE6" s="250"/>
      <c r="CF6" s="250"/>
      <c r="CG6" s="251"/>
      <c r="CH6" s="251"/>
      <c r="CI6" s="249"/>
      <c r="CJ6" s="251"/>
      <c r="CK6" s="251"/>
      <c r="CL6" s="249"/>
      <c r="CO6" s="250"/>
      <c r="CP6" s="250"/>
      <c r="CQ6" s="251"/>
      <c r="CR6" s="251"/>
      <c r="CS6" s="249"/>
      <c r="CT6" s="251"/>
      <c r="CU6" s="251"/>
      <c r="CV6" s="249"/>
      <c r="CW6" s="73"/>
      <c r="CX6" s="209"/>
      <c r="CY6" s="209"/>
      <c r="CZ6" s="210"/>
      <c r="DA6" s="210"/>
      <c r="DB6" s="208"/>
      <c r="DC6" s="210"/>
      <c r="DD6" s="210"/>
      <c r="DE6" s="208"/>
      <c r="DF6" s="73"/>
      <c r="DG6" s="159"/>
      <c r="DH6" s="159"/>
      <c r="DI6" s="160"/>
      <c r="DJ6" s="160"/>
      <c r="DK6" s="158"/>
      <c r="DL6" s="160"/>
      <c r="DM6" s="160"/>
      <c r="DN6" s="158"/>
      <c r="DO6" s="155"/>
      <c r="DP6" s="103"/>
      <c r="DQ6" s="103"/>
      <c r="DR6" s="104"/>
      <c r="DS6" s="104"/>
      <c r="DT6" s="102"/>
      <c r="DU6" s="104"/>
      <c r="DV6" s="104"/>
      <c r="DW6" s="102"/>
      <c r="DX6" s="73"/>
      <c r="DY6" s="24"/>
      <c r="DZ6" s="24"/>
      <c r="EA6" s="123"/>
      <c r="EB6" s="123"/>
      <c r="EC6" s="125"/>
      <c r="ED6" s="123"/>
      <c r="EE6" s="123"/>
      <c r="EF6" s="125"/>
      <c r="EG6" s="73"/>
      <c r="EH6" s="103"/>
      <c r="EI6" s="103"/>
      <c r="EJ6" s="104"/>
      <c r="EK6" s="104"/>
      <c r="EL6" s="102"/>
      <c r="EM6" s="109"/>
      <c r="EN6" s="104"/>
      <c r="EO6" s="102"/>
      <c r="EP6" s="73"/>
      <c r="EQ6" s="77"/>
      <c r="ER6" s="77"/>
      <c r="ES6" s="78"/>
      <c r="ET6" s="78"/>
      <c r="EU6" s="79"/>
      <c r="EV6" s="81"/>
      <c r="EW6" s="78"/>
      <c r="EX6" s="79"/>
      <c r="EY6" s="61"/>
      <c r="EZ6" s="42"/>
      <c r="FA6" s="43"/>
      <c r="FB6" s="43"/>
      <c r="FC6" s="44"/>
      <c r="FD6" s="45"/>
      <c r="FE6" s="43"/>
      <c r="FF6" s="44"/>
      <c r="FG6" s="61"/>
      <c r="FH6" s="24"/>
      <c r="FI6" s="25"/>
      <c r="FJ6" s="25"/>
      <c r="FK6" s="32"/>
      <c r="FL6" s="27"/>
      <c r="FM6" s="25"/>
      <c r="FN6" s="32"/>
    </row>
    <row r="7" spans="1:170" x14ac:dyDescent="0.5">
      <c r="A7" s="250"/>
      <c r="B7" s="307" t="s">
        <v>808</v>
      </c>
      <c r="C7" s="309">
        <v>5698</v>
      </c>
      <c r="D7" s="251">
        <v>4638</v>
      </c>
      <c r="E7" s="249">
        <f t="shared" si="12"/>
        <v>-18.603018603018604</v>
      </c>
      <c r="F7" s="251">
        <v>3939</v>
      </c>
      <c r="G7" s="248">
        <f t="shared" si="13"/>
        <v>4638</v>
      </c>
      <c r="H7" s="249">
        <f t="shared" si="0"/>
        <v>17.745620715917745</v>
      </c>
      <c r="I7" s="250"/>
      <c r="J7" s="307" t="s">
        <v>808</v>
      </c>
      <c r="K7" s="309">
        <v>5020</v>
      </c>
      <c r="L7" s="251">
        <v>3939</v>
      </c>
      <c r="M7" s="249">
        <f t="shared" si="14"/>
        <v>-21.533864541832671</v>
      </c>
      <c r="N7" s="251">
        <v>0</v>
      </c>
      <c r="O7" s="251">
        <v>3939</v>
      </c>
      <c r="P7" s="249">
        <v>0</v>
      </c>
      <c r="Q7" s="250"/>
      <c r="R7" s="250"/>
      <c r="S7" s="309"/>
      <c r="T7" s="251"/>
      <c r="U7" s="249"/>
      <c r="V7" s="251"/>
      <c r="W7" s="251"/>
      <c r="X7" s="249"/>
      <c r="Y7" s="250"/>
      <c r="Z7" s="250"/>
      <c r="AA7" s="309"/>
      <c r="AB7" s="251"/>
      <c r="AC7" s="249"/>
      <c r="AD7" s="251"/>
      <c r="AE7" s="251"/>
      <c r="AF7" s="249"/>
      <c r="AG7" s="250"/>
      <c r="AH7" s="250"/>
      <c r="AI7" s="309"/>
      <c r="AJ7" s="251"/>
      <c r="AK7" s="249"/>
      <c r="AL7" s="251"/>
      <c r="AM7" s="251"/>
      <c r="AN7" s="249"/>
      <c r="AO7" s="250"/>
      <c r="AP7" s="250"/>
      <c r="AQ7" s="309"/>
      <c r="AR7" s="251"/>
      <c r="AS7" s="249"/>
      <c r="AT7" s="251"/>
      <c r="AU7" s="251"/>
      <c r="AV7" s="249"/>
      <c r="AW7" s="250"/>
      <c r="AX7" s="250"/>
      <c r="AY7" s="309"/>
      <c r="AZ7" s="251"/>
      <c r="BA7" s="249"/>
      <c r="BB7" s="251"/>
      <c r="BC7" s="251"/>
      <c r="BD7" s="249"/>
      <c r="BE7" s="250"/>
      <c r="BF7" s="250"/>
      <c r="BG7" s="251"/>
      <c r="BH7" s="251"/>
      <c r="BI7" s="249"/>
      <c r="BJ7" s="251"/>
      <c r="BK7" s="251"/>
      <c r="BL7" s="249"/>
      <c r="BM7" s="250"/>
      <c r="BN7" s="250"/>
      <c r="BO7" s="251"/>
      <c r="BP7" s="251"/>
      <c r="BQ7" s="249"/>
      <c r="BR7" s="251"/>
      <c r="BS7" s="251"/>
      <c r="BT7" s="249"/>
      <c r="BU7" s="249"/>
      <c r="BV7" s="250"/>
      <c r="BW7" s="250"/>
      <c r="BX7" s="251"/>
      <c r="BY7" s="251"/>
      <c r="BZ7" s="249"/>
      <c r="CA7" s="251"/>
      <c r="CB7" s="251"/>
      <c r="CC7" s="249"/>
      <c r="CD7" s="249"/>
      <c r="CE7" s="250"/>
      <c r="CF7" s="250"/>
      <c r="CG7" s="251"/>
      <c r="CH7" s="251"/>
      <c r="CI7" s="249"/>
      <c r="CJ7" s="251"/>
      <c r="CK7" s="251"/>
      <c r="CL7" s="249"/>
      <c r="CO7" s="250"/>
      <c r="CP7" s="250"/>
      <c r="CQ7" s="251"/>
      <c r="CR7" s="251"/>
      <c r="CS7" s="249"/>
      <c r="CT7" s="251"/>
      <c r="CU7" s="251"/>
      <c r="CV7" s="249"/>
      <c r="CW7" s="73"/>
      <c r="CX7" s="209"/>
      <c r="CY7" s="209"/>
      <c r="CZ7" s="210"/>
      <c r="DA7" s="210"/>
      <c r="DB7" s="208"/>
      <c r="DC7" s="210"/>
      <c r="DD7" s="210"/>
      <c r="DE7" s="208"/>
      <c r="DF7" s="73"/>
      <c r="DG7" s="159"/>
      <c r="DH7" s="159"/>
      <c r="DI7" s="160"/>
      <c r="DJ7" s="160"/>
      <c r="DK7" s="158"/>
      <c r="DL7" s="160"/>
      <c r="DM7" s="160"/>
      <c r="DN7" s="158"/>
      <c r="DO7" s="155"/>
      <c r="DP7" s="103"/>
      <c r="DQ7" s="103"/>
      <c r="DR7" s="104"/>
      <c r="DS7" s="104"/>
      <c r="DT7" s="102"/>
      <c r="DU7" s="104"/>
      <c r="DV7" s="104"/>
      <c r="DW7" s="102"/>
      <c r="DX7" s="73"/>
      <c r="DY7" s="24"/>
      <c r="DZ7" s="24"/>
      <c r="EA7" s="123"/>
      <c r="EB7" s="123"/>
      <c r="EC7" s="125"/>
      <c r="ED7" s="123"/>
      <c r="EE7" s="123"/>
      <c r="EF7" s="125"/>
      <c r="EG7" s="73"/>
      <c r="EH7" s="103"/>
      <c r="EI7" s="103"/>
      <c r="EJ7" s="104"/>
      <c r="EK7" s="104"/>
      <c r="EL7" s="102"/>
      <c r="EM7" s="109"/>
      <c r="EN7" s="104"/>
      <c r="EO7" s="102"/>
      <c r="EP7" s="73"/>
      <c r="EQ7" s="77"/>
      <c r="ER7" s="77"/>
      <c r="ES7" s="78"/>
      <c r="ET7" s="78"/>
      <c r="EU7" s="79"/>
      <c r="EV7" s="81"/>
      <c r="EW7" s="78"/>
      <c r="EX7" s="79"/>
      <c r="EY7" s="61"/>
      <c r="EZ7" s="42"/>
      <c r="FA7" s="43"/>
      <c r="FB7" s="43"/>
      <c r="FC7" s="44"/>
      <c r="FD7" s="45"/>
      <c r="FE7" s="43"/>
      <c r="FF7" s="44"/>
      <c r="FG7" s="61"/>
      <c r="FH7" s="24"/>
      <c r="FI7" s="25"/>
      <c r="FJ7" s="25"/>
      <c r="FK7" s="32"/>
      <c r="FL7" s="27"/>
      <c r="FM7" s="25"/>
      <c r="FN7" s="32"/>
    </row>
    <row r="8" spans="1:170" x14ac:dyDescent="0.5">
      <c r="A8" s="247" t="s">
        <v>1</v>
      </c>
      <c r="B8" s="247"/>
      <c r="C8" s="267">
        <v>147563</v>
      </c>
      <c r="D8" s="285">
        <f>D10+D11+D12+D13+D14</f>
        <v>151331</v>
      </c>
      <c r="E8" s="249">
        <f t="shared" si="12"/>
        <v>2.5534856298665658</v>
      </c>
      <c r="F8" s="285">
        <v>149938</v>
      </c>
      <c r="G8" s="248">
        <f t="shared" si="13"/>
        <v>151331</v>
      </c>
      <c r="H8" s="249">
        <f t="shared" ref="H8" si="37">((G8-F8)/F8)*100</f>
        <v>0.9290506742787018</v>
      </c>
      <c r="I8" s="247" t="s">
        <v>1</v>
      </c>
      <c r="J8" s="247"/>
      <c r="K8" s="267">
        <v>143663</v>
      </c>
      <c r="L8" s="285">
        <v>149938</v>
      </c>
      <c r="M8" s="249">
        <f t="shared" si="14"/>
        <v>4.367860896681818</v>
      </c>
      <c r="N8" s="285">
        <v>184462</v>
      </c>
      <c r="O8" s="285">
        <v>149938</v>
      </c>
      <c r="P8" s="249">
        <f t="shared" si="1"/>
        <v>-18.716049918140321</v>
      </c>
      <c r="Q8" s="247" t="s">
        <v>1</v>
      </c>
      <c r="R8" s="247"/>
      <c r="S8" s="267">
        <v>162847</v>
      </c>
      <c r="T8" s="285">
        <v>184462</v>
      </c>
      <c r="U8" s="249">
        <f t="shared" si="15"/>
        <v>13.273195084957045</v>
      </c>
      <c r="V8" s="285">
        <v>153928</v>
      </c>
      <c r="W8" s="285">
        <v>184462</v>
      </c>
      <c r="X8" s="249">
        <f t="shared" si="2"/>
        <v>19.836546957018868</v>
      </c>
      <c r="Y8" s="247" t="s">
        <v>1</v>
      </c>
      <c r="Z8" s="247"/>
      <c r="AA8" s="267">
        <v>149124</v>
      </c>
      <c r="AB8" s="285">
        <v>153928</v>
      </c>
      <c r="AC8" s="249">
        <f t="shared" si="16"/>
        <v>3.2214801105120574</v>
      </c>
      <c r="AD8" s="285">
        <v>169672</v>
      </c>
      <c r="AE8" s="285">
        <v>153928</v>
      </c>
      <c r="AF8" s="249">
        <f t="shared" si="3"/>
        <v>-9.2790796360035834</v>
      </c>
      <c r="AG8" s="247" t="s">
        <v>1</v>
      </c>
      <c r="AH8" s="247"/>
      <c r="AI8" s="267">
        <v>130130</v>
      </c>
      <c r="AJ8" s="285">
        <v>169672</v>
      </c>
      <c r="AK8" s="249">
        <f t="shared" si="17"/>
        <v>30.386536540382693</v>
      </c>
      <c r="AL8" s="285">
        <v>146740</v>
      </c>
      <c r="AM8" s="285">
        <v>169672</v>
      </c>
      <c r="AN8" s="249">
        <f t="shared" si="4"/>
        <v>15.627640725091998</v>
      </c>
      <c r="AO8" s="247" t="s">
        <v>1</v>
      </c>
      <c r="AP8" s="247"/>
      <c r="AQ8" s="267">
        <v>138998</v>
      </c>
      <c r="AR8" s="285">
        <v>146740</v>
      </c>
      <c r="AS8" s="249">
        <f t="shared" si="18"/>
        <v>5.5698643145944544</v>
      </c>
      <c r="AT8" s="285">
        <v>167777</v>
      </c>
      <c r="AU8" s="285">
        <v>146740</v>
      </c>
      <c r="AV8" s="249">
        <f t="shared" si="5"/>
        <v>-12.538667397795884</v>
      </c>
      <c r="AW8" s="247" t="s">
        <v>1</v>
      </c>
      <c r="AX8" s="247"/>
      <c r="AY8" s="267">
        <v>145355</v>
      </c>
      <c r="AZ8" s="285">
        <v>167777</v>
      </c>
      <c r="BA8" s="249">
        <f t="shared" si="19"/>
        <v>15.425681951085274</v>
      </c>
      <c r="BB8" s="248">
        <v>164576</v>
      </c>
      <c r="BC8" s="248">
        <v>167777</v>
      </c>
      <c r="BD8" s="249">
        <f t="shared" si="6"/>
        <v>1.9449980556095665</v>
      </c>
      <c r="BE8" s="247" t="s">
        <v>1</v>
      </c>
      <c r="BF8" s="247"/>
      <c r="BG8" s="248">
        <v>145429</v>
      </c>
      <c r="BH8" s="248">
        <v>164576</v>
      </c>
      <c r="BI8" s="249">
        <f t="shared" si="20"/>
        <v>13.165874756754157</v>
      </c>
      <c r="BJ8" s="248">
        <v>164034</v>
      </c>
      <c r="BK8" s="248">
        <v>164576</v>
      </c>
      <c r="BL8" s="249">
        <f t="shared" si="7"/>
        <v>0.33041930331516639</v>
      </c>
      <c r="BM8" s="247" t="s">
        <v>1</v>
      </c>
      <c r="BN8" s="247"/>
      <c r="BO8" s="248">
        <v>150525</v>
      </c>
      <c r="BP8" s="248">
        <v>164034</v>
      </c>
      <c r="BQ8" s="249">
        <f t="shared" si="21"/>
        <v>8.9745889387144988</v>
      </c>
      <c r="BR8" s="248">
        <v>161993</v>
      </c>
      <c r="BS8" s="248">
        <v>164034</v>
      </c>
      <c r="BT8" s="249">
        <f t="shared" si="8"/>
        <v>1.2599309846721771</v>
      </c>
      <c r="BU8" s="249"/>
      <c r="BV8" s="247" t="s">
        <v>1</v>
      </c>
      <c r="BW8" s="247"/>
      <c r="BX8" s="248">
        <v>125874</v>
      </c>
      <c r="BY8" s="248">
        <v>155183</v>
      </c>
      <c r="BZ8" s="249">
        <f t="shared" si="22"/>
        <v>23.284395506617727</v>
      </c>
      <c r="CA8" s="248">
        <v>183977</v>
      </c>
      <c r="CB8" s="248">
        <v>155183</v>
      </c>
      <c r="CC8" s="249">
        <f t="shared" si="9"/>
        <v>-15.65086940215353</v>
      </c>
      <c r="CD8" s="249"/>
      <c r="CE8" s="247" t="s">
        <v>1</v>
      </c>
      <c r="CF8" s="247"/>
      <c r="CG8" s="248">
        <v>152037</v>
      </c>
      <c r="CH8" s="248">
        <v>183976</v>
      </c>
      <c r="CI8" s="249">
        <f t="shared" si="23"/>
        <v>21.007386359899236</v>
      </c>
      <c r="CJ8" s="248">
        <v>156029</v>
      </c>
      <c r="CK8" s="248">
        <v>183976</v>
      </c>
      <c r="CL8" s="249">
        <f t="shared" si="24"/>
        <v>17.911413903825572</v>
      </c>
      <c r="CO8" s="247" t="s">
        <v>1</v>
      </c>
      <c r="CP8" s="247"/>
      <c r="CQ8" s="248">
        <f>SUM(CQ9:CQ11)</f>
        <v>150161</v>
      </c>
      <c r="CR8" s="248">
        <f>SUM(CR9:CR11)</f>
        <v>156029</v>
      </c>
      <c r="CS8" s="249">
        <f t="shared" si="25"/>
        <v>3.9078056219657569</v>
      </c>
      <c r="CT8" s="248">
        <f>SUM(CT9:CT11)</f>
        <v>191076</v>
      </c>
      <c r="CU8" s="248">
        <v>156029</v>
      </c>
      <c r="CV8" s="249">
        <f t="shared" si="26"/>
        <v>-18.341916305553809</v>
      </c>
      <c r="CW8" s="73"/>
      <c r="CX8" s="206" t="s">
        <v>1</v>
      </c>
      <c r="CY8" s="206"/>
      <c r="CZ8" s="207">
        <f>SUM(CZ9:CZ11)</f>
        <v>180253</v>
      </c>
      <c r="DA8" s="207">
        <f>SUM(DA9:DA11)</f>
        <v>177736</v>
      </c>
      <c r="DB8" s="208">
        <f t="shared" si="27"/>
        <v>-1.3963706567990546</v>
      </c>
      <c r="DC8" s="207">
        <f>SUM(DC9:DC11)</f>
        <v>178619</v>
      </c>
      <c r="DD8" s="207">
        <f>SUM(DD9:DD11)</f>
        <v>177736</v>
      </c>
      <c r="DE8" s="208">
        <f t="shared" si="28"/>
        <v>-0.49434830561138515</v>
      </c>
      <c r="DF8" s="73"/>
      <c r="DG8" s="156" t="s">
        <v>1</v>
      </c>
      <c r="DH8" s="156"/>
      <c r="DI8" s="157">
        <f>SUM(DI9:DI11)</f>
        <v>178619</v>
      </c>
      <c r="DJ8" s="157">
        <f>SUM(DJ9:DJ11)</f>
        <v>190944</v>
      </c>
      <c r="DK8" s="158">
        <f t="shared" si="29"/>
        <v>6.900161796897307</v>
      </c>
      <c r="DL8" s="157">
        <v>192124</v>
      </c>
      <c r="DM8" s="157">
        <v>190944</v>
      </c>
      <c r="DN8" s="158">
        <f t="shared" si="30"/>
        <v>-0.61418667110824254</v>
      </c>
      <c r="DO8" s="155"/>
      <c r="DP8" s="100" t="s">
        <v>1</v>
      </c>
      <c r="DQ8" s="100"/>
      <c r="DR8" s="101">
        <f>SUM(DR9:DR11)</f>
        <v>167298</v>
      </c>
      <c r="DS8" s="101">
        <f>SUM(DS9:DS11)</f>
        <v>192120</v>
      </c>
      <c r="DT8" s="102">
        <f t="shared" si="31"/>
        <v>14.836997453645589</v>
      </c>
      <c r="DU8" s="101">
        <f>SUM(DU9:DU11)</f>
        <v>169420</v>
      </c>
      <c r="DV8" s="101">
        <f>SUM(DV9:DV11)</f>
        <v>192120</v>
      </c>
      <c r="DW8" s="102">
        <f t="shared" si="32"/>
        <v>13.39865423208594</v>
      </c>
      <c r="DX8" s="73"/>
      <c r="DY8" s="120" t="s">
        <v>1</v>
      </c>
      <c r="DZ8" s="120"/>
      <c r="EA8" s="121">
        <f>SUM(EA9:EA11)</f>
        <v>143683</v>
      </c>
      <c r="EB8" s="121">
        <f>SUM(EB9:EB11)</f>
        <v>169420</v>
      </c>
      <c r="EC8" s="125">
        <f t="shared" si="33"/>
        <v>17.912348712095376</v>
      </c>
      <c r="ED8" s="121">
        <v>126875</v>
      </c>
      <c r="EE8" s="121">
        <f>SUM(EE9:EE11)</f>
        <v>169420</v>
      </c>
      <c r="EF8" s="125">
        <f t="shared" si="34"/>
        <v>33.533004926108376</v>
      </c>
      <c r="EG8" s="73"/>
      <c r="EH8" s="100" t="s">
        <v>1</v>
      </c>
      <c r="EI8" s="100"/>
      <c r="EJ8" s="101">
        <f>SUM(EJ9:EJ11)</f>
        <v>119477</v>
      </c>
      <c r="EK8" s="101">
        <f>SUM(EK9:EK11)</f>
        <v>126875</v>
      </c>
      <c r="EL8" s="102">
        <f t="shared" si="35"/>
        <v>6.1919867422181678</v>
      </c>
      <c r="EM8" s="101">
        <f>SUM(EM9:EM11)</f>
        <v>144797</v>
      </c>
      <c r="EN8" s="101">
        <v>126875</v>
      </c>
      <c r="EO8" s="102">
        <f t="shared" si="36"/>
        <v>-12.377328259563388</v>
      </c>
      <c r="EP8" s="73"/>
      <c r="EQ8" s="74" t="s">
        <v>1</v>
      </c>
      <c r="ER8" s="74"/>
      <c r="ES8" s="75">
        <f>SUM(ES9:ES11)</f>
        <v>147104</v>
      </c>
      <c r="ET8" s="75">
        <f>SUM(ET9:ET11)</f>
        <v>144758</v>
      </c>
      <c r="EU8" s="76">
        <f t="shared" si="10"/>
        <v>-1.5947900804872743</v>
      </c>
      <c r="EV8" s="75">
        <f>SUM(EV9:EV11)</f>
        <v>139329</v>
      </c>
      <c r="EW8" s="75">
        <f>SUM(EW9:EW11)</f>
        <v>144758</v>
      </c>
      <c r="EX8" s="76">
        <f t="shared" si="11"/>
        <v>3.8965326672839105</v>
      </c>
      <c r="EY8" s="73"/>
    </row>
    <row r="9" spans="1:170" x14ac:dyDescent="0.5">
      <c r="A9" s="250"/>
      <c r="B9" s="307" t="s">
        <v>521</v>
      </c>
      <c r="C9" s="309">
        <v>0</v>
      </c>
      <c r="D9" s="335">
        <v>0</v>
      </c>
      <c r="E9" s="336" t="s">
        <v>530</v>
      </c>
      <c r="F9" s="335">
        <v>0</v>
      </c>
      <c r="G9" s="335">
        <f>D9</f>
        <v>0</v>
      </c>
      <c r="H9" s="344" t="s">
        <v>530</v>
      </c>
      <c r="I9" s="250"/>
      <c r="J9" s="307" t="s">
        <v>521</v>
      </c>
      <c r="K9" s="309">
        <v>0</v>
      </c>
      <c r="L9" s="335">
        <v>0</v>
      </c>
      <c r="M9" s="336" t="s">
        <v>530</v>
      </c>
      <c r="N9" s="335" t="s">
        <v>530</v>
      </c>
      <c r="O9" s="335">
        <v>0</v>
      </c>
      <c r="P9" s="344" t="s">
        <v>530</v>
      </c>
      <c r="Q9" s="250"/>
      <c r="R9" s="307" t="s">
        <v>521</v>
      </c>
      <c r="S9" s="309">
        <v>0</v>
      </c>
      <c r="T9" s="335" t="s">
        <v>530</v>
      </c>
      <c r="U9" s="336" t="s">
        <v>530</v>
      </c>
      <c r="V9" s="289">
        <v>0</v>
      </c>
      <c r="W9" s="335" t="s">
        <v>530</v>
      </c>
      <c r="X9" s="344" t="s">
        <v>530</v>
      </c>
      <c r="Y9" s="250"/>
      <c r="Z9" s="307" t="s">
        <v>521</v>
      </c>
      <c r="AA9" s="309">
        <v>0</v>
      </c>
      <c r="AB9" s="335">
        <v>0</v>
      </c>
      <c r="AC9" s="336" t="s">
        <v>530</v>
      </c>
      <c r="AD9" s="289">
        <v>0</v>
      </c>
      <c r="AE9" s="335">
        <v>0</v>
      </c>
      <c r="AF9" s="344" t="s">
        <v>530</v>
      </c>
      <c r="AG9" s="250"/>
      <c r="AH9" s="307" t="s">
        <v>521</v>
      </c>
      <c r="AI9" s="309">
        <v>0</v>
      </c>
      <c r="AJ9" s="335">
        <v>0</v>
      </c>
      <c r="AK9" s="336" t="s">
        <v>530</v>
      </c>
      <c r="AL9" s="289" t="s">
        <v>530</v>
      </c>
      <c r="AM9" s="335">
        <v>0</v>
      </c>
      <c r="AN9" s="344" t="s">
        <v>530</v>
      </c>
      <c r="AO9" s="250"/>
      <c r="AP9" s="307" t="s">
        <v>521</v>
      </c>
      <c r="AQ9" s="309" t="s">
        <v>530</v>
      </c>
      <c r="AR9" s="335" t="s">
        <v>530</v>
      </c>
      <c r="AS9" s="336" t="s">
        <v>530</v>
      </c>
      <c r="AT9" s="289" t="s">
        <v>530</v>
      </c>
      <c r="AU9" s="335" t="s">
        <v>530</v>
      </c>
      <c r="AV9" s="344" t="s">
        <v>530</v>
      </c>
      <c r="AW9" s="250"/>
      <c r="AX9" s="307" t="s">
        <v>521</v>
      </c>
      <c r="AY9" s="309" t="s">
        <v>530</v>
      </c>
      <c r="AZ9" s="289" t="s">
        <v>530</v>
      </c>
      <c r="BA9" s="336" t="s">
        <v>530</v>
      </c>
      <c r="BB9" s="289">
        <v>9</v>
      </c>
      <c r="BC9" s="289" t="s">
        <v>530</v>
      </c>
      <c r="BD9" s="249">
        <f t="shared" si="6"/>
        <v>-100</v>
      </c>
      <c r="BE9" s="250"/>
      <c r="BF9" s="307" t="s">
        <v>521</v>
      </c>
      <c r="BG9" s="252">
        <v>19</v>
      </c>
      <c r="BH9" s="252">
        <v>9</v>
      </c>
      <c r="BI9" s="249">
        <f t="shared" si="20"/>
        <v>-52.631578947368418</v>
      </c>
      <c r="BJ9" s="252"/>
      <c r="BK9" s="252">
        <v>9</v>
      </c>
      <c r="BL9" s="249"/>
      <c r="BM9" s="250"/>
      <c r="BN9" s="332" t="s">
        <v>435</v>
      </c>
      <c r="BO9" s="252">
        <v>7</v>
      </c>
      <c r="BP9" s="252">
        <v>7</v>
      </c>
      <c r="BQ9" s="249">
        <f t="shared" si="21"/>
        <v>0</v>
      </c>
      <c r="BR9" s="252">
        <v>24</v>
      </c>
      <c r="BS9" s="252">
        <v>7</v>
      </c>
      <c r="BT9" s="249">
        <f t="shared" si="8"/>
        <v>-70.833333333333343</v>
      </c>
      <c r="BU9" s="249"/>
      <c r="BV9" s="250"/>
      <c r="BW9" s="250" t="s">
        <v>57</v>
      </c>
      <c r="BX9" s="252">
        <v>60811</v>
      </c>
      <c r="BY9" s="252">
        <v>74675</v>
      </c>
      <c r="BZ9" s="249">
        <f t="shared" si="22"/>
        <v>22.798506849089804</v>
      </c>
      <c r="CA9" s="252">
        <v>93088</v>
      </c>
      <c r="CB9" s="252">
        <v>74675</v>
      </c>
      <c r="CC9" s="249">
        <f t="shared" si="9"/>
        <v>-19.780207975249226</v>
      </c>
      <c r="CD9" s="249"/>
      <c r="CE9" s="250"/>
      <c r="CF9" s="250" t="s">
        <v>57</v>
      </c>
      <c r="CG9" s="252">
        <v>75990</v>
      </c>
      <c r="CH9" s="252">
        <v>93066</v>
      </c>
      <c r="CI9" s="249">
        <f t="shared" si="23"/>
        <v>22.471377812870113</v>
      </c>
      <c r="CJ9" s="252">
        <v>75510</v>
      </c>
      <c r="CK9" s="252">
        <v>93066</v>
      </c>
      <c r="CL9" s="249">
        <f t="shared" si="24"/>
        <v>23.249900675407233</v>
      </c>
      <c r="CO9" s="250"/>
      <c r="CP9" s="250" t="s">
        <v>57</v>
      </c>
      <c r="CQ9" s="252">
        <v>72644</v>
      </c>
      <c r="CR9" s="252">
        <v>74609</v>
      </c>
      <c r="CS9" s="249">
        <f t="shared" si="25"/>
        <v>2.7049721931611694</v>
      </c>
      <c r="CT9" s="252">
        <v>90278</v>
      </c>
      <c r="CU9" s="252">
        <v>74609</v>
      </c>
      <c r="CV9" s="249">
        <f t="shared" si="26"/>
        <v>-17.356388045814043</v>
      </c>
      <c r="CW9" s="73"/>
      <c r="CX9" s="209"/>
      <c r="CY9" s="209" t="s">
        <v>57</v>
      </c>
      <c r="CZ9" s="211">
        <v>86632</v>
      </c>
      <c r="DA9" s="211">
        <v>87013</v>
      </c>
      <c r="DB9" s="208">
        <f t="shared" si="27"/>
        <v>0.43979130113583897</v>
      </c>
      <c r="DC9" s="211">
        <v>83688</v>
      </c>
      <c r="DD9" s="211">
        <v>87013</v>
      </c>
      <c r="DE9" s="208">
        <f t="shared" si="28"/>
        <v>3.9730905267182868</v>
      </c>
      <c r="DF9" s="73"/>
      <c r="DG9" s="159"/>
      <c r="DH9" s="159" t="s">
        <v>57</v>
      </c>
      <c r="DI9" s="161">
        <v>83015</v>
      </c>
      <c r="DJ9" s="161">
        <v>91317</v>
      </c>
      <c r="DK9" s="158">
        <f t="shared" si="29"/>
        <v>10.000602300789014</v>
      </c>
      <c r="DL9" s="161">
        <v>92674</v>
      </c>
      <c r="DM9" s="161">
        <v>91317</v>
      </c>
      <c r="DN9" s="158">
        <f t="shared" si="30"/>
        <v>-1.4642726115199516</v>
      </c>
      <c r="DO9" s="155"/>
      <c r="DP9" s="103"/>
      <c r="DQ9" s="103" t="s">
        <v>57</v>
      </c>
      <c r="DR9" s="105">
        <v>79232</v>
      </c>
      <c r="DS9" s="105">
        <v>92674</v>
      </c>
      <c r="DT9" s="102">
        <f t="shared" si="31"/>
        <v>16.965367528271404</v>
      </c>
      <c r="DU9" s="105">
        <v>78635</v>
      </c>
      <c r="DV9" s="105">
        <v>92674</v>
      </c>
      <c r="DW9" s="102">
        <f t="shared" si="32"/>
        <v>17.853373179881732</v>
      </c>
      <c r="DX9" s="73"/>
      <c r="DY9" s="24"/>
      <c r="DZ9" s="24" t="s">
        <v>57</v>
      </c>
      <c r="EA9" s="25">
        <v>67443</v>
      </c>
      <c r="EB9" s="25">
        <v>78635</v>
      </c>
      <c r="EC9" s="125">
        <f t="shared" si="33"/>
        <v>16.59475408863781</v>
      </c>
      <c r="ED9" s="25">
        <v>63740</v>
      </c>
      <c r="EE9" s="25">
        <v>78635</v>
      </c>
      <c r="EF9" s="125">
        <f t="shared" si="34"/>
        <v>23.368371509256352</v>
      </c>
      <c r="EG9" s="73"/>
      <c r="EH9" s="103"/>
      <c r="EI9" s="103" t="s">
        <v>57</v>
      </c>
      <c r="EJ9" s="105">
        <v>59364</v>
      </c>
      <c r="EK9" s="105">
        <v>63740</v>
      </c>
      <c r="EL9" s="102">
        <f t="shared" si="35"/>
        <v>7.3714709251398158</v>
      </c>
      <c r="EM9" s="109">
        <v>72397</v>
      </c>
      <c r="EN9" s="105">
        <v>63740</v>
      </c>
      <c r="EO9" s="102">
        <f t="shared" si="36"/>
        <v>-11.95767780432891</v>
      </c>
      <c r="EP9" s="73"/>
      <c r="EQ9" s="77"/>
      <c r="ER9" s="77" t="s">
        <v>57</v>
      </c>
      <c r="ES9" s="80">
        <v>78939</v>
      </c>
      <c r="ET9" s="80">
        <v>76374</v>
      </c>
      <c r="EU9" s="79">
        <f t="shared" si="10"/>
        <v>-3.249344430509634</v>
      </c>
      <c r="EV9" s="81">
        <v>73302</v>
      </c>
      <c r="EW9" s="80">
        <v>76374</v>
      </c>
      <c r="EX9" s="79">
        <f t="shared" si="11"/>
        <v>4.1908815584840795</v>
      </c>
      <c r="EY9" s="61"/>
      <c r="FA9" t="s">
        <v>48</v>
      </c>
      <c r="FI9" t="s">
        <v>10</v>
      </c>
    </row>
    <row r="10" spans="1:170" x14ac:dyDescent="0.5">
      <c r="A10" s="250"/>
      <c r="B10" s="307" t="s">
        <v>522</v>
      </c>
      <c r="C10" s="309">
        <v>48581</v>
      </c>
      <c r="D10" s="289">
        <v>51582</v>
      </c>
      <c r="E10" s="249">
        <f t="shared" ref="E10:E18" si="38">((D10-C10)/C10)*100</f>
        <v>6.177312117906177</v>
      </c>
      <c r="F10" s="289">
        <v>55730</v>
      </c>
      <c r="G10" s="335">
        <f t="shared" ref="G10:G18" si="39">D10</f>
        <v>51582</v>
      </c>
      <c r="H10" s="249">
        <f t="shared" ref="H10:H13" si="40">((G10-F10)/F10)*100</f>
        <v>-7.4430288892876364</v>
      </c>
      <c r="I10" s="250"/>
      <c r="J10" s="307" t="s">
        <v>522</v>
      </c>
      <c r="K10" s="309">
        <v>53146</v>
      </c>
      <c r="L10" s="289">
        <v>55730</v>
      </c>
      <c r="M10" s="249">
        <f t="shared" ref="M10:M18" si="41">((L10-K10)/K10)*100</f>
        <v>4.8620780491476312</v>
      </c>
      <c r="N10" s="289">
        <v>80822</v>
      </c>
      <c r="O10" s="289">
        <v>55730</v>
      </c>
      <c r="P10" s="249">
        <f t="shared" ref="P10:P13" si="42">((O10-N10)/N10)*100</f>
        <v>-31.04600232609933</v>
      </c>
      <c r="Q10" s="250"/>
      <c r="R10" s="307" t="s">
        <v>522</v>
      </c>
      <c r="S10" s="309">
        <v>69931</v>
      </c>
      <c r="T10" s="289">
        <v>80822</v>
      </c>
      <c r="U10" s="249">
        <f t="shared" ref="U10:U18" si="43">((T10-S10)/S10)*100</f>
        <v>15.573922866825871</v>
      </c>
      <c r="V10" s="289">
        <v>55182</v>
      </c>
      <c r="W10" s="289">
        <v>80822</v>
      </c>
      <c r="X10" s="249">
        <f t="shared" ref="X10:X13" si="44">((W10-V10)/V10)*100</f>
        <v>46.464426805842486</v>
      </c>
      <c r="Y10" s="250"/>
      <c r="Z10" s="307" t="s">
        <v>522</v>
      </c>
      <c r="AA10" s="309">
        <v>64868</v>
      </c>
      <c r="AB10" s="289">
        <v>55182</v>
      </c>
      <c r="AC10" s="249">
        <f t="shared" ref="AC10:AC18" si="45">((AB10-AA10)/AA10)*100</f>
        <v>-14.931861626688042</v>
      </c>
      <c r="AD10" s="289">
        <v>82338</v>
      </c>
      <c r="AE10" s="289">
        <v>55182</v>
      </c>
      <c r="AF10" s="249">
        <f t="shared" ref="AF10:AF13" si="46">((AE10-AD10)/AD10)*100</f>
        <v>-32.981126575821612</v>
      </c>
      <c r="AG10" s="250"/>
      <c r="AH10" s="307" t="s">
        <v>522</v>
      </c>
      <c r="AI10" s="309">
        <v>62096</v>
      </c>
      <c r="AJ10" s="289">
        <v>82338</v>
      </c>
      <c r="AK10" s="249">
        <f t="shared" ref="AK10:AK18" si="47">((AJ10-AI10)/AI10)*100</f>
        <v>32.597912909044062</v>
      </c>
      <c r="AL10" s="289">
        <v>70627</v>
      </c>
      <c r="AM10" s="289">
        <v>82338</v>
      </c>
      <c r="AN10" s="249">
        <f t="shared" ref="AN10:AN13" si="48">((AM10-AL10)/AL10)*100</f>
        <v>16.581477338694832</v>
      </c>
      <c r="AO10" s="250"/>
      <c r="AP10" s="307" t="s">
        <v>522</v>
      </c>
      <c r="AQ10" s="309">
        <v>67113</v>
      </c>
      <c r="AR10" s="289">
        <v>70627</v>
      </c>
      <c r="AS10" s="249">
        <f t="shared" ref="AS10:AS18" si="49">((AR10-AQ10)/AQ10)*100</f>
        <v>5.2359453459091387</v>
      </c>
      <c r="AT10" s="289">
        <v>88378</v>
      </c>
      <c r="AU10" s="289">
        <v>70627</v>
      </c>
      <c r="AV10" s="249">
        <f t="shared" si="5"/>
        <v>-20.085315349973975</v>
      </c>
      <c r="AW10" s="250"/>
      <c r="AX10" s="307" t="s">
        <v>522</v>
      </c>
      <c r="AY10" s="309">
        <v>75396</v>
      </c>
      <c r="AZ10" s="289">
        <v>88378</v>
      </c>
      <c r="BA10" s="249">
        <f t="shared" si="19"/>
        <v>17.218420075335562</v>
      </c>
      <c r="BB10" s="252">
        <v>83552</v>
      </c>
      <c r="BC10" s="252">
        <v>88378</v>
      </c>
      <c r="BD10" s="249">
        <f t="shared" si="6"/>
        <v>5.7760436614324018</v>
      </c>
      <c r="BE10" s="250"/>
      <c r="BF10" s="307" t="s">
        <v>522</v>
      </c>
      <c r="BG10" s="252">
        <v>74859</v>
      </c>
      <c r="BH10" s="252">
        <v>83552</v>
      </c>
      <c r="BI10" s="249">
        <f t="shared" si="20"/>
        <v>11.612498163213509</v>
      </c>
      <c r="BJ10" s="252"/>
      <c r="BK10" s="252">
        <v>83552</v>
      </c>
      <c r="BL10" s="249"/>
      <c r="BM10" s="250"/>
      <c r="BN10" s="332" t="s">
        <v>436</v>
      </c>
      <c r="BO10" s="252">
        <v>127112</v>
      </c>
      <c r="BP10" s="252">
        <v>138679</v>
      </c>
      <c r="BQ10" s="249">
        <f t="shared" si="21"/>
        <v>9.0998489521052299</v>
      </c>
      <c r="BR10" s="252">
        <v>140419</v>
      </c>
      <c r="BS10" s="252">
        <v>138679</v>
      </c>
      <c r="BT10" s="249">
        <f t="shared" si="8"/>
        <v>-1.2391485482733819</v>
      </c>
      <c r="BU10" s="249"/>
      <c r="BV10" s="250"/>
      <c r="BW10" s="250" t="s">
        <v>59</v>
      </c>
      <c r="BX10" s="252">
        <v>44901</v>
      </c>
      <c r="BY10" s="252">
        <v>54584</v>
      </c>
      <c r="BZ10" s="249">
        <f t="shared" si="22"/>
        <v>21.56522126455981</v>
      </c>
      <c r="CA10" s="252">
        <v>65719</v>
      </c>
      <c r="CB10" s="252">
        <v>54584</v>
      </c>
      <c r="CC10" s="249">
        <f t="shared" si="9"/>
        <v>-16.943349716216012</v>
      </c>
      <c r="CD10" s="249"/>
      <c r="CE10" s="250"/>
      <c r="CF10" s="250" t="s">
        <v>59</v>
      </c>
      <c r="CG10" s="252">
        <v>55143</v>
      </c>
      <c r="CH10" s="252">
        <v>65700</v>
      </c>
      <c r="CI10" s="249">
        <f t="shared" si="23"/>
        <v>19.144769055002449</v>
      </c>
      <c r="CJ10" s="252">
        <v>61617</v>
      </c>
      <c r="CK10" s="252">
        <v>65700</v>
      </c>
      <c r="CL10" s="249">
        <f t="shared" si="24"/>
        <v>6.6264180339841268</v>
      </c>
      <c r="CO10" s="250"/>
      <c r="CP10" s="250" t="s">
        <v>59</v>
      </c>
      <c r="CQ10" s="252">
        <v>61227</v>
      </c>
      <c r="CR10" s="252">
        <v>61617</v>
      </c>
      <c r="CS10" s="249">
        <f t="shared" si="25"/>
        <v>0.63697388407075306</v>
      </c>
      <c r="CT10" s="252">
        <v>87447</v>
      </c>
      <c r="CU10" s="252">
        <v>61617</v>
      </c>
      <c r="CV10" s="249">
        <f t="shared" si="26"/>
        <v>-29.53789152286528</v>
      </c>
      <c r="CW10" s="73"/>
      <c r="CX10" s="209"/>
      <c r="CY10" s="209" t="s">
        <v>59</v>
      </c>
      <c r="CZ10" s="211">
        <v>84622</v>
      </c>
      <c r="DA10" s="211">
        <v>79026</v>
      </c>
      <c r="DB10" s="208">
        <f t="shared" si="27"/>
        <v>-6.6129375339746161</v>
      </c>
      <c r="DC10" s="211">
        <v>90194</v>
      </c>
      <c r="DD10" s="211">
        <v>79026</v>
      </c>
      <c r="DE10" s="208">
        <f t="shared" si="28"/>
        <v>-12.382198372397276</v>
      </c>
      <c r="DF10" s="73"/>
      <c r="DG10" s="159"/>
      <c r="DH10" s="159" t="s">
        <v>59</v>
      </c>
      <c r="DI10" s="161">
        <v>90022</v>
      </c>
      <c r="DJ10" s="161">
        <v>92486</v>
      </c>
      <c r="DK10" s="158">
        <f t="shared" si="29"/>
        <v>2.7371087067605697</v>
      </c>
      <c r="DL10" s="161">
        <v>93703</v>
      </c>
      <c r="DM10" s="161">
        <v>92486</v>
      </c>
      <c r="DN10" s="158">
        <f t="shared" si="30"/>
        <v>-1.2987844572745804</v>
      </c>
      <c r="DO10" s="155"/>
      <c r="DP10" s="103"/>
      <c r="DQ10" s="103" t="s">
        <v>59</v>
      </c>
      <c r="DR10" s="105">
        <v>83087</v>
      </c>
      <c r="DS10" s="105">
        <v>93699</v>
      </c>
      <c r="DT10" s="102">
        <f t="shared" si="31"/>
        <v>12.772154488668505</v>
      </c>
      <c r="DU10" s="105">
        <v>83006</v>
      </c>
      <c r="DV10" s="105">
        <v>93699</v>
      </c>
      <c r="DW10" s="102">
        <f t="shared" si="32"/>
        <v>12.882201286653977</v>
      </c>
      <c r="DX10" s="73"/>
      <c r="DY10" s="24"/>
      <c r="DZ10" s="24" t="s">
        <v>59</v>
      </c>
      <c r="EA10" s="25">
        <v>68995</v>
      </c>
      <c r="EB10" s="25">
        <v>83006</v>
      </c>
      <c r="EC10" s="125">
        <f t="shared" si="33"/>
        <v>20.307268642655266</v>
      </c>
      <c r="ED10" s="25">
        <v>57671</v>
      </c>
      <c r="EE10" s="25">
        <v>83006</v>
      </c>
      <c r="EF10" s="125">
        <f t="shared" si="34"/>
        <v>43.930224896395067</v>
      </c>
      <c r="EG10" s="73"/>
      <c r="EH10" s="103"/>
      <c r="EI10" s="103" t="s">
        <v>59</v>
      </c>
      <c r="EJ10" s="105">
        <v>54812</v>
      </c>
      <c r="EK10" s="105">
        <v>57671</v>
      </c>
      <c r="EL10" s="102">
        <f>((EK10-EJ10)/EJ10)*100</f>
        <v>5.2160110924615051</v>
      </c>
      <c r="EM10" s="109">
        <v>65976</v>
      </c>
      <c r="EN10" s="105">
        <v>57671</v>
      </c>
      <c r="EO10" s="102">
        <f>((EN10-EM10)/EM10)*100</f>
        <v>-12.587910755426215</v>
      </c>
      <c r="EP10" s="73"/>
      <c r="EQ10" s="77"/>
      <c r="ER10" s="77" t="s">
        <v>59</v>
      </c>
      <c r="ES10" s="80">
        <v>66660</v>
      </c>
      <c r="ET10" s="80">
        <v>66804</v>
      </c>
      <c r="EU10" s="79">
        <f>(ET10-ES10)/ES10*100</f>
        <v>0.21602160216021601</v>
      </c>
      <c r="EV10" s="81">
        <v>64787</v>
      </c>
      <c r="EW10" s="80">
        <v>66804</v>
      </c>
      <c r="EX10" s="79">
        <f>(EW10-EV10)/EV10*100</f>
        <v>3.1132788985444608</v>
      </c>
      <c r="EY10" s="61"/>
      <c r="EZ10" s="42" t="s">
        <v>0</v>
      </c>
      <c r="FA10" s="56">
        <v>95426</v>
      </c>
      <c r="FB10" s="56">
        <v>111751</v>
      </c>
      <c r="FC10" s="44">
        <f>(FB10-FA10)/FA10*100</f>
        <v>17.107496908599334</v>
      </c>
      <c r="FD10" s="57">
        <v>116298</v>
      </c>
      <c r="FE10" s="56">
        <v>111751</v>
      </c>
      <c r="FF10" s="44">
        <f>(FE10-FD10)/FD10*100</f>
        <v>-3.909783487248276</v>
      </c>
      <c r="FG10" s="61"/>
      <c r="FH10" s="20" t="s">
        <v>0</v>
      </c>
      <c r="FI10" s="22">
        <v>101923</v>
      </c>
      <c r="FJ10" s="22">
        <v>116298</v>
      </c>
      <c r="FK10" s="31">
        <f>(FJ10-FI10)/FI10*100</f>
        <v>14.103784229271115</v>
      </c>
      <c r="FL10" s="28">
        <v>96896</v>
      </c>
      <c r="FM10" s="22">
        <v>116298</v>
      </c>
      <c r="FN10" s="31">
        <f>(FM10-FL10)/FL10*100</f>
        <v>20.023530383091149</v>
      </c>
    </row>
    <row r="11" spans="1:170" x14ac:dyDescent="0.5">
      <c r="A11" s="250"/>
      <c r="B11" s="307" t="s">
        <v>523</v>
      </c>
      <c r="C11" s="309">
        <v>63886</v>
      </c>
      <c r="D11" s="289">
        <v>64074</v>
      </c>
      <c r="E11" s="249">
        <f t="shared" si="38"/>
        <v>0.29427417587577875</v>
      </c>
      <c r="F11" s="289">
        <v>56660</v>
      </c>
      <c r="G11" s="335">
        <f t="shared" si="39"/>
        <v>64074</v>
      </c>
      <c r="H11" s="249">
        <f t="shared" si="40"/>
        <v>13.08506883162725</v>
      </c>
      <c r="I11" s="250"/>
      <c r="J11" s="307" t="s">
        <v>523</v>
      </c>
      <c r="K11" s="309">
        <v>52545</v>
      </c>
      <c r="L11" s="289">
        <v>56660</v>
      </c>
      <c r="M11" s="249">
        <f t="shared" si="41"/>
        <v>7.8313826244171656</v>
      </c>
      <c r="N11" s="289">
        <v>56847</v>
      </c>
      <c r="O11" s="289">
        <v>56660</v>
      </c>
      <c r="P11" s="249">
        <f t="shared" si="42"/>
        <v>-0.32895315495980437</v>
      </c>
      <c r="Q11" s="250"/>
      <c r="R11" s="307" t="s">
        <v>523</v>
      </c>
      <c r="S11" s="309">
        <v>50832</v>
      </c>
      <c r="T11" s="289">
        <v>56847</v>
      </c>
      <c r="U11" s="249">
        <f t="shared" si="43"/>
        <v>11.833097261567517</v>
      </c>
      <c r="V11" s="289">
        <v>57622</v>
      </c>
      <c r="W11" s="289">
        <v>56847</v>
      </c>
      <c r="X11" s="249">
        <f t="shared" si="44"/>
        <v>-1.3449724063725661</v>
      </c>
      <c r="Y11" s="250"/>
      <c r="Z11" s="307" t="s">
        <v>523</v>
      </c>
      <c r="AA11" s="309">
        <v>48361</v>
      </c>
      <c r="AB11" s="289">
        <v>57622</v>
      </c>
      <c r="AC11" s="249">
        <f t="shared" si="45"/>
        <v>19.149728086681417</v>
      </c>
      <c r="AD11" s="289">
        <v>44027</v>
      </c>
      <c r="AE11" s="289">
        <v>57622</v>
      </c>
      <c r="AF11" s="249">
        <f t="shared" si="46"/>
        <v>30.878778931110457</v>
      </c>
      <c r="AG11" s="250"/>
      <c r="AH11" s="307" t="s">
        <v>523</v>
      </c>
      <c r="AI11" s="309">
        <v>34886</v>
      </c>
      <c r="AJ11" s="289">
        <v>44027</v>
      </c>
      <c r="AK11" s="249">
        <f t="shared" si="47"/>
        <v>26.202488104110532</v>
      </c>
      <c r="AL11" s="289">
        <v>37305</v>
      </c>
      <c r="AM11" s="289">
        <v>44027</v>
      </c>
      <c r="AN11" s="249">
        <f t="shared" si="48"/>
        <v>18.019032301300093</v>
      </c>
      <c r="AO11" s="250"/>
      <c r="AP11" s="307" t="s">
        <v>523</v>
      </c>
      <c r="AQ11" s="309">
        <v>36674</v>
      </c>
      <c r="AR11" s="289">
        <v>37305</v>
      </c>
      <c r="AS11" s="249">
        <f t="shared" si="49"/>
        <v>1.7205649779135084</v>
      </c>
      <c r="AT11" s="289">
        <v>42955</v>
      </c>
      <c r="AU11" s="289">
        <v>37305</v>
      </c>
      <c r="AV11" s="249">
        <f t="shared" si="5"/>
        <v>-13.153299965079734</v>
      </c>
      <c r="AW11" s="250"/>
      <c r="AX11" s="307" t="s">
        <v>523</v>
      </c>
      <c r="AY11" s="309">
        <v>37076</v>
      </c>
      <c r="AZ11" s="289">
        <v>42955</v>
      </c>
      <c r="BA11" s="249">
        <f t="shared" si="19"/>
        <v>15.856618836983493</v>
      </c>
      <c r="BB11" s="252">
        <v>49003</v>
      </c>
      <c r="BC11" s="252">
        <v>42955</v>
      </c>
      <c r="BD11" s="249">
        <f t="shared" si="6"/>
        <v>-12.342101503989552</v>
      </c>
      <c r="BE11" s="250"/>
      <c r="BF11" s="307" t="s">
        <v>523</v>
      </c>
      <c r="BG11" s="252">
        <v>42130</v>
      </c>
      <c r="BH11" s="252">
        <v>49003</v>
      </c>
      <c r="BI11" s="249">
        <f t="shared" si="20"/>
        <v>16.313790647994303</v>
      </c>
      <c r="BJ11" s="252"/>
      <c r="BK11" s="252">
        <v>49003</v>
      </c>
      <c r="BL11" s="249"/>
      <c r="BM11" s="250"/>
      <c r="BN11" s="332" t="s">
        <v>437</v>
      </c>
      <c r="BO11" s="252">
        <v>13199</v>
      </c>
      <c r="BP11" s="252">
        <v>13800</v>
      </c>
      <c r="BQ11" s="249">
        <f t="shared" si="21"/>
        <v>4.5533752557011891</v>
      </c>
      <c r="BR11" s="252">
        <v>14291</v>
      </c>
      <c r="BS11" s="252">
        <v>13800</v>
      </c>
      <c r="BT11" s="249">
        <f t="shared" si="8"/>
        <v>-3.4357287803512699</v>
      </c>
      <c r="BU11" s="249"/>
      <c r="BV11" s="250"/>
      <c r="BW11" s="250" t="s">
        <v>58</v>
      </c>
      <c r="BX11" s="252">
        <v>20162</v>
      </c>
      <c r="BY11" s="252">
        <v>25924</v>
      </c>
      <c r="BZ11" s="249">
        <f t="shared" si="22"/>
        <v>28.578514036305926</v>
      </c>
      <c r="CA11" s="252">
        <v>25170</v>
      </c>
      <c r="CB11" s="252">
        <v>25924</v>
      </c>
      <c r="CC11" s="249">
        <f t="shared" si="9"/>
        <v>2.9956297179181566</v>
      </c>
      <c r="CD11" s="249"/>
      <c r="CE11" s="250"/>
      <c r="CF11" s="250" t="s">
        <v>58</v>
      </c>
      <c r="CG11" s="252">
        <v>20904</v>
      </c>
      <c r="CH11" s="252">
        <v>25210</v>
      </c>
      <c r="CI11" s="249">
        <f t="shared" si="23"/>
        <v>20.598928434749332</v>
      </c>
      <c r="CJ11" s="252">
        <v>18902</v>
      </c>
      <c r="CK11" s="252">
        <v>25210</v>
      </c>
      <c r="CL11" s="249">
        <f t="shared" si="24"/>
        <v>33.372129933340389</v>
      </c>
      <c r="CO11" s="250"/>
      <c r="CP11" s="250" t="s">
        <v>58</v>
      </c>
      <c r="CQ11" s="252">
        <v>16290</v>
      </c>
      <c r="CR11" s="252">
        <v>19803</v>
      </c>
      <c r="CS11" s="249">
        <f t="shared" si="25"/>
        <v>21.565377532228361</v>
      </c>
      <c r="CT11" s="252">
        <v>13351</v>
      </c>
      <c r="CU11" s="252">
        <v>19803</v>
      </c>
      <c r="CV11" s="249">
        <f t="shared" si="26"/>
        <v>48.325968092277733</v>
      </c>
      <c r="CW11" s="73"/>
      <c r="CX11" s="209"/>
      <c r="CY11" s="209" t="s">
        <v>58</v>
      </c>
      <c r="CZ11" s="211">
        <v>8999</v>
      </c>
      <c r="DA11" s="211">
        <v>11697</v>
      </c>
      <c r="DB11" s="208">
        <f t="shared" si="27"/>
        <v>29.981109012112455</v>
      </c>
      <c r="DC11" s="211">
        <v>4737</v>
      </c>
      <c r="DD11" s="211">
        <v>11697</v>
      </c>
      <c r="DE11" s="208">
        <f t="shared" si="28"/>
        <v>146.92843571880937</v>
      </c>
      <c r="DF11" s="73"/>
      <c r="DG11" s="159"/>
      <c r="DH11" s="159" t="s">
        <v>58</v>
      </c>
      <c r="DI11" s="161">
        <v>5582</v>
      </c>
      <c r="DJ11" s="161">
        <v>7141</v>
      </c>
      <c r="DK11" s="158">
        <f t="shared" si="29"/>
        <v>27.929057685417412</v>
      </c>
      <c r="DL11" s="161">
        <v>5747</v>
      </c>
      <c r="DM11" s="161">
        <v>7141</v>
      </c>
      <c r="DN11" s="158">
        <f t="shared" si="30"/>
        <v>24.256133634939971</v>
      </c>
      <c r="DO11" s="155"/>
      <c r="DP11" s="103"/>
      <c r="DQ11" s="103" t="s">
        <v>58</v>
      </c>
      <c r="DR11" s="105">
        <v>4979</v>
      </c>
      <c r="DS11" s="105">
        <v>5747</v>
      </c>
      <c r="DT11" s="102">
        <f t="shared" si="31"/>
        <v>15.424784093191404</v>
      </c>
      <c r="DU11" s="105">
        <v>7779</v>
      </c>
      <c r="DV11" s="105">
        <v>5747</v>
      </c>
      <c r="DW11" s="102">
        <f t="shared" si="32"/>
        <v>-26.121609461370355</v>
      </c>
      <c r="DX11" s="73"/>
      <c r="DY11" s="24"/>
      <c r="DZ11" s="24" t="s">
        <v>58</v>
      </c>
      <c r="EA11" s="25">
        <v>7245</v>
      </c>
      <c r="EB11" s="25">
        <v>7779</v>
      </c>
      <c r="EC11" s="125">
        <f t="shared" si="33"/>
        <v>7.3706004140786749</v>
      </c>
      <c r="ED11" s="25">
        <v>5464</v>
      </c>
      <c r="EE11" s="25">
        <v>7779</v>
      </c>
      <c r="EF11" s="125">
        <f t="shared" si="34"/>
        <v>42.368228404099561</v>
      </c>
      <c r="EG11" s="73"/>
      <c r="EH11" s="103"/>
      <c r="EI11" s="103" t="s">
        <v>58</v>
      </c>
      <c r="EJ11" s="105">
        <v>5301</v>
      </c>
      <c r="EK11" s="105">
        <v>5464</v>
      </c>
      <c r="EL11" s="102">
        <f t="shared" si="35"/>
        <v>3.0748915299000186</v>
      </c>
      <c r="EM11" s="109">
        <v>6424</v>
      </c>
      <c r="EN11" s="105">
        <v>5464</v>
      </c>
      <c r="EO11" s="102">
        <f t="shared" si="36"/>
        <v>-14.943960149439601</v>
      </c>
      <c r="EP11" s="73"/>
      <c r="EQ11" s="77"/>
      <c r="ER11" s="77" t="s">
        <v>58</v>
      </c>
      <c r="ES11" s="80">
        <v>1505</v>
      </c>
      <c r="ET11" s="80">
        <v>1580</v>
      </c>
      <c r="EU11" s="79">
        <f t="shared" si="10"/>
        <v>4.9833887043189371</v>
      </c>
      <c r="EV11" s="81">
        <v>1240</v>
      </c>
      <c r="EW11" s="80">
        <v>1580</v>
      </c>
      <c r="EX11" s="79">
        <f t="shared" si="11"/>
        <v>27.419354838709676</v>
      </c>
      <c r="EY11" s="61"/>
      <c r="EZ11" s="54"/>
      <c r="FA11" s="55">
        <v>18295</v>
      </c>
      <c r="FB11" s="55">
        <v>18323</v>
      </c>
      <c r="FC11" s="54" t="s">
        <v>3</v>
      </c>
      <c r="FD11" s="55">
        <v>17958</v>
      </c>
      <c r="FE11" s="55">
        <v>18323</v>
      </c>
      <c r="FF11" s="54" t="s">
        <v>3</v>
      </c>
      <c r="FG11" s="62"/>
      <c r="FH11" s="29"/>
      <c r="FI11" s="30">
        <v>17930</v>
      </c>
      <c r="FJ11" s="30">
        <v>17958</v>
      </c>
      <c r="FK11" s="29" t="s">
        <v>3</v>
      </c>
      <c r="FL11" s="30">
        <v>17593</v>
      </c>
      <c r="FM11" s="30">
        <v>17958</v>
      </c>
      <c r="FN11" s="29" t="s">
        <v>3</v>
      </c>
    </row>
    <row r="12" spans="1:170" x14ac:dyDescent="0.5">
      <c r="A12" s="250"/>
      <c r="B12" s="307" t="s">
        <v>524</v>
      </c>
      <c r="C12" s="309">
        <v>25826</v>
      </c>
      <c r="D12" s="289">
        <v>25919</v>
      </c>
      <c r="E12" s="249">
        <f t="shared" si="38"/>
        <v>0.36010222256640595</v>
      </c>
      <c r="F12" s="289">
        <v>28560</v>
      </c>
      <c r="G12" s="335">
        <f t="shared" si="39"/>
        <v>25919</v>
      </c>
      <c r="H12" s="249">
        <f t="shared" si="40"/>
        <v>-9.2471988795518207</v>
      </c>
      <c r="I12" s="250"/>
      <c r="J12" s="307" t="s">
        <v>524</v>
      </c>
      <c r="K12" s="309">
        <v>28851</v>
      </c>
      <c r="L12" s="289">
        <v>28560</v>
      </c>
      <c r="M12" s="249">
        <f t="shared" si="41"/>
        <v>-1.0086305500675887</v>
      </c>
      <c r="N12" s="289">
        <v>37121</v>
      </c>
      <c r="O12" s="289">
        <v>28560</v>
      </c>
      <c r="P12" s="249">
        <f t="shared" si="42"/>
        <v>-23.062417499528568</v>
      </c>
      <c r="Q12" s="250"/>
      <c r="R12" s="307" t="s">
        <v>524</v>
      </c>
      <c r="S12" s="309">
        <v>34315</v>
      </c>
      <c r="T12" s="289">
        <v>37121</v>
      </c>
      <c r="U12" s="249">
        <f t="shared" si="43"/>
        <v>8.1771819903832146</v>
      </c>
      <c r="V12" s="289">
        <v>35104</v>
      </c>
      <c r="W12" s="289">
        <v>37121</v>
      </c>
      <c r="X12" s="249">
        <f t="shared" si="44"/>
        <v>5.7457839562443027</v>
      </c>
      <c r="Y12" s="250"/>
      <c r="Z12" s="307" t="s">
        <v>524</v>
      </c>
      <c r="AA12" s="309">
        <v>30395</v>
      </c>
      <c r="AB12" s="289">
        <v>35104</v>
      </c>
      <c r="AC12" s="249">
        <f t="shared" si="45"/>
        <v>15.492679717058728</v>
      </c>
      <c r="AD12" s="289">
        <v>35306</v>
      </c>
      <c r="AE12" s="289">
        <v>35104</v>
      </c>
      <c r="AF12" s="249">
        <f t="shared" si="46"/>
        <v>-0.57214071262674904</v>
      </c>
      <c r="AG12" s="250"/>
      <c r="AH12" s="307" t="s">
        <v>524</v>
      </c>
      <c r="AI12" s="309">
        <v>26811</v>
      </c>
      <c r="AJ12" s="289">
        <v>35306</v>
      </c>
      <c r="AK12" s="249">
        <f t="shared" si="47"/>
        <v>31.684756256760281</v>
      </c>
      <c r="AL12" s="289">
        <v>31533</v>
      </c>
      <c r="AM12" s="289">
        <v>35306</v>
      </c>
      <c r="AN12" s="249">
        <f t="shared" si="48"/>
        <v>11.965242761551391</v>
      </c>
      <c r="AO12" s="250"/>
      <c r="AP12" s="307" t="s">
        <v>524</v>
      </c>
      <c r="AQ12" s="309">
        <v>28119</v>
      </c>
      <c r="AR12" s="289">
        <v>31533</v>
      </c>
      <c r="AS12" s="249">
        <f t="shared" si="49"/>
        <v>12.141256801450977</v>
      </c>
      <c r="AT12" s="289">
        <v>30344</v>
      </c>
      <c r="AU12" s="289">
        <v>31533</v>
      </c>
      <c r="AV12" s="249">
        <f t="shared" si="5"/>
        <v>3.9184023200632745</v>
      </c>
      <c r="AW12" s="250"/>
      <c r="AX12" s="307" t="s">
        <v>524</v>
      </c>
      <c r="AY12" s="309">
        <v>26928</v>
      </c>
      <c r="AZ12" s="289">
        <v>30344</v>
      </c>
      <c r="BA12" s="249">
        <f t="shared" si="19"/>
        <v>12.685680332739157</v>
      </c>
      <c r="BB12" s="252">
        <v>26368</v>
      </c>
      <c r="BC12" s="252">
        <v>30344</v>
      </c>
      <c r="BD12" s="249">
        <f t="shared" si="6"/>
        <v>15.078883495145631</v>
      </c>
      <c r="BE12" s="250"/>
      <c r="BF12" s="307" t="s">
        <v>524</v>
      </c>
      <c r="BG12" s="252">
        <v>22845</v>
      </c>
      <c r="BH12" s="252">
        <v>26368</v>
      </c>
      <c r="BI12" s="249">
        <f t="shared" si="20"/>
        <v>15.421317574961698</v>
      </c>
      <c r="BJ12" s="252"/>
      <c r="BK12" s="252">
        <v>26368</v>
      </c>
      <c r="BL12" s="249"/>
      <c r="BM12" s="250"/>
      <c r="BN12" s="332"/>
      <c r="BO12" s="252"/>
      <c r="BP12" s="252"/>
      <c r="BQ12" s="249"/>
      <c r="BR12" s="252"/>
      <c r="BS12" s="252"/>
      <c r="BT12" s="249"/>
      <c r="BU12" s="249"/>
      <c r="BV12" s="250"/>
      <c r="BW12" s="250"/>
      <c r="BX12" s="252"/>
      <c r="BY12" s="252"/>
      <c r="BZ12" s="249"/>
      <c r="CA12" s="252"/>
      <c r="CB12" s="252"/>
      <c r="CC12" s="249"/>
      <c r="CD12" s="249"/>
      <c r="CE12" s="250"/>
      <c r="CF12" s="250"/>
      <c r="CG12" s="252"/>
      <c r="CH12" s="252"/>
      <c r="CI12" s="249"/>
      <c r="CJ12" s="252"/>
      <c r="CK12" s="252"/>
      <c r="CL12" s="249"/>
      <c r="CO12" s="250"/>
      <c r="CP12" s="250"/>
      <c r="CQ12" s="252"/>
      <c r="CR12" s="252"/>
      <c r="CS12" s="249"/>
      <c r="CT12" s="252"/>
      <c r="CU12" s="252"/>
      <c r="CV12" s="249"/>
      <c r="CW12" s="73"/>
      <c r="CX12" s="209"/>
      <c r="CY12" s="209"/>
      <c r="CZ12" s="211"/>
      <c r="DA12" s="211"/>
      <c r="DB12" s="208"/>
      <c r="DC12" s="211"/>
      <c r="DD12" s="211"/>
      <c r="DE12" s="208"/>
      <c r="DF12" s="73"/>
      <c r="DG12" s="159"/>
      <c r="DH12" s="159"/>
      <c r="DI12" s="161"/>
      <c r="DJ12" s="161"/>
      <c r="DK12" s="158"/>
      <c r="DL12" s="161"/>
      <c r="DM12" s="161"/>
      <c r="DN12" s="158"/>
      <c r="DO12" s="155"/>
      <c r="DP12" s="103"/>
      <c r="DQ12" s="103"/>
      <c r="DR12" s="105"/>
      <c r="DS12" s="105"/>
      <c r="DT12" s="102"/>
      <c r="DU12" s="105"/>
      <c r="DV12" s="105"/>
      <c r="DW12" s="102"/>
      <c r="DX12" s="73"/>
      <c r="DY12" s="24"/>
      <c r="DZ12" s="24"/>
      <c r="EA12" s="25"/>
      <c r="EB12" s="25"/>
      <c r="EC12" s="125"/>
      <c r="ED12" s="25"/>
      <c r="EE12" s="25"/>
      <c r="EF12" s="125"/>
      <c r="EG12" s="73"/>
      <c r="EH12" s="103"/>
      <c r="EI12" s="103"/>
      <c r="EJ12" s="105"/>
      <c r="EK12" s="105"/>
      <c r="EL12" s="102"/>
      <c r="EM12" s="109"/>
      <c r="EN12" s="105"/>
      <c r="EO12" s="102"/>
      <c r="EP12" s="73"/>
      <c r="EQ12" s="77"/>
      <c r="ER12" s="77"/>
      <c r="ES12" s="80"/>
      <c r="ET12" s="80"/>
      <c r="EU12" s="79"/>
      <c r="EV12" s="81"/>
      <c r="EW12" s="80"/>
      <c r="EX12" s="79"/>
      <c r="EY12" s="61"/>
      <c r="EZ12" s="54"/>
      <c r="FA12" s="55"/>
      <c r="FB12" s="55"/>
      <c r="FC12" s="54"/>
      <c r="FD12" s="55"/>
      <c r="FE12" s="55"/>
      <c r="FF12" s="54"/>
      <c r="FG12" s="62"/>
      <c r="FH12" s="29"/>
      <c r="FI12" s="30"/>
      <c r="FJ12" s="30"/>
      <c r="FK12" s="29"/>
      <c r="FL12" s="30"/>
      <c r="FM12" s="30"/>
      <c r="FN12" s="29"/>
    </row>
    <row r="13" spans="1:170" x14ac:dyDescent="0.5">
      <c r="A13" s="250"/>
      <c r="B13" s="307" t="s">
        <v>525</v>
      </c>
      <c r="C13" s="309">
        <v>8273</v>
      </c>
      <c r="D13" s="289">
        <v>8678</v>
      </c>
      <c r="E13" s="249">
        <f t="shared" si="38"/>
        <v>4.895443007373383</v>
      </c>
      <c r="F13" s="289">
        <v>7750</v>
      </c>
      <c r="G13" s="335">
        <f t="shared" si="39"/>
        <v>8678</v>
      </c>
      <c r="H13" s="249">
        <f t="shared" si="40"/>
        <v>11.974193548387097</v>
      </c>
      <c r="I13" s="250"/>
      <c r="J13" s="307" t="s">
        <v>525</v>
      </c>
      <c r="K13" s="309">
        <v>7847</v>
      </c>
      <c r="L13" s="289">
        <v>7750</v>
      </c>
      <c r="M13" s="249">
        <f t="shared" si="41"/>
        <v>-1.236141200458774</v>
      </c>
      <c r="N13" s="289">
        <v>8032</v>
      </c>
      <c r="O13" s="289">
        <v>7750</v>
      </c>
      <c r="P13" s="249">
        <f t="shared" si="42"/>
        <v>-3.5109561752988045</v>
      </c>
      <c r="Q13" s="250"/>
      <c r="R13" s="307" t="s">
        <v>525</v>
      </c>
      <c r="S13" s="309">
        <v>6194</v>
      </c>
      <c r="T13" s="289">
        <v>8032</v>
      </c>
      <c r="U13" s="249">
        <f t="shared" si="43"/>
        <v>29.673877946399742</v>
      </c>
      <c r="V13" s="289">
        <v>4522</v>
      </c>
      <c r="W13" s="289">
        <v>8032</v>
      </c>
      <c r="X13" s="249">
        <f t="shared" si="44"/>
        <v>77.620521892967702</v>
      </c>
      <c r="Y13" s="250"/>
      <c r="Z13" s="307" t="s">
        <v>525</v>
      </c>
      <c r="AA13" s="309">
        <v>3984</v>
      </c>
      <c r="AB13" s="289">
        <v>4522</v>
      </c>
      <c r="AC13" s="249">
        <f t="shared" si="45"/>
        <v>13.50401606425703</v>
      </c>
      <c r="AD13" s="289">
        <v>6458</v>
      </c>
      <c r="AE13" s="289">
        <v>4522</v>
      </c>
      <c r="AF13" s="249">
        <f t="shared" si="46"/>
        <v>-29.978321461752866</v>
      </c>
      <c r="AG13" s="250"/>
      <c r="AH13" s="307" t="s">
        <v>525</v>
      </c>
      <c r="AI13" s="309">
        <v>5022</v>
      </c>
      <c r="AJ13" s="289">
        <v>6458</v>
      </c>
      <c r="AK13" s="249">
        <f t="shared" si="47"/>
        <v>28.594185583432896</v>
      </c>
      <c r="AL13" s="289">
        <v>4665</v>
      </c>
      <c r="AM13" s="289">
        <v>6458</v>
      </c>
      <c r="AN13" s="249">
        <f t="shared" si="48"/>
        <v>38.435155412647376</v>
      </c>
      <c r="AO13" s="250"/>
      <c r="AP13" s="307" t="s">
        <v>525</v>
      </c>
      <c r="AQ13" s="309">
        <v>4343</v>
      </c>
      <c r="AR13" s="289">
        <v>4665</v>
      </c>
      <c r="AS13" s="249">
        <f t="shared" si="49"/>
        <v>7.4142297950725302</v>
      </c>
      <c r="AT13" s="289">
        <v>3495</v>
      </c>
      <c r="AU13" s="289">
        <v>4665</v>
      </c>
      <c r="AV13" s="249">
        <f t="shared" si="5"/>
        <v>33.476394849785407</v>
      </c>
      <c r="AW13" s="250"/>
      <c r="AX13" s="307" t="s">
        <v>525</v>
      </c>
      <c r="AY13" s="309">
        <v>3341</v>
      </c>
      <c r="AZ13" s="289">
        <v>3495</v>
      </c>
      <c r="BA13" s="249">
        <f t="shared" si="19"/>
        <v>4.6093983837174504</v>
      </c>
      <c r="BB13" s="252">
        <v>2841</v>
      </c>
      <c r="BC13" s="252">
        <v>3495</v>
      </c>
      <c r="BD13" s="249">
        <f t="shared" si="6"/>
        <v>23.020063357972546</v>
      </c>
      <c r="BE13" s="250"/>
      <c r="BF13" s="307" t="s">
        <v>525</v>
      </c>
      <c r="BG13" s="252">
        <v>2689</v>
      </c>
      <c r="BH13" s="252">
        <v>2841</v>
      </c>
      <c r="BI13" s="249">
        <f t="shared" si="20"/>
        <v>5.6526589810338415</v>
      </c>
      <c r="BJ13" s="252"/>
      <c r="BK13" s="252">
        <v>2841</v>
      </c>
      <c r="BL13" s="249"/>
      <c r="BM13" s="250"/>
      <c r="BN13" s="332"/>
      <c r="BO13" s="252"/>
      <c r="BP13" s="252"/>
      <c r="BQ13" s="249"/>
      <c r="BR13" s="252"/>
      <c r="BS13" s="252"/>
      <c r="BT13" s="249"/>
      <c r="BU13" s="249"/>
      <c r="BV13" s="250"/>
      <c r="BW13" s="250"/>
      <c r="BX13" s="252"/>
      <c r="BY13" s="252"/>
      <c r="BZ13" s="249"/>
      <c r="CA13" s="252"/>
      <c r="CB13" s="252"/>
      <c r="CC13" s="249"/>
      <c r="CD13" s="249"/>
      <c r="CE13" s="250"/>
      <c r="CF13" s="250"/>
      <c r="CG13" s="252"/>
      <c r="CH13" s="252"/>
      <c r="CI13" s="249"/>
      <c r="CJ13" s="252"/>
      <c r="CK13" s="252"/>
      <c r="CL13" s="249"/>
      <c r="CO13" s="250"/>
      <c r="CP13" s="250"/>
      <c r="CQ13" s="252"/>
      <c r="CR13" s="252"/>
      <c r="CS13" s="249"/>
      <c r="CT13" s="252"/>
      <c r="CU13" s="252"/>
      <c r="CV13" s="249"/>
      <c r="CW13" s="73"/>
      <c r="CX13" s="209"/>
      <c r="CY13" s="209"/>
      <c r="CZ13" s="211"/>
      <c r="DA13" s="211"/>
      <c r="DB13" s="208"/>
      <c r="DC13" s="211"/>
      <c r="DD13" s="211"/>
      <c r="DE13" s="208"/>
      <c r="DF13" s="73"/>
      <c r="DG13" s="159"/>
      <c r="DH13" s="159"/>
      <c r="DI13" s="161"/>
      <c r="DJ13" s="161"/>
      <c r="DK13" s="158"/>
      <c r="DL13" s="161"/>
      <c r="DM13" s="161"/>
      <c r="DN13" s="158"/>
      <c r="DO13" s="155"/>
      <c r="DP13" s="103"/>
      <c r="DQ13" s="103"/>
      <c r="DR13" s="105"/>
      <c r="DS13" s="105"/>
      <c r="DT13" s="102"/>
      <c r="DU13" s="105"/>
      <c r="DV13" s="105"/>
      <c r="DW13" s="102"/>
      <c r="DX13" s="73"/>
      <c r="DY13" s="24"/>
      <c r="DZ13" s="24"/>
      <c r="EA13" s="25"/>
      <c r="EB13" s="25"/>
      <c r="EC13" s="125"/>
      <c r="ED13" s="25"/>
      <c r="EE13" s="25"/>
      <c r="EF13" s="125"/>
      <c r="EG13" s="73"/>
      <c r="EH13" s="103"/>
      <c r="EI13" s="103"/>
      <c r="EJ13" s="105"/>
      <c r="EK13" s="105"/>
      <c r="EL13" s="102"/>
      <c r="EM13" s="109"/>
      <c r="EN13" s="105"/>
      <c r="EO13" s="102"/>
      <c r="EP13" s="73"/>
      <c r="EQ13" s="77"/>
      <c r="ER13" s="77"/>
      <c r="ES13" s="80"/>
      <c r="ET13" s="80"/>
      <c r="EU13" s="79"/>
      <c r="EV13" s="81"/>
      <c r="EW13" s="80"/>
      <c r="EX13" s="79"/>
      <c r="EY13" s="61"/>
      <c r="EZ13" s="54"/>
      <c r="FA13" s="55"/>
      <c r="FB13" s="55"/>
      <c r="FC13" s="54"/>
      <c r="FD13" s="55"/>
      <c r="FE13" s="55"/>
      <c r="FF13" s="54"/>
      <c r="FG13" s="62"/>
      <c r="FH13" s="29"/>
      <c r="FI13" s="30"/>
      <c r="FJ13" s="30"/>
      <c r="FK13" s="29"/>
      <c r="FL13" s="30"/>
      <c r="FM13" s="30"/>
      <c r="FN13" s="29"/>
    </row>
    <row r="14" spans="1:170" x14ac:dyDescent="0.5">
      <c r="A14" s="250"/>
      <c r="B14" s="307" t="s">
        <v>526</v>
      </c>
      <c r="C14" s="309">
        <v>997</v>
      </c>
      <c r="D14" s="289">
        <v>1078</v>
      </c>
      <c r="E14" s="249">
        <f t="shared" si="38"/>
        <v>8.1243731193580757</v>
      </c>
      <c r="F14" s="289">
        <v>1238</v>
      </c>
      <c r="G14" s="335">
        <f t="shared" si="39"/>
        <v>1078</v>
      </c>
      <c r="H14" s="249">
        <f>((G14-F14)/F14)*100</f>
        <v>-12.924071082390952</v>
      </c>
      <c r="I14" s="250"/>
      <c r="J14" s="307" t="s">
        <v>526</v>
      </c>
      <c r="K14" s="309">
        <v>1274</v>
      </c>
      <c r="L14" s="289">
        <v>1238</v>
      </c>
      <c r="M14" s="249">
        <f t="shared" si="41"/>
        <v>-2.8257456828885403</v>
      </c>
      <c r="N14" s="289">
        <v>1640</v>
      </c>
      <c r="O14" s="289">
        <v>1238</v>
      </c>
      <c r="P14" s="249">
        <f>((O14-N14)/N14)*100</f>
        <v>-24.512195121951219</v>
      </c>
      <c r="Q14" s="250"/>
      <c r="R14" s="307" t="s">
        <v>526</v>
      </c>
      <c r="S14" s="309">
        <v>1575</v>
      </c>
      <c r="T14" s="289">
        <v>1640</v>
      </c>
      <c r="U14" s="249">
        <f t="shared" si="43"/>
        <v>4.1269841269841265</v>
      </c>
      <c r="V14" s="289">
        <v>1498</v>
      </c>
      <c r="W14" s="289">
        <v>1640</v>
      </c>
      <c r="X14" s="249">
        <f>((W14-V14)/V14)*100</f>
        <v>9.479305740987984</v>
      </c>
      <c r="Y14" s="250"/>
      <c r="Z14" s="307" t="s">
        <v>526</v>
      </c>
      <c r="AA14" s="309">
        <v>1516</v>
      </c>
      <c r="AB14" s="289">
        <v>1498</v>
      </c>
      <c r="AC14" s="249">
        <f t="shared" si="45"/>
        <v>-1.1873350923482848</v>
      </c>
      <c r="AD14" s="289">
        <v>1543</v>
      </c>
      <c r="AE14" s="289">
        <v>1498</v>
      </c>
      <c r="AF14" s="249">
        <f>((AE14-AD14)/AD14)*100</f>
        <v>-2.9163966299416719</v>
      </c>
      <c r="AG14" s="250"/>
      <c r="AH14" s="307" t="s">
        <v>526</v>
      </c>
      <c r="AI14" s="309">
        <v>1315</v>
      </c>
      <c r="AJ14" s="289">
        <v>1543</v>
      </c>
      <c r="AK14" s="249">
        <f t="shared" si="47"/>
        <v>17.338403041825096</v>
      </c>
      <c r="AL14" s="289">
        <v>2610</v>
      </c>
      <c r="AM14" s="289">
        <v>1543</v>
      </c>
      <c r="AN14" s="249">
        <f>((AM14-AL14)/AL14)*100</f>
        <v>-40.88122605363985</v>
      </c>
      <c r="AO14" s="250"/>
      <c r="AP14" s="307" t="s">
        <v>526</v>
      </c>
      <c r="AQ14" s="309">
        <v>2749</v>
      </c>
      <c r="AR14" s="289">
        <v>2610</v>
      </c>
      <c r="AS14" s="249">
        <f t="shared" si="49"/>
        <v>-5.0563841396871592</v>
      </c>
      <c r="AT14" s="289">
        <v>2605</v>
      </c>
      <c r="AU14" s="289">
        <v>2610</v>
      </c>
      <c r="AV14" s="249">
        <f>((AU14-AT14)/AT14)*100</f>
        <v>0.19193857965451055</v>
      </c>
      <c r="AW14" s="250"/>
      <c r="AX14" s="307" t="s">
        <v>526</v>
      </c>
      <c r="AY14" s="309">
        <v>2614</v>
      </c>
      <c r="AZ14" s="289">
        <v>2605</v>
      </c>
      <c r="BA14" s="249">
        <f t="shared" si="19"/>
        <v>-0.34429992348890587</v>
      </c>
      <c r="BB14" s="252">
        <v>2803</v>
      </c>
      <c r="BC14" s="252">
        <v>2605</v>
      </c>
      <c r="BD14" s="249">
        <f>((BC14-BB14)/BB14)*100</f>
        <v>-7.0638601498394573</v>
      </c>
      <c r="BE14" s="250"/>
      <c r="BF14" s="307" t="s">
        <v>526</v>
      </c>
      <c r="BG14" s="252">
        <v>2887</v>
      </c>
      <c r="BH14" s="252">
        <v>2803</v>
      </c>
      <c r="BI14" s="249">
        <f t="shared" si="20"/>
        <v>-2.9095947350190507</v>
      </c>
      <c r="BJ14" s="252">
        <v>11548</v>
      </c>
      <c r="BK14" s="252">
        <v>2803</v>
      </c>
      <c r="BL14" s="249">
        <f t="shared" si="7"/>
        <v>-75.727398683754771</v>
      </c>
      <c r="BM14" s="250"/>
      <c r="BN14" s="332" t="s">
        <v>489</v>
      </c>
      <c r="BO14" s="252">
        <v>10207</v>
      </c>
      <c r="BP14" s="252">
        <v>11548</v>
      </c>
      <c r="BQ14" s="249">
        <f t="shared" si="21"/>
        <v>13.138042519839328</v>
      </c>
      <c r="BR14" s="252">
        <v>7259</v>
      </c>
      <c r="BS14" s="252">
        <v>11548</v>
      </c>
      <c r="BT14" s="249">
        <f t="shared" si="8"/>
        <v>59.085273453643751</v>
      </c>
      <c r="BU14" s="249"/>
      <c r="BV14" s="250"/>
      <c r="BW14" s="250"/>
      <c r="BX14" s="252"/>
      <c r="BY14" s="252"/>
      <c r="BZ14" s="249"/>
      <c r="CA14" s="252"/>
      <c r="CB14" s="252"/>
      <c r="CC14" s="249"/>
      <c r="CD14" s="249"/>
      <c r="CE14" s="250"/>
      <c r="CF14" s="250"/>
      <c r="CG14" s="252"/>
      <c r="CH14" s="252"/>
      <c r="CI14" s="249"/>
      <c r="CJ14" s="252"/>
      <c r="CK14" s="252"/>
      <c r="CL14" s="249"/>
      <c r="CO14" s="250"/>
      <c r="CP14" s="250"/>
      <c r="CQ14" s="252"/>
      <c r="CR14" s="252"/>
      <c r="CS14" s="249"/>
      <c r="CT14" s="252"/>
      <c r="CU14" s="252"/>
      <c r="CV14" s="249"/>
      <c r="CW14" s="73"/>
      <c r="CX14" s="209"/>
      <c r="CY14" s="209"/>
      <c r="CZ14" s="211"/>
      <c r="DA14" s="211"/>
      <c r="DB14" s="208"/>
      <c r="DC14" s="211"/>
      <c r="DD14" s="211"/>
      <c r="DE14" s="208"/>
      <c r="DF14" s="73"/>
      <c r="DG14" s="159"/>
      <c r="DH14" s="159"/>
      <c r="DI14" s="161"/>
      <c r="DJ14" s="161"/>
      <c r="DK14" s="158"/>
      <c r="DL14" s="161"/>
      <c r="DM14" s="161"/>
      <c r="DN14" s="158"/>
      <c r="DO14" s="155"/>
      <c r="DP14" s="103"/>
      <c r="DQ14" s="103"/>
      <c r="DR14" s="105"/>
      <c r="DS14" s="105"/>
      <c r="DT14" s="102"/>
      <c r="DU14" s="105"/>
      <c r="DV14" s="105"/>
      <c r="DW14" s="102"/>
      <c r="DX14" s="73"/>
      <c r="DY14" s="24"/>
      <c r="DZ14" s="24"/>
      <c r="EA14" s="25"/>
      <c r="EB14" s="25"/>
      <c r="EC14" s="125"/>
      <c r="ED14" s="25"/>
      <c r="EE14" s="25"/>
      <c r="EF14" s="125"/>
      <c r="EG14" s="73"/>
      <c r="EH14" s="103"/>
      <c r="EI14" s="103"/>
      <c r="EJ14" s="105"/>
      <c r="EK14" s="105"/>
      <c r="EL14" s="102"/>
      <c r="EM14" s="109"/>
      <c r="EN14" s="105"/>
      <c r="EO14" s="102"/>
      <c r="EP14" s="73"/>
      <c r="EQ14" s="77"/>
      <c r="ER14" s="77"/>
      <c r="ES14" s="80"/>
      <c r="ET14" s="80"/>
      <c r="EU14" s="79"/>
      <c r="EV14" s="81"/>
      <c r="EW14" s="80"/>
      <c r="EX14" s="79"/>
      <c r="EY14" s="61"/>
      <c r="EZ14" s="54"/>
      <c r="FA14" s="55"/>
      <c r="FB14" s="55"/>
      <c r="FC14" s="54"/>
      <c r="FD14" s="55"/>
      <c r="FE14" s="55"/>
      <c r="FF14" s="54"/>
      <c r="FG14" s="62"/>
      <c r="FH14" s="29"/>
      <c r="FI14" s="30"/>
      <c r="FJ14" s="30"/>
      <c r="FK14" s="29"/>
      <c r="FL14" s="30"/>
      <c r="FM14" s="30"/>
      <c r="FN14" s="29"/>
    </row>
    <row r="15" spans="1:170" x14ac:dyDescent="0.5">
      <c r="A15" s="247" t="s">
        <v>2</v>
      </c>
      <c r="B15" s="247" t="s">
        <v>60</v>
      </c>
      <c r="C15" s="267">
        <v>77252</v>
      </c>
      <c r="D15" s="248">
        <f>D16+D17</f>
        <v>91951</v>
      </c>
      <c r="E15" s="249">
        <f t="shared" si="38"/>
        <v>19.027339098016878</v>
      </c>
      <c r="F15" s="248">
        <v>86239</v>
      </c>
      <c r="G15" s="335">
        <f t="shared" si="39"/>
        <v>91951</v>
      </c>
      <c r="H15" s="249">
        <f>((G15-F15)/F15)*100</f>
        <v>6.6234534259441782</v>
      </c>
      <c r="I15" s="247" t="s">
        <v>2</v>
      </c>
      <c r="J15" s="247" t="s">
        <v>60</v>
      </c>
      <c r="K15" s="267">
        <v>84636</v>
      </c>
      <c r="L15" s="248">
        <v>86239</v>
      </c>
      <c r="M15" s="249">
        <f t="shared" si="41"/>
        <v>1.8939930998629426</v>
      </c>
      <c r="N15" s="248">
        <v>76041</v>
      </c>
      <c r="O15" s="248">
        <v>86239</v>
      </c>
      <c r="P15" s="249">
        <f>((O15-N15)/N15)*100</f>
        <v>13.411186070672402</v>
      </c>
      <c r="Q15" s="247" t="s">
        <v>2</v>
      </c>
      <c r="R15" s="247" t="s">
        <v>60</v>
      </c>
      <c r="S15" s="267">
        <v>77584</v>
      </c>
      <c r="T15" s="248">
        <v>76041</v>
      </c>
      <c r="U15" s="249">
        <f t="shared" si="43"/>
        <v>-1.9888121262115901</v>
      </c>
      <c r="V15" s="248">
        <v>89051</v>
      </c>
      <c r="W15" s="248">
        <v>76041</v>
      </c>
      <c r="X15" s="249">
        <f>((W15-V15)/V15)*100</f>
        <v>-14.60960573154709</v>
      </c>
      <c r="Y15" s="247" t="s">
        <v>2</v>
      </c>
      <c r="Z15" s="247" t="s">
        <v>60</v>
      </c>
      <c r="AA15" s="267">
        <v>91183</v>
      </c>
      <c r="AB15" s="248">
        <v>89051</v>
      </c>
      <c r="AC15" s="249">
        <f t="shared" si="45"/>
        <v>-2.3381551385674961</v>
      </c>
      <c r="AD15" s="248">
        <v>101634</v>
      </c>
      <c r="AE15" s="248">
        <v>89051</v>
      </c>
      <c r="AF15" s="249">
        <f>((AE15-AD15)/AD15)*100</f>
        <v>-12.380699372257316</v>
      </c>
      <c r="AG15" s="247" t="s">
        <v>2</v>
      </c>
      <c r="AH15" s="247" t="s">
        <v>60</v>
      </c>
      <c r="AI15" s="267">
        <v>88027</v>
      </c>
      <c r="AJ15" s="248">
        <v>101634</v>
      </c>
      <c r="AK15" s="249">
        <f t="shared" si="47"/>
        <v>15.457757279016665</v>
      </c>
      <c r="AL15" s="248">
        <v>87215</v>
      </c>
      <c r="AM15" s="248">
        <v>101634</v>
      </c>
      <c r="AN15" s="249">
        <f>((AM15-AL15)/AL15)*100</f>
        <v>16.532706529840048</v>
      </c>
      <c r="AO15" s="247" t="s">
        <v>2</v>
      </c>
      <c r="AP15" s="247" t="s">
        <v>60</v>
      </c>
      <c r="AQ15" s="267">
        <v>89677</v>
      </c>
      <c r="AR15" s="248">
        <v>87215</v>
      </c>
      <c r="AS15" s="249">
        <f t="shared" si="49"/>
        <v>-2.7454085216945261</v>
      </c>
      <c r="AT15" s="248">
        <v>90579</v>
      </c>
      <c r="AU15" s="248">
        <v>87215</v>
      </c>
      <c r="AV15" s="249">
        <f>((AU15-AT15)/AT15)*100</f>
        <v>-3.7138851168593159</v>
      </c>
      <c r="AW15" s="247" t="s">
        <v>2</v>
      </c>
      <c r="AX15" s="247" t="s">
        <v>60</v>
      </c>
      <c r="AY15" s="267">
        <v>96483</v>
      </c>
      <c r="AZ15" s="248">
        <v>98916</v>
      </c>
      <c r="BA15" s="249">
        <f t="shared" si="19"/>
        <v>2.5216877584652218</v>
      </c>
      <c r="BB15" s="248">
        <v>83401</v>
      </c>
      <c r="BC15" s="248">
        <v>98916</v>
      </c>
      <c r="BD15" s="249">
        <f>((BC15-BB15)/BB15)*100</f>
        <v>18.602894449706838</v>
      </c>
      <c r="BE15" s="247" t="s">
        <v>2</v>
      </c>
      <c r="BF15" s="247" t="s">
        <v>60</v>
      </c>
      <c r="BG15" s="248">
        <v>85582</v>
      </c>
      <c r="BH15" s="248">
        <v>83401</v>
      </c>
      <c r="BI15" s="249">
        <f t="shared" si="20"/>
        <v>-2.5484330817227918</v>
      </c>
      <c r="BJ15" s="248">
        <v>82307</v>
      </c>
      <c r="BK15" s="248">
        <v>83401</v>
      </c>
      <c r="BL15" s="249">
        <f t="shared" si="7"/>
        <v>1.3291700584397439</v>
      </c>
      <c r="BM15" s="247" t="s">
        <v>2</v>
      </c>
      <c r="BN15" s="247" t="s">
        <v>60</v>
      </c>
      <c r="BO15" s="248">
        <v>85202</v>
      </c>
      <c r="BP15" s="248">
        <v>82307</v>
      </c>
      <c r="BQ15" s="249">
        <f t="shared" si="21"/>
        <v>-3.397807563202742</v>
      </c>
      <c r="BR15" s="248">
        <v>88525</v>
      </c>
      <c r="BS15" s="248">
        <v>82307</v>
      </c>
      <c r="BT15" s="249">
        <f t="shared" si="8"/>
        <v>-7.0240045184975992</v>
      </c>
      <c r="BU15" s="249"/>
      <c r="BV15" s="247" t="s">
        <v>2</v>
      </c>
      <c r="BW15" s="247" t="s">
        <v>60</v>
      </c>
      <c r="BX15" s="248">
        <v>85893</v>
      </c>
      <c r="BY15" s="248">
        <v>88525</v>
      </c>
      <c r="BZ15" s="249">
        <f t="shared" si="22"/>
        <v>3.064277647771064</v>
      </c>
      <c r="CA15" s="248">
        <v>92228</v>
      </c>
      <c r="CB15" s="248">
        <v>88525</v>
      </c>
      <c r="CC15" s="249">
        <f t="shared" si="9"/>
        <v>-4.015049659539403</v>
      </c>
      <c r="CD15" s="249"/>
      <c r="CE15" s="247" t="s">
        <v>2</v>
      </c>
      <c r="CF15" s="247" t="s">
        <v>60</v>
      </c>
      <c r="CG15" s="248">
        <v>100443</v>
      </c>
      <c r="CH15" s="248">
        <v>91402</v>
      </c>
      <c r="CI15" s="249">
        <f t="shared" si="23"/>
        <v>-9.0011250161783298</v>
      </c>
      <c r="CJ15" s="248">
        <f>SUM(CJ16:CJ17)</f>
        <v>74857</v>
      </c>
      <c r="CK15" s="248">
        <v>91402</v>
      </c>
      <c r="CL15" s="249">
        <f t="shared" si="24"/>
        <v>22.102141416300412</v>
      </c>
      <c r="CO15" s="247" t="s">
        <v>2</v>
      </c>
      <c r="CP15" s="247" t="s">
        <v>60</v>
      </c>
      <c r="CQ15" s="248">
        <f>SUM(CQ16:CQ17)</f>
        <v>67594</v>
      </c>
      <c r="CR15" s="248">
        <f>SUM(CR16:CR17)</f>
        <v>74857</v>
      </c>
      <c r="CS15" s="249">
        <f t="shared" si="25"/>
        <v>10.745036541704884</v>
      </c>
      <c r="CT15" s="248">
        <f>SUM(CT16:CT17)</f>
        <v>79754</v>
      </c>
      <c r="CU15" s="248">
        <v>74857</v>
      </c>
      <c r="CV15" s="249">
        <f t="shared" si="26"/>
        <v>-6.1401309025252653</v>
      </c>
      <c r="CW15" s="73"/>
      <c r="CX15" s="206" t="s">
        <v>2</v>
      </c>
      <c r="CY15" s="206" t="s">
        <v>60</v>
      </c>
      <c r="CZ15" s="207">
        <f>SUM(CZ16:CZ17)</f>
        <v>69449</v>
      </c>
      <c r="DA15" s="207">
        <f>SUM(DA16:DA17)</f>
        <v>72938</v>
      </c>
      <c r="DB15" s="208">
        <f t="shared" si="27"/>
        <v>5.0238304367233511</v>
      </c>
      <c r="DC15" s="207">
        <v>75425</v>
      </c>
      <c r="DD15" s="207">
        <f>SUM(DD16:DD17)</f>
        <v>72938</v>
      </c>
      <c r="DE15" s="208">
        <f t="shared" si="28"/>
        <v>-3.297315213788532</v>
      </c>
      <c r="DF15" s="73"/>
      <c r="DG15" s="156" t="s">
        <v>2</v>
      </c>
      <c r="DH15" s="156" t="s">
        <v>60</v>
      </c>
      <c r="DI15" s="157">
        <f>SUM(DI16:DI17)</f>
        <v>75425</v>
      </c>
      <c r="DJ15" s="157">
        <f>SUM(DJ16:DJ17)</f>
        <v>68250</v>
      </c>
      <c r="DK15" s="158">
        <f t="shared" si="29"/>
        <v>-9.5127610208816709</v>
      </c>
      <c r="DL15" s="157">
        <v>91496</v>
      </c>
      <c r="DM15" s="157">
        <v>68250</v>
      </c>
      <c r="DN15" s="158">
        <f t="shared" si="30"/>
        <v>-25.406575150826267</v>
      </c>
      <c r="DO15" s="155"/>
      <c r="DP15" s="100" t="s">
        <v>2</v>
      </c>
      <c r="DQ15" s="100" t="s">
        <v>60</v>
      </c>
      <c r="DR15" s="101">
        <f>SUM(DR16:DR17)</f>
        <v>84051</v>
      </c>
      <c r="DS15" s="101">
        <f>SUM(DS16:DS17)</f>
        <v>91492</v>
      </c>
      <c r="DT15" s="102">
        <f t="shared" si="31"/>
        <v>8.8529583229229871</v>
      </c>
      <c r="DU15" s="101">
        <f>SUM(DU16:DU17)</f>
        <v>59639</v>
      </c>
      <c r="DV15" s="101">
        <f>SUM(DV16:DV17)</f>
        <v>91492</v>
      </c>
      <c r="DW15" s="102">
        <f t="shared" si="32"/>
        <v>53.409681584198253</v>
      </c>
      <c r="DX15" s="73"/>
      <c r="DY15" s="120" t="s">
        <v>2</v>
      </c>
      <c r="DZ15" s="120" t="s">
        <v>60</v>
      </c>
      <c r="EA15" s="121">
        <f>SUM(EA16:EA17)</f>
        <v>58732</v>
      </c>
      <c r="EB15" s="121">
        <f>SUM(EB16:EB17)</f>
        <v>59639</v>
      </c>
      <c r="EC15" s="125">
        <f t="shared" si="33"/>
        <v>1.5443029353674318</v>
      </c>
      <c r="ED15" s="121">
        <v>40767</v>
      </c>
      <c r="EE15" s="121">
        <f>SUM(EE16:EE17)</f>
        <v>59639</v>
      </c>
      <c r="EF15" s="125">
        <f t="shared" si="34"/>
        <v>46.292344298084238</v>
      </c>
      <c r="EG15" s="73"/>
      <c r="EH15" s="100" t="s">
        <v>2</v>
      </c>
      <c r="EI15" s="100" t="s">
        <v>60</v>
      </c>
      <c r="EJ15" s="101">
        <f>SUM(EJ16:EJ17)</f>
        <v>39776</v>
      </c>
      <c r="EK15" s="101">
        <f>SUM(EK16:EK17)</f>
        <v>40767</v>
      </c>
      <c r="EL15" s="102">
        <f t="shared" si="35"/>
        <v>2.4914521319388578</v>
      </c>
      <c r="EM15" s="101">
        <f>SUM(EM16:EM17)</f>
        <v>140806</v>
      </c>
      <c r="EN15" s="101">
        <v>40767</v>
      </c>
      <c r="EO15" s="102">
        <f t="shared" si="36"/>
        <v>-71.047398548357307</v>
      </c>
      <c r="EP15" s="73"/>
      <c r="EQ15" s="74" t="s">
        <v>2</v>
      </c>
      <c r="ER15" s="74" t="s">
        <v>60</v>
      </c>
      <c r="ES15" s="75">
        <f>SUM(ES16:ES17)</f>
        <v>134223</v>
      </c>
      <c r="ET15" s="75">
        <f>SUM(ET16:ET17)</f>
        <v>140806</v>
      </c>
      <c r="EU15" s="76">
        <f t="shared" si="10"/>
        <v>4.9045245598742389</v>
      </c>
      <c r="EV15" s="75">
        <f>SUM(EV16:EV17)</f>
        <v>140628</v>
      </c>
      <c r="EW15" s="75">
        <f>SUM(EW16:EW17)</f>
        <v>140806</v>
      </c>
      <c r="EX15" s="76">
        <f t="shared" si="11"/>
        <v>0.12657507750945757</v>
      </c>
      <c r="EY15" s="73"/>
      <c r="EZ15" s="42" t="s">
        <v>1</v>
      </c>
      <c r="FA15" s="56">
        <v>43606</v>
      </c>
      <c r="FB15" s="56">
        <v>56021</v>
      </c>
      <c r="FC15" s="44">
        <f>(FB15-FA15)/FA15*100</f>
        <v>28.470852634958494</v>
      </c>
      <c r="FD15" s="57">
        <v>66101</v>
      </c>
      <c r="FE15" s="56">
        <v>56021</v>
      </c>
      <c r="FF15" s="44">
        <f>(FE15-FD15)/FD15*100</f>
        <v>-15.249391083342159</v>
      </c>
      <c r="FG15" s="61"/>
      <c r="FH15" s="20" t="s">
        <v>1</v>
      </c>
      <c r="FI15" s="22">
        <v>53429</v>
      </c>
      <c r="FJ15" s="22">
        <v>66101</v>
      </c>
      <c r="FK15" s="31">
        <f>(FJ15-FI15)/FI15*100</f>
        <v>23.717456811843753</v>
      </c>
      <c r="FL15" s="28">
        <v>67559</v>
      </c>
      <c r="FM15" s="22">
        <v>66101</v>
      </c>
      <c r="FN15" s="31">
        <f>(FM15-FL15)/FL15*100</f>
        <v>-2.1581136488106689</v>
      </c>
    </row>
    <row r="16" spans="1:170" x14ac:dyDescent="0.5">
      <c r="A16" s="250"/>
      <c r="B16" s="250" t="s">
        <v>61</v>
      </c>
      <c r="C16" s="309">
        <v>30291</v>
      </c>
      <c r="D16" s="252">
        <v>44100</v>
      </c>
      <c r="E16" s="249">
        <f t="shared" si="38"/>
        <v>45.587798355947314</v>
      </c>
      <c r="F16" s="252">
        <v>46611</v>
      </c>
      <c r="G16" s="335">
        <f t="shared" si="39"/>
        <v>44100</v>
      </c>
      <c r="H16" s="249">
        <f>((G16-F16)/F16)*100</f>
        <v>-5.3871403745896895</v>
      </c>
      <c r="I16" s="250"/>
      <c r="J16" s="250" t="s">
        <v>61</v>
      </c>
      <c r="K16" s="309">
        <v>44646</v>
      </c>
      <c r="L16" s="252">
        <v>46611</v>
      </c>
      <c r="M16" s="249">
        <f t="shared" si="41"/>
        <v>4.4012901491734979</v>
      </c>
      <c r="N16" s="252">
        <v>45851</v>
      </c>
      <c r="O16" s="252">
        <v>46611</v>
      </c>
      <c r="P16" s="249">
        <f>((O16-N16)/N16)*100</f>
        <v>1.6575429107325905</v>
      </c>
      <c r="Q16" s="250"/>
      <c r="R16" s="250" t="s">
        <v>61</v>
      </c>
      <c r="S16" s="309">
        <v>46276</v>
      </c>
      <c r="T16" s="252">
        <v>45851</v>
      </c>
      <c r="U16" s="249">
        <f t="shared" si="43"/>
        <v>-0.91840262771198888</v>
      </c>
      <c r="V16" s="252">
        <v>30841</v>
      </c>
      <c r="W16" s="252">
        <v>45851</v>
      </c>
      <c r="X16" s="249">
        <f>((W16-V16)/V16)*100</f>
        <v>48.668979605071172</v>
      </c>
      <c r="Y16" s="250"/>
      <c r="Z16" s="250" t="s">
        <v>61</v>
      </c>
      <c r="AA16" s="309">
        <v>35660</v>
      </c>
      <c r="AB16" s="252">
        <v>30841</v>
      </c>
      <c r="AC16" s="249">
        <f t="shared" si="45"/>
        <v>-13.513740886146945</v>
      </c>
      <c r="AD16" s="252">
        <v>47707</v>
      </c>
      <c r="AE16" s="252">
        <v>30841</v>
      </c>
      <c r="AF16" s="249">
        <f>((AE16-AD16)/AD16)*100</f>
        <v>-35.353302450374159</v>
      </c>
      <c r="AG16" s="250"/>
      <c r="AH16" s="250" t="s">
        <v>61</v>
      </c>
      <c r="AI16" s="309">
        <v>37624</v>
      </c>
      <c r="AJ16" s="252">
        <v>47707</v>
      </c>
      <c r="AK16" s="249">
        <f t="shared" si="47"/>
        <v>26.799383372315543</v>
      </c>
      <c r="AL16" s="252">
        <v>38655</v>
      </c>
      <c r="AM16" s="252">
        <v>47707</v>
      </c>
      <c r="AN16" s="249">
        <f>((AM16-AL16)/AL16)*100</f>
        <v>23.417410425559439</v>
      </c>
      <c r="AO16" s="250"/>
      <c r="AP16" s="250" t="s">
        <v>61</v>
      </c>
      <c r="AQ16" s="309">
        <v>35588</v>
      </c>
      <c r="AR16" s="252">
        <v>38655</v>
      </c>
      <c r="AS16" s="249">
        <f t="shared" si="49"/>
        <v>8.61807350792402</v>
      </c>
      <c r="AT16" s="252">
        <v>35353</v>
      </c>
      <c r="AU16" s="252">
        <v>38655</v>
      </c>
      <c r="AV16" s="249">
        <f>((AU16-AT16)/AT16)*100</f>
        <v>9.3400842927050025</v>
      </c>
      <c r="AW16" s="250"/>
      <c r="AX16" s="250" t="s">
        <v>61</v>
      </c>
      <c r="AY16" s="309">
        <v>40538</v>
      </c>
      <c r="AZ16" s="252">
        <v>43690</v>
      </c>
      <c r="BA16" s="249">
        <f t="shared" si="19"/>
        <v>7.7754205930238296</v>
      </c>
      <c r="BB16" s="252">
        <v>28901</v>
      </c>
      <c r="BC16" s="252">
        <v>43690</v>
      </c>
      <c r="BD16" s="249">
        <f>((BC16-BB16)/BB16)*100</f>
        <v>51.171239749489636</v>
      </c>
      <c r="BE16" s="250"/>
      <c r="BF16" s="250" t="s">
        <v>61</v>
      </c>
      <c r="BG16" s="252">
        <v>36872</v>
      </c>
      <c r="BH16" s="252">
        <v>28901</v>
      </c>
      <c r="BI16" s="249">
        <f t="shared" si="20"/>
        <v>-21.618029941418961</v>
      </c>
      <c r="BJ16" s="252">
        <v>34803</v>
      </c>
      <c r="BK16" s="252">
        <v>28901</v>
      </c>
      <c r="BL16" s="249">
        <f t="shared" si="7"/>
        <v>-16.958308191822542</v>
      </c>
      <c r="BM16" s="250"/>
      <c r="BN16" s="250" t="s">
        <v>61</v>
      </c>
      <c r="BO16" s="252">
        <v>37203</v>
      </c>
      <c r="BP16" s="252">
        <v>34803</v>
      </c>
      <c r="BQ16" s="249">
        <f t="shared" si="21"/>
        <v>-6.4510926538182414</v>
      </c>
      <c r="BR16" s="252">
        <v>28031</v>
      </c>
      <c r="BS16" s="252">
        <v>34803</v>
      </c>
      <c r="BT16" s="249">
        <f t="shared" si="8"/>
        <v>24.158966858121367</v>
      </c>
      <c r="BU16" s="249"/>
      <c r="BV16" s="250"/>
      <c r="BW16" s="250" t="s">
        <v>61</v>
      </c>
      <c r="BX16" s="252">
        <v>30028</v>
      </c>
      <c r="BY16" s="252">
        <v>28031</v>
      </c>
      <c r="BZ16" s="249">
        <f t="shared" si="22"/>
        <v>-6.650459571067004</v>
      </c>
      <c r="CA16" s="252">
        <v>39305</v>
      </c>
      <c r="CB16" s="252">
        <v>28031</v>
      </c>
      <c r="CC16" s="249">
        <f t="shared" si="9"/>
        <v>-28.68337361658822</v>
      </c>
      <c r="CD16" s="249"/>
      <c r="CE16" s="250"/>
      <c r="CF16" s="250" t="s">
        <v>61</v>
      </c>
      <c r="CG16" s="252">
        <v>39801</v>
      </c>
      <c r="CH16" s="252">
        <v>38479</v>
      </c>
      <c r="CI16" s="249">
        <f t="shared" si="23"/>
        <v>-3.3215245848094268</v>
      </c>
      <c r="CJ16" s="252">
        <v>24032</v>
      </c>
      <c r="CK16" s="252">
        <v>38479</v>
      </c>
      <c r="CL16" s="249">
        <f t="shared" si="24"/>
        <v>60.11567909454061</v>
      </c>
      <c r="CO16" s="250"/>
      <c r="CP16" s="250" t="s">
        <v>61</v>
      </c>
      <c r="CQ16" s="252">
        <v>25670</v>
      </c>
      <c r="CR16" s="252">
        <v>24032</v>
      </c>
      <c r="CS16" s="249">
        <f t="shared" si="25"/>
        <v>-6.3809894818854698</v>
      </c>
      <c r="CT16" s="252">
        <v>28412</v>
      </c>
      <c r="CU16" s="252">
        <v>24032</v>
      </c>
      <c r="CV16" s="249">
        <f t="shared" si="26"/>
        <v>-15.416021399408701</v>
      </c>
      <c r="CW16" s="73"/>
      <c r="CX16" s="209"/>
      <c r="CY16" s="209" t="s">
        <v>61</v>
      </c>
      <c r="CZ16" s="211">
        <v>23445</v>
      </c>
      <c r="DA16" s="211">
        <v>28336</v>
      </c>
      <c r="DB16" s="208">
        <f t="shared" si="27"/>
        <v>20.861590957560246</v>
      </c>
      <c r="DC16" s="211">
        <v>36618</v>
      </c>
      <c r="DD16" s="211">
        <v>28336</v>
      </c>
      <c r="DE16" s="208">
        <f t="shared" si="28"/>
        <v>-22.617292042165055</v>
      </c>
      <c r="DF16" s="73"/>
      <c r="DG16" s="159"/>
      <c r="DH16" s="159" t="s">
        <v>61</v>
      </c>
      <c r="DI16" s="161">
        <v>36618</v>
      </c>
      <c r="DJ16" s="161">
        <v>27592</v>
      </c>
      <c r="DK16" s="158">
        <f t="shared" si="29"/>
        <v>-24.649079687585342</v>
      </c>
      <c r="DL16" s="161">
        <v>19184</v>
      </c>
      <c r="DM16" s="161">
        <v>27592</v>
      </c>
      <c r="DN16" s="158">
        <f t="shared" si="30"/>
        <v>43.828190158465382</v>
      </c>
      <c r="DO16" s="155"/>
      <c r="DP16" s="103"/>
      <c r="DQ16" s="103" t="s">
        <v>61</v>
      </c>
      <c r="DR16" s="105">
        <v>16500</v>
      </c>
      <c r="DS16" s="105">
        <v>19178</v>
      </c>
      <c r="DT16" s="102">
        <f t="shared" si="31"/>
        <v>16.23030303030303</v>
      </c>
      <c r="DU16" s="105">
        <v>12642</v>
      </c>
      <c r="DV16" s="105">
        <v>19178</v>
      </c>
      <c r="DW16" s="102">
        <f t="shared" si="32"/>
        <v>51.700680272108848</v>
      </c>
      <c r="DX16" s="73"/>
      <c r="DY16" s="24"/>
      <c r="DZ16" s="24" t="s">
        <v>61</v>
      </c>
      <c r="EA16" s="25">
        <v>6636</v>
      </c>
      <c r="EB16" s="25">
        <v>12642</v>
      </c>
      <c r="EC16" s="125">
        <f t="shared" si="33"/>
        <v>90.506329113924053</v>
      </c>
      <c r="ED16" s="25">
        <v>17367</v>
      </c>
      <c r="EE16" s="25">
        <v>12642</v>
      </c>
      <c r="EF16" s="125">
        <f t="shared" si="34"/>
        <v>-27.206771463119711</v>
      </c>
      <c r="EG16" s="73"/>
      <c r="EH16" s="103"/>
      <c r="EI16" s="103" t="s">
        <v>61</v>
      </c>
      <c r="EJ16" s="105">
        <v>14096</v>
      </c>
      <c r="EK16" s="105">
        <v>17367</v>
      </c>
      <c r="EL16" s="102">
        <f t="shared" si="35"/>
        <v>23.205164585698071</v>
      </c>
      <c r="EM16" s="109">
        <v>15511</v>
      </c>
      <c r="EN16" s="105">
        <v>17367</v>
      </c>
      <c r="EO16" s="102">
        <f t="shared" si="36"/>
        <v>11.965701760041261</v>
      </c>
      <c r="EP16" s="73"/>
      <c r="EQ16" s="77"/>
      <c r="ER16" s="77" t="s">
        <v>61</v>
      </c>
      <c r="ES16" s="80">
        <v>14383</v>
      </c>
      <c r="ET16" s="80">
        <v>15511</v>
      </c>
      <c r="EU16" s="79">
        <f t="shared" si="10"/>
        <v>7.8425919488284785</v>
      </c>
      <c r="EV16" s="81">
        <v>12418</v>
      </c>
      <c r="EW16" s="80">
        <v>15511</v>
      </c>
      <c r="EX16" s="79">
        <f t="shared" si="11"/>
        <v>24.907392494765663</v>
      </c>
      <c r="EY16" s="61"/>
      <c r="EZ16" s="42" t="s">
        <v>2</v>
      </c>
      <c r="FA16" s="56">
        <v>53595</v>
      </c>
      <c r="FB16" s="56">
        <v>60217</v>
      </c>
      <c r="FC16" s="44">
        <f>(FB16-FA16)/FA16*100</f>
        <v>12.355630189383337</v>
      </c>
      <c r="FD16" s="57">
        <v>53578</v>
      </c>
      <c r="FE16" s="56">
        <v>60217</v>
      </c>
      <c r="FF16" s="44">
        <f>(FE16-FD16)/FD16*100</f>
        <v>12.391280002986301</v>
      </c>
      <c r="FG16" s="61"/>
      <c r="FH16" s="20" t="s">
        <v>2</v>
      </c>
      <c r="FI16" s="22">
        <v>52282</v>
      </c>
      <c r="FJ16" s="22">
        <v>53578</v>
      </c>
      <c r="FK16" s="31">
        <f>(FJ16-FI16)/FI16*100</f>
        <v>2.4788646187980565</v>
      </c>
      <c r="FL16" s="28">
        <v>35615</v>
      </c>
      <c r="FM16" s="22">
        <v>53578</v>
      </c>
      <c r="FN16" s="31">
        <f>(FM16-FL16)/FL16*100</f>
        <v>50.436613786325992</v>
      </c>
    </row>
    <row r="17" spans="1:155" x14ac:dyDescent="0.5">
      <c r="A17" s="250"/>
      <c r="B17" s="250" t="s">
        <v>62</v>
      </c>
      <c r="C17" s="309">
        <v>46961</v>
      </c>
      <c r="D17" s="252">
        <v>47851</v>
      </c>
      <c r="E17" s="249">
        <f t="shared" si="38"/>
        <v>1.8951896254338705</v>
      </c>
      <c r="F17" s="252">
        <v>39628</v>
      </c>
      <c r="G17" s="335">
        <f t="shared" si="39"/>
        <v>47851</v>
      </c>
      <c r="H17" s="249">
        <f>((G17-F17)/F17)*100</f>
        <v>20.750479458968407</v>
      </c>
      <c r="I17" s="250"/>
      <c r="J17" s="250" t="s">
        <v>62</v>
      </c>
      <c r="K17" s="309">
        <v>39990</v>
      </c>
      <c r="L17" s="252">
        <v>39628</v>
      </c>
      <c r="M17" s="249">
        <f t="shared" si="41"/>
        <v>-0.90522630657664427</v>
      </c>
      <c r="N17" s="252">
        <v>30190</v>
      </c>
      <c r="O17" s="252">
        <v>39628</v>
      </c>
      <c r="P17" s="249">
        <f>((O17-N17)/N17)*100</f>
        <v>31.262007287181188</v>
      </c>
      <c r="Q17" s="250"/>
      <c r="R17" s="250" t="s">
        <v>62</v>
      </c>
      <c r="S17" s="309">
        <v>31308</v>
      </c>
      <c r="T17" s="252">
        <v>30190</v>
      </c>
      <c r="U17" s="249">
        <f t="shared" si="43"/>
        <v>-3.5709722754567528</v>
      </c>
      <c r="V17" s="252">
        <v>58210</v>
      </c>
      <c r="W17" s="252">
        <v>30190</v>
      </c>
      <c r="X17" s="249">
        <f>((W17-V17)/V17)*100</f>
        <v>-48.136059096375192</v>
      </c>
      <c r="Y17" s="250"/>
      <c r="Z17" s="250" t="s">
        <v>62</v>
      </c>
      <c r="AA17" s="309">
        <v>55523</v>
      </c>
      <c r="AB17" s="252">
        <v>58210</v>
      </c>
      <c r="AC17" s="249">
        <f t="shared" si="45"/>
        <v>4.8394359094429333</v>
      </c>
      <c r="AD17" s="252">
        <v>53927</v>
      </c>
      <c r="AE17" s="252">
        <v>58210</v>
      </c>
      <c r="AF17" s="249">
        <f>((AE17-AD17)/AD17)*100</f>
        <v>7.9422181838411179</v>
      </c>
      <c r="AG17" s="250"/>
      <c r="AH17" s="250" t="s">
        <v>62</v>
      </c>
      <c r="AI17" s="309">
        <v>50403</v>
      </c>
      <c r="AJ17" s="252">
        <v>53927</v>
      </c>
      <c r="AK17" s="249">
        <f t="shared" si="47"/>
        <v>6.9916473225800049</v>
      </c>
      <c r="AL17" s="252">
        <v>48560</v>
      </c>
      <c r="AM17" s="252">
        <v>53927</v>
      </c>
      <c r="AN17" s="249">
        <f>((AM17-AL17)/AL17)*100</f>
        <v>11.052306425041186</v>
      </c>
      <c r="AO17" s="250"/>
      <c r="AP17" s="250" t="s">
        <v>62</v>
      </c>
      <c r="AQ17" s="309">
        <v>54089</v>
      </c>
      <c r="AR17" s="252">
        <v>48560</v>
      </c>
      <c r="AS17" s="249">
        <f t="shared" si="49"/>
        <v>-10.222041450202445</v>
      </c>
      <c r="AT17" s="252">
        <v>55226</v>
      </c>
      <c r="AU17" s="252">
        <v>48560</v>
      </c>
      <c r="AV17" s="249">
        <f>((AU17-AT17)/AT17)*100</f>
        <v>-12.070401622424221</v>
      </c>
      <c r="AW17" s="250"/>
      <c r="AX17" s="250" t="s">
        <v>62</v>
      </c>
      <c r="AY17" s="309">
        <v>55945</v>
      </c>
      <c r="AZ17" s="252">
        <v>55226</v>
      </c>
      <c r="BA17" s="249">
        <f t="shared" si="19"/>
        <v>-1.2851908124050406</v>
      </c>
      <c r="BB17" s="252">
        <v>54500</v>
      </c>
      <c r="BC17" s="252">
        <v>55226</v>
      </c>
      <c r="BD17" s="249">
        <f>((BC17-BB17)/BB17)*100</f>
        <v>1.3321100917431192</v>
      </c>
      <c r="BE17" s="250"/>
      <c r="BF17" s="250" t="s">
        <v>62</v>
      </c>
      <c r="BG17" s="252">
        <v>48710</v>
      </c>
      <c r="BH17" s="252">
        <v>54500</v>
      </c>
      <c r="BI17" s="249">
        <f t="shared" si="20"/>
        <v>11.886676247177171</v>
      </c>
      <c r="BJ17" s="252">
        <v>47504</v>
      </c>
      <c r="BK17" s="252">
        <v>54500</v>
      </c>
      <c r="BL17" s="249">
        <f t="shared" si="7"/>
        <v>14.727180868979453</v>
      </c>
      <c r="BM17" s="250"/>
      <c r="BN17" s="250" t="s">
        <v>62</v>
      </c>
      <c r="BO17" s="252">
        <v>47999</v>
      </c>
      <c r="BP17" s="252">
        <v>47504</v>
      </c>
      <c r="BQ17" s="249">
        <f t="shared" si="21"/>
        <v>-1.0312714848226003</v>
      </c>
      <c r="BR17" s="252">
        <v>60494</v>
      </c>
      <c r="BS17" s="252">
        <v>47504</v>
      </c>
      <c r="BT17" s="249">
        <f t="shared" si="8"/>
        <v>-21.473203954111149</v>
      </c>
      <c r="BU17" s="249"/>
      <c r="BV17" s="250"/>
      <c r="BW17" s="250" t="s">
        <v>62</v>
      </c>
      <c r="BX17" s="252">
        <v>55865</v>
      </c>
      <c r="BY17" s="252">
        <v>60494</v>
      </c>
      <c r="BZ17" s="249">
        <f t="shared" si="22"/>
        <v>8.2860467197708765</v>
      </c>
      <c r="CA17" s="252">
        <v>52923</v>
      </c>
      <c r="CB17" s="252">
        <v>60494</v>
      </c>
      <c r="CC17" s="249">
        <f t="shared" si="9"/>
        <v>14.305689397804358</v>
      </c>
      <c r="CD17" s="249"/>
      <c r="CE17" s="250"/>
      <c r="CF17" s="250" t="s">
        <v>62</v>
      </c>
      <c r="CG17" s="252">
        <v>60642</v>
      </c>
      <c r="CH17" s="252">
        <v>52923</v>
      </c>
      <c r="CI17" s="249">
        <f t="shared" si="23"/>
        <v>-12.728801820520431</v>
      </c>
      <c r="CJ17" s="252">
        <v>50825</v>
      </c>
      <c r="CK17" s="252">
        <v>52923</v>
      </c>
      <c r="CL17" s="249">
        <f t="shared" si="24"/>
        <v>4.1278898180029513</v>
      </c>
      <c r="CO17" s="250"/>
      <c r="CP17" s="250" t="s">
        <v>62</v>
      </c>
      <c r="CQ17" s="252">
        <v>41924</v>
      </c>
      <c r="CR17" s="252">
        <v>50825</v>
      </c>
      <c r="CS17" s="249">
        <f t="shared" si="25"/>
        <v>21.231275641637247</v>
      </c>
      <c r="CT17" s="252">
        <v>51342</v>
      </c>
      <c r="CU17" s="252">
        <v>50825</v>
      </c>
      <c r="CV17" s="249">
        <f t="shared" si="26"/>
        <v>-1.0069728487398231</v>
      </c>
      <c r="CW17" s="73"/>
      <c r="CX17" s="209"/>
      <c r="CY17" s="209" t="s">
        <v>62</v>
      </c>
      <c r="CZ17" s="211">
        <v>46004</v>
      </c>
      <c r="DA17" s="211">
        <v>44602</v>
      </c>
      <c r="DB17" s="208">
        <f t="shared" si="27"/>
        <v>-3.0475610816450742</v>
      </c>
      <c r="DC17" s="211">
        <v>38807</v>
      </c>
      <c r="DD17" s="211">
        <v>44602</v>
      </c>
      <c r="DE17" s="208">
        <f t="shared" si="28"/>
        <v>14.93287293529518</v>
      </c>
      <c r="DF17" s="73"/>
      <c r="DG17" s="159"/>
      <c r="DH17" s="159" t="s">
        <v>62</v>
      </c>
      <c r="DI17" s="161">
        <v>38807</v>
      </c>
      <c r="DJ17" s="161">
        <v>40658</v>
      </c>
      <c r="DK17" s="158">
        <f t="shared" si="29"/>
        <v>4.7697580333445</v>
      </c>
      <c r="DL17" s="161">
        <v>72312</v>
      </c>
      <c r="DM17" s="161">
        <v>40658</v>
      </c>
      <c r="DN17" s="158">
        <f t="shared" si="30"/>
        <v>-43.774200685916583</v>
      </c>
      <c r="DO17" s="155"/>
      <c r="DP17" s="103"/>
      <c r="DQ17" s="103" t="s">
        <v>62</v>
      </c>
      <c r="DR17" s="105">
        <v>67551</v>
      </c>
      <c r="DS17" s="105">
        <v>72314</v>
      </c>
      <c r="DT17" s="102">
        <f t="shared" si="31"/>
        <v>7.0509688975736857</v>
      </c>
      <c r="DU17" s="105">
        <v>46997</v>
      </c>
      <c r="DV17" s="105">
        <v>72314</v>
      </c>
      <c r="DW17" s="102">
        <f t="shared" si="32"/>
        <v>53.869395918888443</v>
      </c>
      <c r="DX17" s="73"/>
      <c r="DY17" s="24"/>
      <c r="DZ17" s="24" t="s">
        <v>62</v>
      </c>
      <c r="EA17" s="25">
        <v>52096</v>
      </c>
      <c r="EB17" s="25">
        <v>46997</v>
      </c>
      <c r="EC17" s="125">
        <f t="shared" si="33"/>
        <v>-9.7876996314496303</v>
      </c>
      <c r="ED17" s="25">
        <v>23400</v>
      </c>
      <c r="EE17" s="25">
        <v>46997</v>
      </c>
      <c r="EF17" s="125">
        <f t="shared" si="34"/>
        <v>100.84188034188035</v>
      </c>
      <c r="EG17" s="73"/>
      <c r="EH17" s="103"/>
      <c r="EI17" s="103" t="s">
        <v>62</v>
      </c>
      <c r="EJ17" s="105">
        <v>25680</v>
      </c>
      <c r="EK17" s="105">
        <v>23400</v>
      </c>
      <c r="EL17" s="102">
        <f t="shared" si="35"/>
        <v>-8.8785046728971952</v>
      </c>
      <c r="EM17" s="109">
        <v>125295</v>
      </c>
      <c r="EN17" s="105">
        <v>23400</v>
      </c>
      <c r="EO17" s="102">
        <f t="shared" si="36"/>
        <v>-81.324075182569132</v>
      </c>
      <c r="EP17" s="73"/>
      <c r="EQ17" s="77"/>
      <c r="ER17" s="77" t="s">
        <v>62</v>
      </c>
      <c r="ES17" s="80">
        <v>119840</v>
      </c>
      <c r="ET17" s="80">
        <v>125295</v>
      </c>
      <c r="EU17" s="79">
        <f t="shared" si="10"/>
        <v>4.5519025367156205</v>
      </c>
      <c r="EV17" s="81">
        <v>128210</v>
      </c>
      <c r="EW17" s="80">
        <v>125295</v>
      </c>
      <c r="EX17" s="79">
        <f t="shared" si="11"/>
        <v>-2.2736136026830978</v>
      </c>
      <c r="EY17" s="61"/>
    </row>
    <row r="18" spans="1:155" x14ac:dyDescent="0.5">
      <c r="A18" s="250"/>
      <c r="B18" s="250" t="s">
        <v>63</v>
      </c>
      <c r="C18" s="310">
        <v>4646.2722930189402</v>
      </c>
      <c r="D18" s="256">
        <v>6731.5278457304703</v>
      </c>
      <c r="E18" s="249">
        <f t="shared" si="38"/>
        <v>44.880183966932854</v>
      </c>
      <c r="F18" s="256">
        <v>7203.390644777648</v>
      </c>
      <c r="G18" s="335">
        <f t="shared" si="39"/>
        <v>6731.5278457304703</v>
      </c>
      <c r="H18" s="249">
        <f>((G18-F18)/F18)*100</f>
        <v>-6.5505651757102932</v>
      </c>
      <c r="I18" s="250"/>
      <c r="J18" s="250" t="s">
        <v>63</v>
      </c>
      <c r="K18" s="310">
        <v>6744.073273895282</v>
      </c>
      <c r="L18" s="256">
        <v>7203.390644777648</v>
      </c>
      <c r="M18" s="249">
        <f t="shared" si="41"/>
        <v>6.8106817976055405</v>
      </c>
      <c r="N18" s="256">
        <v>6600.09</v>
      </c>
      <c r="O18" s="256">
        <v>7203.390644777648</v>
      </c>
      <c r="P18" s="249">
        <f>((O18-N18)/N18)*100</f>
        <v>9.140794213073578</v>
      </c>
      <c r="Q18" s="250"/>
      <c r="R18" s="250" t="s">
        <v>63</v>
      </c>
      <c r="S18" s="310">
        <v>6560.7283461063189</v>
      </c>
      <c r="T18" s="256">
        <v>6600.09</v>
      </c>
      <c r="U18" s="249">
        <f t="shared" si="43"/>
        <v>0.59995859936864671</v>
      </c>
      <c r="V18" s="256">
        <v>5752.3808200600006</v>
      </c>
      <c r="W18" s="256">
        <v>6600.09</v>
      </c>
      <c r="X18" s="249">
        <f>((W18-V18)/V18)*100</f>
        <v>14.736666546551024</v>
      </c>
      <c r="Y18" s="250"/>
      <c r="Z18" s="250" t="s">
        <v>63</v>
      </c>
      <c r="AA18" s="310">
        <v>6176.5157830899998</v>
      </c>
      <c r="AB18" s="256">
        <v>5752.3808200600006</v>
      </c>
      <c r="AC18" s="249">
        <f t="shared" si="45"/>
        <v>-6.8668967736015745</v>
      </c>
      <c r="AD18" s="256">
        <v>8026.73</v>
      </c>
      <c r="AE18" s="256">
        <v>5752.3808200600006</v>
      </c>
      <c r="AF18" s="249">
        <f>((AE18-AD18)/AD18)*100</f>
        <v>-28.334691461404571</v>
      </c>
      <c r="AG18" s="250"/>
      <c r="AH18" s="250" t="s">
        <v>63</v>
      </c>
      <c r="AI18" s="310">
        <v>9124.7298962641089</v>
      </c>
      <c r="AJ18" s="256">
        <v>8026.73</v>
      </c>
      <c r="AK18" s="249">
        <f t="shared" si="47"/>
        <v>-12.033231764083864</v>
      </c>
      <c r="AL18" s="256">
        <v>6878.31</v>
      </c>
      <c r="AM18" s="256">
        <v>8026.73</v>
      </c>
      <c r="AN18" s="249">
        <f>((AM18-AL18)/AL18)*100</f>
        <v>16.696252422470042</v>
      </c>
      <c r="AO18" s="250"/>
      <c r="AP18" s="250" t="s">
        <v>63</v>
      </c>
      <c r="AQ18" s="310">
        <v>7997.59</v>
      </c>
      <c r="AR18" s="256">
        <v>6878.31</v>
      </c>
      <c r="AS18" s="249">
        <f t="shared" si="49"/>
        <v>-13.995216058837723</v>
      </c>
      <c r="AT18" s="256">
        <v>6535.2558797036463</v>
      </c>
      <c r="AU18" s="256">
        <v>6878.31</v>
      </c>
      <c r="AV18" s="249">
        <f>((AU18-AT18)/AT18)*100</f>
        <v>5.249283679339432</v>
      </c>
      <c r="AW18" s="250"/>
      <c r="AX18" s="250" t="s">
        <v>63</v>
      </c>
      <c r="AY18" s="310">
        <v>7120.42</v>
      </c>
      <c r="AZ18" s="256">
        <v>7504.8</v>
      </c>
      <c r="BA18" s="249">
        <f t="shared" si="19"/>
        <v>5.3982770679257701</v>
      </c>
      <c r="BB18" s="256">
        <v>5294.32</v>
      </c>
      <c r="BC18" s="256">
        <v>7504.8</v>
      </c>
      <c r="BD18" s="249">
        <f>((BC18-BB18)/BB18)*100</f>
        <v>41.751915260127845</v>
      </c>
      <c r="BE18" s="250"/>
      <c r="BF18" s="250" t="s">
        <v>63</v>
      </c>
      <c r="BG18" s="256">
        <v>5716.75</v>
      </c>
      <c r="BH18" s="256">
        <v>5294.32</v>
      </c>
      <c r="BI18" s="249">
        <f t="shared" si="20"/>
        <v>-7.3893383478374997</v>
      </c>
      <c r="BJ18" s="256">
        <v>4672.59</v>
      </c>
      <c r="BK18" s="256">
        <v>5294.32</v>
      </c>
      <c r="BL18" s="249">
        <f t="shared" si="7"/>
        <v>13.305896729650998</v>
      </c>
      <c r="BM18" s="250"/>
      <c r="BN18" s="250" t="s">
        <v>63</v>
      </c>
      <c r="BO18" s="256">
        <v>5012.04</v>
      </c>
      <c r="BP18" s="256">
        <v>4672.59</v>
      </c>
      <c r="BQ18" s="249">
        <f t="shared" si="21"/>
        <v>-6.772691359207025</v>
      </c>
      <c r="BR18" s="256">
        <v>4672.16</v>
      </c>
      <c r="BS18" s="256">
        <v>4672.59</v>
      </c>
      <c r="BT18" s="249">
        <f t="shared" si="8"/>
        <v>9.2034519365837442E-3</v>
      </c>
      <c r="BU18" s="249"/>
      <c r="BV18" s="250"/>
      <c r="BW18" s="250" t="s">
        <v>63</v>
      </c>
      <c r="BX18" s="256">
        <v>5156.5200000000004</v>
      </c>
      <c r="BY18" s="256">
        <v>4672.16</v>
      </c>
      <c r="BZ18" s="249">
        <f t="shared" si="22"/>
        <v>-9.3931566250106755</v>
      </c>
      <c r="CA18" s="256">
        <v>5209.87</v>
      </c>
      <c r="CB18" s="256">
        <v>4672.16</v>
      </c>
      <c r="CC18" s="249">
        <f t="shared" si="9"/>
        <v>-10.320986896026199</v>
      </c>
      <c r="CD18" s="249"/>
      <c r="CE18" s="250"/>
      <c r="CF18" s="250" t="s">
        <v>63</v>
      </c>
      <c r="CG18" s="256">
        <v>5292.44</v>
      </c>
      <c r="CH18" s="256">
        <v>5022.79</v>
      </c>
      <c r="CI18" s="249">
        <f t="shared" si="23"/>
        <v>-5.0950034388675105</v>
      </c>
      <c r="CJ18" s="256">
        <v>4044.94</v>
      </c>
      <c r="CK18" s="256">
        <v>5022.79</v>
      </c>
      <c r="CL18" s="249">
        <f t="shared" si="24"/>
        <v>24.174647831611839</v>
      </c>
      <c r="CO18" s="250"/>
      <c r="CP18" s="250" t="s">
        <v>63</v>
      </c>
      <c r="CQ18" s="256">
        <v>4004.92</v>
      </c>
      <c r="CR18" s="256">
        <v>4044.94</v>
      </c>
      <c r="CS18" s="249">
        <f t="shared" si="25"/>
        <v>0.99927089679693937</v>
      </c>
      <c r="CT18" s="256">
        <v>4323.22</v>
      </c>
      <c r="CU18" s="256">
        <v>4044.94</v>
      </c>
      <c r="CV18" s="249">
        <f t="shared" si="26"/>
        <v>-6.4368688153737308</v>
      </c>
      <c r="CW18" s="73"/>
      <c r="CX18" s="209"/>
      <c r="CY18" s="209" t="s">
        <v>63</v>
      </c>
      <c r="CZ18" s="212">
        <v>2733.04</v>
      </c>
      <c r="DA18" s="212">
        <v>3096.9</v>
      </c>
      <c r="DB18" s="208">
        <f t="shared" si="27"/>
        <v>13.313379972484856</v>
      </c>
      <c r="DC18" s="212">
        <v>3088.1</v>
      </c>
      <c r="DD18" s="212">
        <v>3096.9</v>
      </c>
      <c r="DE18" s="208">
        <f t="shared" si="28"/>
        <v>0.28496486512743052</v>
      </c>
      <c r="DF18" s="73"/>
      <c r="DG18" s="159"/>
      <c r="DH18" s="159" t="s">
        <v>63</v>
      </c>
      <c r="DI18" s="162">
        <v>3088.1</v>
      </c>
      <c r="DJ18" s="162">
        <v>2517.65</v>
      </c>
      <c r="DK18" s="158">
        <f t="shared" si="29"/>
        <v>-18.472523558174924</v>
      </c>
      <c r="DL18" s="162">
        <v>2992.68</v>
      </c>
      <c r="DM18" s="162">
        <v>2517.65</v>
      </c>
      <c r="DN18" s="158">
        <f t="shared" si="30"/>
        <v>-15.87306360853816</v>
      </c>
      <c r="DO18" s="155"/>
      <c r="DP18" s="103"/>
      <c r="DQ18" s="103" t="s">
        <v>63</v>
      </c>
      <c r="DR18" s="106">
        <v>2724.5</v>
      </c>
      <c r="DS18" s="106">
        <v>2992.5</v>
      </c>
      <c r="DT18" s="102">
        <f t="shared" si="31"/>
        <v>9.8366672783997071</v>
      </c>
      <c r="DU18" s="106">
        <v>2063.4699999999998</v>
      </c>
      <c r="DV18" s="106">
        <v>2992.5</v>
      </c>
      <c r="DW18" s="102">
        <f t="shared" si="32"/>
        <v>45.022704473532457</v>
      </c>
      <c r="DX18" s="73"/>
      <c r="DY18" s="24"/>
      <c r="DZ18" s="24" t="s">
        <v>63</v>
      </c>
      <c r="EA18" s="124">
        <v>1712.42</v>
      </c>
      <c r="EB18" s="124">
        <v>2063.4699999999998</v>
      </c>
      <c r="EC18" s="125">
        <f t="shared" si="33"/>
        <v>20.500227747865576</v>
      </c>
      <c r="ED18" s="124">
        <v>2198.6</v>
      </c>
      <c r="EE18" s="124">
        <v>2063.4699999999998</v>
      </c>
      <c r="EF18" s="125">
        <f t="shared" si="34"/>
        <v>-6.146183935231516</v>
      </c>
      <c r="EG18" s="73"/>
      <c r="EH18" s="103"/>
      <c r="EI18" s="103" t="s">
        <v>63</v>
      </c>
      <c r="EJ18" s="106">
        <v>1848.33</v>
      </c>
      <c r="EK18" s="106">
        <v>2198.6</v>
      </c>
      <c r="EL18" s="102">
        <f t="shared" si="35"/>
        <v>18.95062028966689</v>
      </c>
      <c r="EM18" s="110">
        <v>2453.9499999999998</v>
      </c>
      <c r="EN18" s="106">
        <v>2198.6</v>
      </c>
      <c r="EO18" s="102">
        <f t="shared" si="36"/>
        <v>-10.405672487214487</v>
      </c>
      <c r="EP18" s="73"/>
      <c r="EQ18" s="77"/>
      <c r="ER18" s="77" t="s">
        <v>63</v>
      </c>
      <c r="ES18" s="82">
        <v>2213.5100000000002</v>
      </c>
      <c r="ET18" s="82">
        <v>2453.9499999999998</v>
      </c>
      <c r="EU18" s="79">
        <f t="shared" si="10"/>
        <v>10.862385984251238</v>
      </c>
      <c r="EV18" s="83">
        <v>2284.98</v>
      </c>
      <c r="EW18" s="82">
        <v>2453.9499999999998</v>
      </c>
      <c r="EX18" s="79">
        <f t="shared" si="11"/>
        <v>7.3948130837031307</v>
      </c>
      <c r="EY18" s="61"/>
    </row>
    <row r="20" spans="1:155" x14ac:dyDescent="0.5">
      <c r="C20" s="62" t="s">
        <v>865</v>
      </c>
      <c r="K20" s="62" t="s">
        <v>818</v>
      </c>
      <c r="S20" s="62" t="s">
        <v>819</v>
      </c>
      <c r="AA20" s="62" t="s">
        <v>729</v>
      </c>
      <c r="AI20" s="62" t="s">
        <v>681</v>
      </c>
      <c r="AQ20" s="62" t="s">
        <v>633</v>
      </c>
      <c r="AY20" s="62" t="s">
        <v>494</v>
      </c>
      <c r="BG20" s="62" t="s">
        <v>494</v>
      </c>
      <c r="BO20" s="62" t="s">
        <v>494</v>
      </c>
      <c r="BX20" t="s">
        <v>429</v>
      </c>
      <c r="CG20" t="s">
        <v>384</v>
      </c>
      <c r="CQ20" t="s">
        <v>337</v>
      </c>
      <c r="CZ20" t="s">
        <v>291</v>
      </c>
      <c r="DG20"/>
      <c r="DI20" s="171" t="s">
        <v>254</v>
      </c>
      <c r="DO20" s="153"/>
      <c r="DR20" t="s">
        <v>214</v>
      </c>
      <c r="EA20" t="s">
        <v>179</v>
      </c>
      <c r="EJ20" t="s">
        <v>139</v>
      </c>
      <c r="ES20" t="s">
        <v>90</v>
      </c>
    </row>
    <row r="21" spans="1:155" x14ac:dyDescent="0.5">
      <c r="A21" s="163"/>
      <c r="B21" s="163"/>
      <c r="C21" s="263" t="s">
        <v>863</v>
      </c>
      <c r="D21" s="263" t="s">
        <v>864</v>
      </c>
      <c r="E21" s="265" t="s">
        <v>3</v>
      </c>
      <c r="F21" s="263" t="s">
        <v>821</v>
      </c>
      <c r="G21" s="263" t="s">
        <v>864</v>
      </c>
      <c r="H21" s="265" t="s">
        <v>3</v>
      </c>
      <c r="I21" s="163"/>
      <c r="J21" s="163"/>
      <c r="K21" s="263" t="s">
        <v>820</v>
      </c>
      <c r="L21" s="263" t="s">
        <v>821</v>
      </c>
      <c r="M21" s="265" t="s">
        <v>3</v>
      </c>
      <c r="N21" s="263" t="s">
        <v>770</v>
      </c>
      <c r="O21" s="263" t="s">
        <v>821</v>
      </c>
      <c r="P21" s="265" t="s">
        <v>3</v>
      </c>
      <c r="Q21" s="163"/>
      <c r="R21" s="163"/>
      <c r="S21" s="263" t="s">
        <v>769</v>
      </c>
      <c r="T21" s="263" t="s">
        <v>770</v>
      </c>
      <c r="U21" s="265" t="s">
        <v>3</v>
      </c>
      <c r="V21" s="263" t="s">
        <v>728</v>
      </c>
      <c r="W21" s="263" t="s">
        <v>770</v>
      </c>
      <c r="X21" s="265" t="s">
        <v>3</v>
      </c>
      <c r="Y21" s="163"/>
      <c r="Z21" s="163"/>
      <c r="AA21" s="263">
        <v>23774</v>
      </c>
      <c r="AB21" s="263">
        <v>23802</v>
      </c>
      <c r="AC21" s="265" t="s">
        <v>3</v>
      </c>
      <c r="AD21" s="263">
        <v>23437</v>
      </c>
      <c r="AE21" s="263">
        <v>23802</v>
      </c>
      <c r="AF21" s="265" t="s">
        <v>3</v>
      </c>
      <c r="AG21" s="163"/>
      <c r="AH21" s="163"/>
      <c r="AI21" s="263" t="s">
        <v>679</v>
      </c>
      <c r="AJ21" s="263" t="s">
        <v>680</v>
      </c>
      <c r="AK21" s="265" t="s">
        <v>3</v>
      </c>
      <c r="AL21" s="263" t="s">
        <v>635</v>
      </c>
      <c r="AM21" s="263" t="s">
        <v>680</v>
      </c>
      <c r="AN21" s="265" t="s">
        <v>3</v>
      </c>
      <c r="AO21" s="163"/>
      <c r="AP21" s="163"/>
      <c r="AQ21" s="263" t="s">
        <v>634</v>
      </c>
      <c r="AR21" s="263" t="s">
        <v>635</v>
      </c>
      <c r="AS21" s="265" t="s">
        <v>3</v>
      </c>
      <c r="AT21" s="263" t="s">
        <v>586</v>
      </c>
      <c r="AU21" s="263" t="s">
        <v>635</v>
      </c>
      <c r="AV21" s="265" t="s">
        <v>3</v>
      </c>
      <c r="AW21" s="163"/>
      <c r="AX21" s="163"/>
      <c r="AY21" s="263" t="s">
        <v>585</v>
      </c>
      <c r="AZ21" s="263" t="s">
        <v>586</v>
      </c>
      <c r="BA21" s="265" t="s">
        <v>3</v>
      </c>
      <c r="BB21" s="263" t="s">
        <v>545</v>
      </c>
      <c r="BC21" s="263" t="s">
        <v>586</v>
      </c>
      <c r="BD21" s="265" t="s">
        <v>3</v>
      </c>
      <c r="BE21" s="163"/>
      <c r="BF21" s="163"/>
      <c r="BG21" s="263" t="s">
        <v>544</v>
      </c>
      <c r="BH21" s="263" t="s">
        <v>545</v>
      </c>
      <c r="BI21" s="265" t="s">
        <v>3</v>
      </c>
      <c r="BJ21" s="263" t="s">
        <v>491</v>
      </c>
      <c r="BK21" s="263" t="s">
        <v>545</v>
      </c>
      <c r="BL21" s="265" t="s">
        <v>3</v>
      </c>
      <c r="BM21" s="163"/>
      <c r="BN21" s="163"/>
      <c r="BO21" s="263" t="s">
        <v>490</v>
      </c>
      <c r="BP21" s="263" t="s">
        <v>491</v>
      </c>
      <c r="BQ21" s="265" t="s">
        <v>3</v>
      </c>
      <c r="BR21" s="263" t="s">
        <v>492</v>
      </c>
      <c r="BS21" s="263" t="s">
        <v>491</v>
      </c>
      <c r="BT21" s="265" t="s">
        <v>3</v>
      </c>
      <c r="BU21" s="163"/>
      <c r="BV21" s="163"/>
      <c r="BW21" s="163"/>
      <c r="BX21" s="172" t="s">
        <v>426</v>
      </c>
      <c r="BY21" s="172" t="s">
        <v>430</v>
      </c>
      <c r="BZ21" s="163" t="s">
        <v>3</v>
      </c>
      <c r="CA21" s="172" t="s">
        <v>385</v>
      </c>
      <c r="CB21" s="172" t="s">
        <v>431</v>
      </c>
      <c r="CC21" s="163" t="s">
        <v>3</v>
      </c>
      <c r="CD21" s="163"/>
      <c r="CE21" s="163"/>
      <c r="CF21" s="163"/>
      <c r="CG21" s="172" t="s">
        <v>380</v>
      </c>
      <c r="CH21" s="172" t="s">
        <v>385</v>
      </c>
      <c r="CI21" s="163" t="s">
        <v>3</v>
      </c>
      <c r="CJ21" s="172" t="s">
        <v>338</v>
      </c>
      <c r="CK21" s="172" t="s">
        <v>386</v>
      </c>
      <c r="CL21" s="163" t="s">
        <v>3</v>
      </c>
      <c r="CO21" s="163"/>
      <c r="CP21" s="163"/>
      <c r="CQ21" s="172" t="s">
        <v>332</v>
      </c>
      <c r="CR21" s="172" t="s">
        <v>338</v>
      </c>
      <c r="CS21" s="163" t="s">
        <v>3</v>
      </c>
      <c r="CT21" s="172" t="s">
        <v>339</v>
      </c>
      <c r="CU21" s="172" t="s">
        <v>341</v>
      </c>
      <c r="CV21" s="163" t="s">
        <v>3</v>
      </c>
      <c r="CW21" s="62"/>
      <c r="CX21" s="213"/>
      <c r="CY21" s="213"/>
      <c r="CZ21" s="215" t="s">
        <v>287</v>
      </c>
      <c r="DA21" s="214" t="s">
        <v>292</v>
      </c>
      <c r="DB21" s="213" t="s">
        <v>3</v>
      </c>
      <c r="DC21" s="214" t="s">
        <v>251</v>
      </c>
      <c r="DD21" s="214" t="s">
        <v>293</v>
      </c>
      <c r="DE21" s="213" t="s">
        <v>3</v>
      </c>
      <c r="DF21" s="62"/>
      <c r="DG21" s="163"/>
      <c r="DH21" s="163"/>
      <c r="DI21" s="175" t="s">
        <v>257</v>
      </c>
      <c r="DJ21" s="175" t="s">
        <v>258</v>
      </c>
      <c r="DK21" s="163" t="s">
        <v>3</v>
      </c>
      <c r="DL21" s="172" t="s">
        <v>256</v>
      </c>
      <c r="DM21" s="175" t="s">
        <v>255</v>
      </c>
      <c r="DN21" s="163" t="s">
        <v>3</v>
      </c>
      <c r="DO21" s="154"/>
      <c r="DP21" s="141"/>
      <c r="DQ21" s="141"/>
      <c r="DR21" s="142" t="s">
        <v>211</v>
      </c>
      <c r="DS21" s="144" t="s">
        <v>212</v>
      </c>
      <c r="DT21" s="141" t="s">
        <v>3</v>
      </c>
      <c r="DU21" s="146" t="s">
        <v>175</v>
      </c>
      <c r="DV21" s="144" t="s">
        <v>212</v>
      </c>
      <c r="DW21" s="141" t="s">
        <v>3</v>
      </c>
      <c r="DX21" s="62"/>
      <c r="DY21" s="95"/>
      <c r="DZ21" s="95"/>
      <c r="EA21" s="96" t="s">
        <v>174</v>
      </c>
      <c r="EB21" s="96" t="s">
        <v>175</v>
      </c>
      <c r="EC21" s="95" t="s">
        <v>3</v>
      </c>
      <c r="ED21" s="96" t="s">
        <v>140</v>
      </c>
      <c r="EE21" s="96" t="s">
        <v>175</v>
      </c>
      <c r="EF21" s="95" t="s">
        <v>3</v>
      </c>
      <c r="EG21" s="62"/>
      <c r="EH21" s="107"/>
      <c r="EI21" s="107"/>
      <c r="EJ21" s="108" t="s">
        <v>135</v>
      </c>
      <c r="EK21" s="108" t="s">
        <v>140</v>
      </c>
      <c r="EL21" s="107" t="s">
        <v>3</v>
      </c>
      <c r="EM21" s="108" t="s">
        <v>91</v>
      </c>
      <c r="EN21" s="108" t="s">
        <v>140</v>
      </c>
      <c r="EO21" s="107" t="s">
        <v>3</v>
      </c>
      <c r="EP21" s="62"/>
      <c r="EQ21" s="95"/>
      <c r="ER21" s="95"/>
      <c r="ES21" s="96" t="s">
        <v>87</v>
      </c>
      <c r="ET21" s="96" t="s">
        <v>94</v>
      </c>
      <c r="EU21" s="95" t="s">
        <v>3</v>
      </c>
      <c r="EV21" s="96" t="s">
        <v>93</v>
      </c>
      <c r="EW21" s="96" t="s">
        <v>94</v>
      </c>
      <c r="EX21" s="95" t="s">
        <v>3</v>
      </c>
      <c r="EY21" s="62"/>
    </row>
    <row r="22" spans="1:155" x14ac:dyDescent="0.5">
      <c r="A22" s="165" t="s">
        <v>0</v>
      </c>
      <c r="B22" s="165"/>
      <c r="C22" s="292">
        <v>115487</v>
      </c>
      <c r="D22" s="166">
        <v>129909</v>
      </c>
      <c r="E22" s="167">
        <f>((D22-C22)/C22)*100</f>
        <v>12.487985660723718</v>
      </c>
      <c r="F22" s="166">
        <v>138331</v>
      </c>
      <c r="G22" s="166">
        <f>D22</f>
        <v>129909</v>
      </c>
      <c r="H22" s="167">
        <f t="shared" ref="H22:H32" si="50">((G22-F22)/F22)*100</f>
        <v>-6.0882954652247152</v>
      </c>
      <c r="I22" s="165" t="s">
        <v>0</v>
      </c>
      <c r="J22" s="165"/>
      <c r="K22" s="292">
        <v>133690</v>
      </c>
      <c r="L22" s="166">
        <v>138331</v>
      </c>
      <c r="M22" s="167">
        <f>((L22-K22)/K22)*100</f>
        <v>3.4714638342433988</v>
      </c>
      <c r="N22" s="166">
        <v>179848</v>
      </c>
      <c r="O22" s="166">
        <v>138331</v>
      </c>
      <c r="P22" s="167">
        <f t="shared" ref="P22:P32" si="51">((O22-N22)/N22)*100</f>
        <v>-23.084493572349984</v>
      </c>
      <c r="Q22" s="165" t="s">
        <v>0</v>
      </c>
      <c r="R22" s="165"/>
      <c r="S22" s="292">
        <v>165612</v>
      </c>
      <c r="T22" s="166">
        <v>179848</v>
      </c>
      <c r="U22" s="167">
        <f>((T22-S22)/S22)*100</f>
        <v>8.5959954592662378</v>
      </c>
      <c r="V22" s="166">
        <v>172671</v>
      </c>
      <c r="W22" s="166">
        <v>179848</v>
      </c>
      <c r="X22" s="167">
        <f t="shared" ref="X22:X32" si="52">((W22-V22)/V22)*100</f>
        <v>4.1564593938762151</v>
      </c>
      <c r="Y22" s="165" t="s">
        <v>0</v>
      </c>
      <c r="Z22" s="165"/>
      <c r="AA22" s="292">
        <v>155660</v>
      </c>
      <c r="AB22" s="166">
        <v>172671</v>
      </c>
      <c r="AC22" s="167">
        <f>((AB22-AA22)/AA22)*100</f>
        <v>10.928305280740075</v>
      </c>
      <c r="AD22" s="166">
        <v>162515</v>
      </c>
      <c r="AE22" s="166">
        <v>172671</v>
      </c>
      <c r="AF22" s="167">
        <f t="shared" ref="AF22:AF32" si="53">((AE22-AD22)/AD22)*100</f>
        <v>6.2492692982186258</v>
      </c>
      <c r="AG22" s="165" t="s">
        <v>0</v>
      </c>
      <c r="AH22" s="165"/>
      <c r="AI22" s="292">
        <v>155200</v>
      </c>
      <c r="AJ22" s="166">
        <v>162515</v>
      </c>
      <c r="AK22" s="167">
        <f>((AJ22-AI22)/AI22)*100</f>
        <v>4.7132731958762886</v>
      </c>
      <c r="AL22" s="166">
        <v>146812</v>
      </c>
      <c r="AM22" s="166">
        <v>162515</v>
      </c>
      <c r="AN22" s="167">
        <f t="shared" ref="AN22:AN32" si="54">((AM22-AL22)/AL22)*100</f>
        <v>10.695992153229982</v>
      </c>
      <c r="AO22" s="165" t="s">
        <v>0</v>
      </c>
      <c r="AP22" s="165"/>
      <c r="AQ22" s="292">
        <v>150604</v>
      </c>
      <c r="AR22" s="166">
        <v>146812</v>
      </c>
      <c r="AS22" s="167">
        <f>((AR22-AQ22)/AQ22)*100</f>
        <v>-2.5178614113834956</v>
      </c>
      <c r="AT22" s="166">
        <v>198821</v>
      </c>
      <c r="AU22" s="166">
        <v>146812</v>
      </c>
      <c r="AV22" s="167">
        <f t="shared" ref="AV22:AV32" si="55">((AU22-AT22)/AT22)*100</f>
        <v>-26.158705569331207</v>
      </c>
      <c r="AW22" s="165" t="s">
        <v>0</v>
      </c>
      <c r="AX22" s="165"/>
      <c r="AY22" s="292">
        <v>183071</v>
      </c>
      <c r="AZ22" s="166">
        <v>198821</v>
      </c>
      <c r="BA22" s="167">
        <f>((AZ22-AY22)/AY22)*100</f>
        <v>8.6032195159255149</v>
      </c>
      <c r="BB22" s="166">
        <v>195257</v>
      </c>
      <c r="BC22" s="166">
        <v>198821</v>
      </c>
      <c r="BD22" s="167">
        <f t="shared" ref="BD22:BD32" si="56">((BC22-BB22)/BB22)*100</f>
        <v>1.8252866734611308</v>
      </c>
      <c r="BE22" s="165" t="s">
        <v>0</v>
      </c>
      <c r="BF22" s="165"/>
      <c r="BG22" s="292">
        <v>178237</v>
      </c>
      <c r="BH22" s="166">
        <v>195257</v>
      </c>
      <c r="BI22" s="167">
        <f>((BH22-BG22)/BG22)*100</f>
        <v>9.5490835236230414</v>
      </c>
      <c r="BJ22" s="166">
        <v>178798</v>
      </c>
      <c r="BK22" s="166">
        <v>195257</v>
      </c>
      <c r="BL22" s="167">
        <f t="shared" ref="BL22:BL32" si="57">((BK22-BJ22)/BJ22)*100</f>
        <v>9.2053602389288471</v>
      </c>
      <c r="BM22" s="165" t="s">
        <v>0</v>
      </c>
      <c r="BN22" s="165"/>
      <c r="BO22" s="292">
        <v>154496</v>
      </c>
      <c r="BP22" s="166">
        <v>178798</v>
      </c>
      <c r="BQ22" s="167">
        <f>((BP22-BO22)/BO22)*100</f>
        <v>15.729857083678542</v>
      </c>
      <c r="BR22" s="166">
        <v>192811</v>
      </c>
      <c r="BS22" s="166">
        <v>178798</v>
      </c>
      <c r="BT22" s="167">
        <f t="shared" ref="BT22:BT32" si="58">((BS22-BR22)/BR22)*100</f>
        <v>-7.2677388738194404</v>
      </c>
      <c r="BU22" s="167"/>
      <c r="BV22" s="165" t="s">
        <v>0</v>
      </c>
      <c r="BW22" s="165"/>
      <c r="BX22" s="166">
        <v>166412</v>
      </c>
      <c r="BY22" s="166">
        <v>192811</v>
      </c>
      <c r="BZ22" s="167">
        <f>((BY22-BX22)/BX22)*100</f>
        <v>15.863639641372016</v>
      </c>
      <c r="CA22" s="166">
        <v>178217</v>
      </c>
      <c r="CB22" s="166">
        <v>192811</v>
      </c>
      <c r="CC22" s="167">
        <f t="shared" ref="CC22:CC32" si="59">((CB22-CA22)/CA22)*100</f>
        <v>8.1888933154525105</v>
      </c>
      <c r="CD22" s="167"/>
      <c r="CE22" s="165" t="s">
        <v>0</v>
      </c>
      <c r="CF22" s="165"/>
      <c r="CG22" s="166">
        <v>178351</v>
      </c>
      <c r="CH22" s="166">
        <v>178217</v>
      </c>
      <c r="CI22" s="167">
        <f>((CH22-CG22)/CG22)*100</f>
        <v>-7.5132743859019566E-2</v>
      </c>
      <c r="CJ22" s="166">
        <v>181334</v>
      </c>
      <c r="CK22" s="166">
        <v>178217</v>
      </c>
      <c r="CL22" s="167">
        <f t="shared" ref="CL22:CL32" si="60">((CK22-CJ22)/CJ22)*100</f>
        <v>-1.7189275039430001</v>
      </c>
      <c r="CO22" s="165" t="s">
        <v>0</v>
      </c>
      <c r="CP22" s="165"/>
      <c r="CQ22" s="166">
        <v>173506</v>
      </c>
      <c r="CR22" s="166">
        <f>SUM(CR23:CR25)</f>
        <v>181334</v>
      </c>
      <c r="CS22" s="167">
        <f>((CR22-CQ22)/CQ22)*100</f>
        <v>4.5116595391513838</v>
      </c>
      <c r="CT22" s="166">
        <f>SUM(CT23:CT25)</f>
        <v>256278</v>
      </c>
      <c r="CU22" s="166">
        <f>SUM(CU23:CU25)</f>
        <v>181334</v>
      </c>
      <c r="CV22" s="167">
        <f t="shared" ref="CV22:CV32" si="61">((CU22-CT22)/CT22)*100</f>
        <v>-29.243243665082446</v>
      </c>
      <c r="CW22" s="73"/>
      <c r="CX22" s="216" t="s">
        <v>0</v>
      </c>
      <c r="CY22" s="216"/>
      <c r="CZ22" s="217">
        <f>SUM(CZ23:CZ25)</f>
        <v>236025</v>
      </c>
      <c r="DA22" s="217">
        <f>SUM(DA23:DA25)</f>
        <v>229204</v>
      </c>
      <c r="DB22" s="218">
        <f>((DA22-CZ22)/CZ22)*100</f>
        <v>-2.8899480987183561</v>
      </c>
      <c r="DC22" s="217">
        <f>SUM(DC23:DC25)</f>
        <v>168096</v>
      </c>
      <c r="DD22" s="217">
        <f>SUM(DD23:DD25)</f>
        <v>229204</v>
      </c>
      <c r="DE22" s="218">
        <f>((DD22-DC22)/DC22)*100</f>
        <v>36.353036360175139</v>
      </c>
      <c r="DF22" s="73"/>
      <c r="DG22" s="165" t="s">
        <v>0</v>
      </c>
      <c r="DH22" s="165"/>
      <c r="DI22" s="166">
        <f>SUM(DI23:DI25)</f>
        <v>168221</v>
      </c>
      <c r="DJ22" s="166">
        <f>SUM(DJ23:DJ25)</f>
        <v>190935</v>
      </c>
      <c r="DK22" s="167">
        <f>((DJ22-DI22)/DI22)*100</f>
        <v>13.502475909666451</v>
      </c>
      <c r="DL22" s="166">
        <f>SUM(DL23:DL25)</f>
        <v>172004</v>
      </c>
      <c r="DM22" s="166">
        <f>SUM(DM23:DM25)</f>
        <v>190935</v>
      </c>
      <c r="DN22" s="167">
        <f>((DM22-DL22)/DL22)*100</f>
        <v>11.00613939210716</v>
      </c>
      <c r="DO22" s="155"/>
      <c r="DP22" s="150" t="s">
        <v>0</v>
      </c>
      <c r="DQ22" s="150"/>
      <c r="DR22" s="147">
        <f>SUM(DR23:DR25)</f>
        <v>150743</v>
      </c>
      <c r="DS22" s="147">
        <f>SUM(DS23:DS25)</f>
        <v>172004</v>
      </c>
      <c r="DT22" s="151">
        <f>((DS22-DR22)/DR22)*100</f>
        <v>14.104137505555814</v>
      </c>
      <c r="DU22" s="147">
        <f>SUM(DU23:DU25)</f>
        <v>151143</v>
      </c>
      <c r="DV22" s="147">
        <f>SUM(DV23:DV25)</f>
        <v>172004</v>
      </c>
      <c r="DW22" s="151">
        <f>((DV22-DU22)/DU22)*100</f>
        <v>13.802160867522808</v>
      </c>
      <c r="DX22" s="73"/>
      <c r="DY22" s="86" t="s">
        <v>0</v>
      </c>
      <c r="DZ22" s="86"/>
      <c r="EA22" s="87">
        <v>127849</v>
      </c>
      <c r="EB22" s="87">
        <f>SUM(EB23:EB25)</f>
        <v>151246</v>
      </c>
      <c r="EC22" s="126">
        <f>((EB22-EA22)/EA22)*100</f>
        <v>18.300495115331366</v>
      </c>
      <c r="ED22" s="87">
        <v>65449</v>
      </c>
      <c r="EE22" s="87">
        <v>151246</v>
      </c>
      <c r="EF22" s="126">
        <f>((EE22-ED22)/ED22)*100</f>
        <v>131.08985622393007</v>
      </c>
      <c r="EG22" s="73"/>
      <c r="EH22" s="63" t="s">
        <v>0</v>
      </c>
      <c r="EI22" s="63"/>
      <c r="EJ22" s="68">
        <f>SUM(EJ23:EJ25)</f>
        <v>61067</v>
      </c>
      <c r="EK22" s="68">
        <f>SUM(EK23:EK25)</f>
        <v>65449</v>
      </c>
      <c r="EL22" s="65">
        <f t="shared" ref="EL22:EL32" si="62">(EK22-EJ22)/EJ22*100</f>
        <v>7.1757250233350254</v>
      </c>
      <c r="EM22" s="68">
        <f>SUM(EM23:EM25)</f>
        <v>133943</v>
      </c>
      <c r="EN22" s="68">
        <f>SUM(EN23:EN25)</f>
        <v>65449</v>
      </c>
      <c r="EO22" s="65">
        <f t="shared" ref="EO22:EO32" si="63">(EN22-EM22)/EM22*100</f>
        <v>-51.136677541939477</v>
      </c>
      <c r="EP22" s="73"/>
      <c r="EQ22" s="86" t="s">
        <v>0</v>
      </c>
      <c r="ER22" s="86"/>
      <c r="ES22" s="87">
        <f>SUM(ES23:ES25)</f>
        <v>123551</v>
      </c>
      <c r="ET22" s="87">
        <f>SUM(ET23:ET25)</f>
        <v>133943</v>
      </c>
      <c r="EU22" s="88">
        <f t="shared" ref="EU22:EU32" si="64">(ET22-ES22)/ES22*100</f>
        <v>8.4111014884541611</v>
      </c>
      <c r="EV22" s="87">
        <f>SUM(EV23:EV25)</f>
        <v>111751</v>
      </c>
      <c r="EW22" s="87">
        <f>SUM(EW23:EW25)</f>
        <v>133943</v>
      </c>
      <c r="EX22" s="88">
        <f t="shared" ref="EX22:EX32" si="65">(EW22-EV22)/EV22*100</f>
        <v>19.858435271272739</v>
      </c>
      <c r="EY22" s="73"/>
    </row>
    <row r="23" spans="1:155" x14ac:dyDescent="0.5">
      <c r="A23" s="168"/>
      <c r="B23" s="168" t="s">
        <v>51</v>
      </c>
      <c r="C23" s="315">
        <v>37756</v>
      </c>
      <c r="D23" s="169">
        <v>44694</v>
      </c>
      <c r="E23" s="167">
        <f t="shared" ref="E23:E32" si="66">((D23-C23)/C23)*100</f>
        <v>18.375887276194511</v>
      </c>
      <c r="F23" s="169">
        <v>51244</v>
      </c>
      <c r="G23" s="166">
        <f t="shared" ref="G23:G32" si="67">D23</f>
        <v>44694</v>
      </c>
      <c r="H23" s="167">
        <f t="shared" si="50"/>
        <v>-12.781984232300367</v>
      </c>
      <c r="I23" s="168"/>
      <c r="J23" s="168" t="s">
        <v>51</v>
      </c>
      <c r="K23" s="315">
        <v>49805</v>
      </c>
      <c r="L23" s="169">
        <v>51244</v>
      </c>
      <c r="M23" s="167">
        <f t="shared" ref="M23:M32" si="68">((L23-K23)/K23)*100</f>
        <v>2.8892681457684968</v>
      </c>
      <c r="N23" s="169">
        <v>63074</v>
      </c>
      <c r="O23" s="169">
        <v>51244</v>
      </c>
      <c r="P23" s="167">
        <f t="shared" si="51"/>
        <v>-18.755747217553985</v>
      </c>
      <c r="Q23" s="168"/>
      <c r="R23" s="168" t="s">
        <v>51</v>
      </c>
      <c r="S23" s="315">
        <v>58482</v>
      </c>
      <c r="T23" s="169">
        <v>63074</v>
      </c>
      <c r="U23" s="167">
        <f t="shared" ref="U23:U32" si="69">((T23-S23)/S23)*100</f>
        <v>7.8519886460791364</v>
      </c>
      <c r="V23" s="169">
        <v>48868</v>
      </c>
      <c r="W23" s="169">
        <v>63074</v>
      </c>
      <c r="X23" s="167">
        <f t="shared" si="52"/>
        <v>29.070148154211346</v>
      </c>
      <c r="Y23" s="168"/>
      <c r="Z23" s="168" t="s">
        <v>51</v>
      </c>
      <c r="AA23" s="315">
        <v>41494</v>
      </c>
      <c r="AB23" s="169">
        <v>48868</v>
      </c>
      <c r="AC23" s="167">
        <f t="shared" ref="AC23:AC32" si="70">((AB23-AA23)/AA23)*100</f>
        <v>17.771244035282212</v>
      </c>
      <c r="AD23" s="169">
        <v>56870</v>
      </c>
      <c r="AE23" s="169">
        <v>48868</v>
      </c>
      <c r="AF23" s="167">
        <f t="shared" si="53"/>
        <v>-14.070687532969931</v>
      </c>
      <c r="AG23" s="168"/>
      <c r="AH23" s="168" t="s">
        <v>51</v>
      </c>
      <c r="AI23" s="315">
        <v>58282</v>
      </c>
      <c r="AJ23" s="169">
        <v>56870</v>
      </c>
      <c r="AK23" s="167">
        <f t="shared" ref="AK23:AK32" si="71">((AJ23-AI23)/AI23)*100</f>
        <v>-2.4227034075700904</v>
      </c>
      <c r="AL23" s="169">
        <v>55032</v>
      </c>
      <c r="AM23" s="169">
        <v>56870</v>
      </c>
      <c r="AN23" s="167">
        <f t="shared" si="54"/>
        <v>3.3398749818287539</v>
      </c>
      <c r="AO23" s="168"/>
      <c r="AP23" s="168" t="s">
        <v>51</v>
      </c>
      <c r="AQ23" s="315">
        <v>58414</v>
      </c>
      <c r="AR23" s="169">
        <v>55032</v>
      </c>
      <c r="AS23" s="167">
        <f t="shared" ref="AS23:AS32" si="72">((AR23-AQ23)/AQ23)*100</f>
        <v>-5.7897079467251</v>
      </c>
      <c r="AT23" s="169">
        <v>76845</v>
      </c>
      <c r="AU23" s="169">
        <v>55032</v>
      </c>
      <c r="AV23" s="167">
        <f t="shared" si="55"/>
        <v>-28.385711497169623</v>
      </c>
      <c r="AW23" s="168"/>
      <c r="AX23" s="168" t="s">
        <v>51</v>
      </c>
      <c r="AY23" s="315">
        <v>73269</v>
      </c>
      <c r="AZ23" s="169">
        <v>76845</v>
      </c>
      <c r="BA23" s="167">
        <f t="shared" ref="BA23:BA32" si="73">((AZ23-AY23)/AY23)*100</f>
        <v>4.8806452933710025</v>
      </c>
      <c r="BB23" s="169">
        <v>80351</v>
      </c>
      <c r="BC23" s="169">
        <v>76845</v>
      </c>
      <c r="BD23" s="167">
        <f t="shared" si="56"/>
        <v>-4.3633557765304722</v>
      </c>
      <c r="BE23" s="168"/>
      <c r="BF23" s="168" t="s">
        <v>51</v>
      </c>
      <c r="BG23" s="315">
        <v>71907</v>
      </c>
      <c r="BH23" s="169">
        <v>80351</v>
      </c>
      <c r="BI23" s="167">
        <f t="shared" ref="BI23:BI32" si="74">((BH23-BG23)/BG23)*100</f>
        <v>11.742945749370715</v>
      </c>
      <c r="BJ23" s="169">
        <v>71678</v>
      </c>
      <c r="BK23" s="169">
        <v>80351</v>
      </c>
      <c r="BL23" s="167">
        <f t="shared" si="57"/>
        <v>12.099946985127934</v>
      </c>
      <c r="BM23" s="168"/>
      <c r="BN23" s="168" t="s">
        <v>51</v>
      </c>
      <c r="BO23" s="315">
        <v>63686</v>
      </c>
      <c r="BP23" s="169">
        <v>71678</v>
      </c>
      <c r="BQ23" s="167">
        <f t="shared" ref="BQ23:BQ32" si="75">((BP23-BO23)/BO23)*100</f>
        <v>12.549068869139216</v>
      </c>
      <c r="BR23" s="169">
        <v>70733</v>
      </c>
      <c r="BS23" s="169">
        <v>71678</v>
      </c>
      <c r="BT23" s="167">
        <f t="shared" si="58"/>
        <v>1.3360100660229313</v>
      </c>
      <c r="BU23" s="167"/>
      <c r="BV23" s="168"/>
      <c r="BW23" s="168" t="s">
        <v>51</v>
      </c>
      <c r="BX23" s="169">
        <v>60211</v>
      </c>
      <c r="BY23" s="169">
        <v>70733</v>
      </c>
      <c r="BZ23" s="167">
        <f t="shared" ref="BZ23:BZ32" si="76">((BY23-BX23)/BX23)*100</f>
        <v>17.475212170533624</v>
      </c>
      <c r="CA23" s="169">
        <v>71254</v>
      </c>
      <c r="CB23" s="169">
        <v>70733</v>
      </c>
      <c r="CC23" s="167">
        <f t="shared" si="59"/>
        <v>-0.73118702107951827</v>
      </c>
      <c r="CD23" s="167"/>
      <c r="CE23" s="168"/>
      <c r="CF23" s="168" t="s">
        <v>51</v>
      </c>
      <c r="CG23" s="169">
        <v>71478</v>
      </c>
      <c r="CH23" s="169">
        <v>71254</v>
      </c>
      <c r="CI23" s="167">
        <f t="shared" ref="CI23:CI32" si="77">((CH23-CG23)/CG23)*100</f>
        <v>-0.31338313886790342</v>
      </c>
      <c r="CJ23" s="169">
        <v>70097</v>
      </c>
      <c r="CK23" s="169">
        <v>71254</v>
      </c>
      <c r="CL23" s="167">
        <f t="shared" si="60"/>
        <v>1.6505699245331469</v>
      </c>
      <c r="CO23" s="168"/>
      <c r="CP23" s="168" t="s">
        <v>51</v>
      </c>
      <c r="CQ23" s="169">
        <v>69640</v>
      </c>
      <c r="CR23" s="169">
        <v>70097</v>
      </c>
      <c r="CS23" s="167">
        <f t="shared" ref="CS23:CS32" si="78">((CR23-CQ23)/CQ23)*100</f>
        <v>0.65623205054566336</v>
      </c>
      <c r="CT23" s="169">
        <v>117500</v>
      </c>
      <c r="CU23" s="169">
        <v>70097</v>
      </c>
      <c r="CV23" s="167">
        <f t="shared" si="61"/>
        <v>-40.342978723404258</v>
      </c>
      <c r="CW23" s="73"/>
      <c r="CX23" s="219"/>
      <c r="CY23" s="219" t="s">
        <v>51</v>
      </c>
      <c r="CZ23" s="220">
        <v>104120</v>
      </c>
      <c r="DA23" s="220">
        <v>104268</v>
      </c>
      <c r="DB23" s="218">
        <f t="shared" ref="DB23:DB32" si="79">((DA23-CZ23)/CZ23)*100</f>
        <v>0.14214368036880523</v>
      </c>
      <c r="DC23" s="222">
        <v>46528</v>
      </c>
      <c r="DD23" s="220">
        <v>104268</v>
      </c>
      <c r="DE23" s="218">
        <f t="shared" ref="DE23:DE32" si="80">((DD23-DC23)/DC23)*100</f>
        <v>124.09731774415407</v>
      </c>
      <c r="DF23" s="73"/>
      <c r="DG23" s="168"/>
      <c r="DH23" s="168" t="s">
        <v>51</v>
      </c>
      <c r="DI23" s="169">
        <v>46528</v>
      </c>
      <c r="DJ23" s="169">
        <v>53619</v>
      </c>
      <c r="DK23" s="167">
        <f t="shared" ref="DK23:DK32" si="81">((DJ23-DI23)/DI23)*100</f>
        <v>15.240285419532324</v>
      </c>
      <c r="DL23" s="177">
        <v>65044</v>
      </c>
      <c r="DM23" s="169">
        <v>53619</v>
      </c>
      <c r="DN23" s="167">
        <f t="shared" ref="DN23:DN32" si="82">((DM23-DL23)/DL23)*100</f>
        <v>-17.565032900805608</v>
      </c>
      <c r="DO23" s="155"/>
      <c r="DP23" s="152"/>
      <c r="DQ23" s="152" t="s">
        <v>51</v>
      </c>
      <c r="DR23" s="148">
        <f>8077+25221+15164+4287+2582+137+82</f>
        <v>55550</v>
      </c>
      <c r="DS23" s="148">
        <v>65044</v>
      </c>
      <c r="DT23" s="151">
        <f t="shared" ref="DT23:DT32" si="83">((DS23-DR23)/DR23)*100</f>
        <v>17.09090909090909</v>
      </c>
      <c r="DU23" s="148">
        <v>43978</v>
      </c>
      <c r="DV23" s="148">
        <v>65044</v>
      </c>
      <c r="DW23" s="151">
        <f t="shared" ref="DW23:DW32" si="84">((DV23-DU23)/DU23)*100</f>
        <v>47.901223338942202</v>
      </c>
      <c r="DX23" s="73"/>
      <c r="DY23" s="89"/>
      <c r="DZ23" s="89" t="s">
        <v>51</v>
      </c>
      <c r="EA23" s="90">
        <v>36854</v>
      </c>
      <c r="EB23" s="90">
        <v>43978</v>
      </c>
      <c r="EC23" s="126">
        <f t="shared" ref="EC23:EC32" si="85">((EB23-EA23)/EA23)*100</f>
        <v>19.330330493297879</v>
      </c>
      <c r="ED23" s="90">
        <v>20316</v>
      </c>
      <c r="EE23" s="90">
        <v>43978</v>
      </c>
      <c r="EF23" s="126">
        <f t="shared" ref="EF23:EF32" si="86">((EE23-ED23)/ED23)*100</f>
        <v>116.46977751525891</v>
      </c>
      <c r="EG23" s="73"/>
      <c r="EH23" s="42"/>
      <c r="EI23" s="42" t="s">
        <v>51</v>
      </c>
      <c r="EJ23" s="43">
        <v>15949</v>
      </c>
      <c r="EK23" s="43">
        <v>20316</v>
      </c>
      <c r="EL23" s="44">
        <f t="shared" si="62"/>
        <v>27.381027023637845</v>
      </c>
      <c r="EM23" s="45">
        <v>39228</v>
      </c>
      <c r="EN23" s="43">
        <v>20316</v>
      </c>
      <c r="EO23" s="44">
        <f t="shared" si="63"/>
        <v>-48.210461914958699</v>
      </c>
      <c r="EP23" s="61"/>
      <c r="EQ23" s="89"/>
      <c r="ER23" s="89" t="s">
        <v>51</v>
      </c>
      <c r="ES23" s="90">
        <v>34636</v>
      </c>
      <c r="ET23" s="90">
        <v>39228</v>
      </c>
      <c r="EU23" s="91">
        <f t="shared" si="64"/>
        <v>13.257881972514147</v>
      </c>
      <c r="EV23" s="92">
        <v>26477</v>
      </c>
      <c r="EW23" s="90">
        <v>39228</v>
      </c>
      <c r="EX23" s="91">
        <f t="shared" si="65"/>
        <v>48.158779317898556</v>
      </c>
      <c r="EY23" s="61"/>
    </row>
    <row r="24" spans="1:155" x14ac:dyDescent="0.5">
      <c r="A24" s="168"/>
      <c r="B24" s="168" t="s">
        <v>52</v>
      </c>
      <c r="C24" s="315">
        <v>76017</v>
      </c>
      <c r="D24" s="169">
        <v>83417</v>
      </c>
      <c r="E24" s="167">
        <f t="shared" si="66"/>
        <v>9.7346646144941253</v>
      </c>
      <c r="F24" s="169">
        <v>83210</v>
      </c>
      <c r="G24" s="166">
        <f t="shared" si="67"/>
        <v>83417</v>
      </c>
      <c r="H24" s="167">
        <f t="shared" si="50"/>
        <v>0.24876817690181469</v>
      </c>
      <c r="I24" s="168"/>
      <c r="J24" s="168" t="s">
        <v>52</v>
      </c>
      <c r="K24" s="315">
        <v>80252</v>
      </c>
      <c r="L24" s="169">
        <v>83210</v>
      </c>
      <c r="M24" s="167">
        <f t="shared" si="68"/>
        <v>3.6858894482380498</v>
      </c>
      <c r="N24" s="169">
        <v>112970</v>
      </c>
      <c r="O24" s="169">
        <v>83210</v>
      </c>
      <c r="P24" s="167">
        <f t="shared" si="51"/>
        <v>-26.343276976188367</v>
      </c>
      <c r="Q24" s="168"/>
      <c r="R24" s="168" t="s">
        <v>52</v>
      </c>
      <c r="S24" s="315">
        <v>103916</v>
      </c>
      <c r="T24" s="169">
        <v>112970</v>
      </c>
      <c r="U24" s="167">
        <f t="shared" si="69"/>
        <v>8.712806497555718</v>
      </c>
      <c r="V24" s="169">
        <v>119917</v>
      </c>
      <c r="W24" s="169">
        <v>112970</v>
      </c>
      <c r="X24" s="167">
        <f t="shared" si="52"/>
        <v>-5.7931736117481254</v>
      </c>
      <c r="Y24" s="168"/>
      <c r="Z24" s="168" t="s">
        <v>52</v>
      </c>
      <c r="AA24" s="315">
        <v>110360</v>
      </c>
      <c r="AB24" s="169">
        <v>119917</v>
      </c>
      <c r="AC24" s="167">
        <f t="shared" si="70"/>
        <v>8.6598405219282348</v>
      </c>
      <c r="AD24" s="169">
        <v>102019</v>
      </c>
      <c r="AE24" s="169">
        <v>119917</v>
      </c>
      <c r="AF24" s="167">
        <f t="shared" si="53"/>
        <v>17.5437908624864</v>
      </c>
      <c r="AG24" s="168"/>
      <c r="AH24" s="168" t="s">
        <v>52</v>
      </c>
      <c r="AI24" s="315">
        <v>94123</v>
      </c>
      <c r="AJ24" s="169">
        <v>102019</v>
      </c>
      <c r="AK24" s="167">
        <f t="shared" si="71"/>
        <v>8.3890228743240236</v>
      </c>
      <c r="AL24" s="169">
        <v>88916</v>
      </c>
      <c r="AM24" s="169">
        <v>102019</v>
      </c>
      <c r="AN24" s="167">
        <f t="shared" si="54"/>
        <v>14.736380403976787</v>
      </c>
      <c r="AO24" s="168"/>
      <c r="AP24" s="168" t="s">
        <v>52</v>
      </c>
      <c r="AQ24" s="315">
        <v>89305</v>
      </c>
      <c r="AR24" s="169">
        <v>88916</v>
      </c>
      <c r="AS24" s="167">
        <f t="shared" si="72"/>
        <v>-0.43558591344269637</v>
      </c>
      <c r="AT24" s="169">
        <v>118286</v>
      </c>
      <c r="AU24" s="169">
        <v>88916</v>
      </c>
      <c r="AV24" s="167">
        <f t="shared" si="55"/>
        <v>-24.829650169927124</v>
      </c>
      <c r="AW24" s="168"/>
      <c r="AX24" s="168" t="s">
        <v>52</v>
      </c>
      <c r="AY24" s="315">
        <v>106382</v>
      </c>
      <c r="AZ24" s="169">
        <v>118286</v>
      </c>
      <c r="BA24" s="167">
        <f t="shared" si="73"/>
        <v>11.18986294673911</v>
      </c>
      <c r="BB24" s="169">
        <v>111564</v>
      </c>
      <c r="BC24" s="169">
        <v>118286</v>
      </c>
      <c r="BD24" s="167">
        <f t="shared" si="56"/>
        <v>6.0252411172062672</v>
      </c>
      <c r="BE24" s="168"/>
      <c r="BF24" s="168" t="s">
        <v>52</v>
      </c>
      <c r="BG24" s="315">
        <v>103197</v>
      </c>
      <c r="BH24" s="169">
        <v>111564</v>
      </c>
      <c r="BI24" s="167">
        <f t="shared" si="74"/>
        <v>8.1077938312160232</v>
      </c>
      <c r="BJ24" s="169">
        <v>103775</v>
      </c>
      <c r="BK24" s="169">
        <v>111564</v>
      </c>
      <c r="BL24" s="167">
        <f t="shared" si="57"/>
        <v>7.5056612864370029</v>
      </c>
      <c r="BM24" s="168"/>
      <c r="BN24" s="168" t="s">
        <v>52</v>
      </c>
      <c r="BO24" s="315">
        <v>87838</v>
      </c>
      <c r="BP24" s="169">
        <v>103775</v>
      </c>
      <c r="BQ24" s="167">
        <f t="shared" si="75"/>
        <v>18.143628042532846</v>
      </c>
      <c r="BR24" s="169">
        <v>119409</v>
      </c>
      <c r="BS24" s="169">
        <v>103775</v>
      </c>
      <c r="BT24" s="167">
        <f t="shared" si="58"/>
        <v>-13.092815449421735</v>
      </c>
      <c r="BU24" s="167"/>
      <c r="BV24" s="168"/>
      <c r="BW24" s="168" t="s">
        <v>52</v>
      </c>
      <c r="BX24" s="169">
        <v>103937</v>
      </c>
      <c r="BY24" s="169">
        <v>119409</v>
      </c>
      <c r="BZ24" s="167">
        <f t="shared" si="76"/>
        <v>14.88594052166216</v>
      </c>
      <c r="CA24" s="169">
        <v>104407</v>
      </c>
      <c r="CB24" s="169">
        <v>119409</v>
      </c>
      <c r="CC24" s="167">
        <f t="shared" si="59"/>
        <v>14.368768377599203</v>
      </c>
      <c r="CD24" s="167"/>
      <c r="CE24" s="168"/>
      <c r="CF24" s="168" t="s">
        <v>52</v>
      </c>
      <c r="CG24" s="169">
        <v>104289</v>
      </c>
      <c r="CH24" s="169">
        <v>104407</v>
      </c>
      <c r="CI24" s="167">
        <f t="shared" si="77"/>
        <v>0.11314712002224589</v>
      </c>
      <c r="CJ24" s="169">
        <v>109204</v>
      </c>
      <c r="CK24" s="169">
        <v>104407</v>
      </c>
      <c r="CL24" s="167">
        <f t="shared" si="60"/>
        <v>-4.3926962382330323</v>
      </c>
      <c r="CO24" s="168"/>
      <c r="CP24" s="168" t="s">
        <v>52</v>
      </c>
      <c r="CQ24" s="169">
        <v>101956</v>
      </c>
      <c r="CR24" s="169">
        <v>109204</v>
      </c>
      <c r="CS24" s="167">
        <f t="shared" si="78"/>
        <v>7.1089489583742003</v>
      </c>
      <c r="CT24" s="169">
        <v>133962</v>
      </c>
      <c r="CU24" s="169">
        <v>109204</v>
      </c>
      <c r="CV24" s="167">
        <f t="shared" si="61"/>
        <v>-18.481360385781041</v>
      </c>
      <c r="CW24" s="73"/>
      <c r="CX24" s="219"/>
      <c r="CY24" s="219" t="s">
        <v>52</v>
      </c>
      <c r="CZ24" s="220">
        <v>127689</v>
      </c>
      <c r="DA24" s="220">
        <v>120292</v>
      </c>
      <c r="DB24" s="218">
        <f t="shared" si="79"/>
        <v>-5.7929813844575486</v>
      </c>
      <c r="DC24" s="222">
        <v>117598</v>
      </c>
      <c r="DD24" s="220">
        <v>120292</v>
      </c>
      <c r="DE24" s="218">
        <f t="shared" si="80"/>
        <v>2.2908552866545349</v>
      </c>
      <c r="DF24" s="73"/>
      <c r="DG24" s="168"/>
      <c r="DH24" s="168" t="s">
        <v>52</v>
      </c>
      <c r="DI24" s="169">
        <v>117598</v>
      </c>
      <c r="DJ24" s="169">
        <v>133312</v>
      </c>
      <c r="DK24" s="167">
        <f t="shared" si="81"/>
        <v>13.362472150886919</v>
      </c>
      <c r="DL24" s="177">
        <v>104596</v>
      </c>
      <c r="DM24" s="169">
        <v>133312</v>
      </c>
      <c r="DN24" s="167">
        <f t="shared" si="82"/>
        <v>27.454204749703621</v>
      </c>
      <c r="DO24" s="155"/>
      <c r="DP24" s="152"/>
      <c r="DQ24" s="152" t="s">
        <v>52</v>
      </c>
      <c r="DR24" s="148">
        <f>9193+37233+46819</f>
        <v>93245</v>
      </c>
      <c r="DS24" s="148">
        <v>104596</v>
      </c>
      <c r="DT24" s="151">
        <f t="shared" si="83"/>
        <v>12.173306879725454</v>
      </c>
      <c r="DU24" s="148">
        <v>105323</v>
      </c>
      <c r="DV24" s="148">
        <v>104596</v>
      </c>
      <c r="DW24" s="151">
        <f t="shared" si="84"/>
        <v>-0.69025758856090313</v>
      </c>
      <c r="DX24" s="73"/>
      <c r="DY24" s="89"/>
      <c r="DZ24" s="89" t="s">
        <v>52</v>
      </c>
      <c r="EA24" s="90">
        <v>89205</v>
      </c>
      <c r="EB24" s="90">
        <v>105323</v>
      </c>
      <c r="EC24" s="126">
        <f t="shared" si="85"/>
        <v>18.068493918502327</v>
      </c>
      <c r="ED24" s="90">
        <v>43976</v>
      </c>
      <c r="EE24" s="90">
        <v>105323</v>
      </c>
      <c r="EF24" s="126">
        <f t="shared" si="86"/>
        <v>139.50109150445698</v>
      </c>
      <c r="EG24" s="73"/>
      <c r="EH24" s="42"/>
      <c r="EI24" s="42" t="s">
        <v>52</v>
      </c>
      <c r="EJ24" s="43">
        <v>43952</v>
      </c>
      <c r="EK24" s="43">
        <v>43976</v>
      </c>
      <c r="EL24" s="44">
        <f t="shared" si="62"/>
        <v>5.4605023662176927E-2</v>
      </c>
      <c r="EM24" s="45">
        <v>93031</v>
      </c>
      <c r="EN24" s="43">
        <v>43976</v>
      </c>
      <c r="EO24" s="44">
        <f t="shared" si="63"/>
        <v>-52.729735249540475</v>
      </c>
      <c r="EP24" s="61"/>
      <c r="EQ24" s="89"/>
      <c r="ER24" s="89" t="s">
        <v>52</v>
      </c>
      <c r="ES24" s="90">
        <v>87226</v>
      </c>
      <c r="ET24" s="90">
        <v>93031</v>
      </c>
      <c r="EU24" s="91">
        <f t="shared" si="64"/>
        <v>6.6551257652534792</v>
      </c>
      <c r="EV24" s="92">
        <v>83088</v>
      </c>
      <c r="EW24" s="90">
        <v>93031</v>
      </c>
      <c r="EX24" s="91">
        <f t="shared" si="65"/>
        <v>11.96683034854612</v>
      </c>
      <c r="EY24" s="61"/>
    </row>
    <row r="25" spans="1:155" x14ac:dyDescent="0.5">
      <c r="A25" s="168"/>
      <c r="B25" s="168" t="s">
        <v>53</v>
      </c>
      <c r="C25" s="315">
        <v>1714</v>
      </c>
      <c r="D25" s="169">
        <f>D22-D23-D24</f>
        <v>1798</v>
      </c>
      <c r="E25" s="167">
        <f t="shared" si="66"/>
        <v>4.9008168028004668</v>
      </c>
      <c r="F25" s="169">
        <v>3877</v>
      </c>
      <c r="G25" s="166">
        <f t="shared" si="67"/>
        <v>1798</v>
      </c>
      <c r="H25" s="167">
        <f t="shared" si="50"/>
        <v>-53.623936033015219</v>
      </c>
      <c r="I25" s="168"/>
      <c r="J25" s="168" t="s">
        <v>53</v>
      </c>
      <c r="K25" s="315">
        <v>3633</v>
      </c>
      <c r="L25" s="169">
        <v>3877</v>
      </c>
      <c r="M25" s="167">
        <f t="shared" si="68"/>
        <v>6.7162124965593177</v>
      </c>
      <c r="N25" s="169">
        <v>3804</v>
      </c>
      <c r="O25" s="169">
        <v>3877</v>
      </c>
      <c r="P25" s="167">
        <f t="shared" si="51"/>
        <v>1.9190325972660356</v>
      </c>
      <c r="Q25" s="168"/>
      <c r="R25" s="168" t="s">
        <v>53</v>
      </c>
      <c r="S25" s="315">
        <v>3214</v>
      </c>
      <c r="T25" s="169">
        <v>3804</v>
      </c>
      <c r="U25" s="167">
        <f t="shared" si="69"/>
        <v>18.357187305538268</v>
      </c>
      <c r="V25" s="169">
        <v>3886</v>
      </c>
      <c r="W25" s="169">
        <v>3804</v>
      </c>
      <c r="X25" s="167">
        <f t="shared" si="52"/>
        <v>-2.1101389603705609</v>
      </c>
      <c r="Y25" s="168"/>
      <c r="Z25" s="168" t="s">
        <v>53</v>
      </c>
      <c r="AA25" s="315">
        <v>3806</v>
      </c>
      <c r="AB25" s="169">
        <v>3886</v>
      </c>
      <c r="AC25" s="167">
        <f t="shared" si="70"/>
        <v>2.1019442984760905</v>
      </c>
      <c r="AD25" s="169">
        <v>3626</v>
      </c>
      <c r="AE25" s="169">
        <v>3886</v>
      </c>
      <c r="AF25" s="167">
        <f t="shared" si="53"/>
        <v>7.1704357418643134</v>
      </c>
      <c r="AG25" s="168"/>
      <c r="AH25" s="168" t="s">
        <v>53</v>
      </c>
      <c r="AI25" s="315">
        <v>2795</v>
      </c>
      <c r="AJ25" s="169">
        <v>3626</v>
      </c>
      <c r="AK25" s="167">
        <f t="shared" si="71"/>
        <v>29.731663685152061</v>
      </c>
      <c r="AL25" s="169">
        <v>2864</v>
      </c>
      <c r="AM25" s="169">
        <v>3626</v>
      </c>
      <c r="AN25" s="167">
        <f t="shared" si="54"/>
        <v>26.606145251396647</v>
      </c>
      <c r="AO25" s="168"/>
      <c r="AP25" s="168" t="s">
        <v>53</v>
      </c>
      <c r="AQ25" s="315">
        <v>2885</v>
      </c>
      <c r="AR25" s="169">
        <v>2864</v>
      </c>
      <c r="AS25" s="167">
        <f t="shared" si="72"/>
        <v>-0.72790294627383023</v>
      </c>
      <c r="AT25" s="169">
        <v>3690</v>
      </c>
      <c r="AU25" s="169">
        <v>2864</v>
      </c>
      <c r="AV25" s="167">
        <f t="shared" si="55"/>
        <v>-22.384823848238483</v>
      </c>
      <c r="AW25" s="168"/>
      <c r="AX25" s="168" t="s">
        <v>53</v>
      </c>
      <c r="AY25" s="315">
        <v>3420</v>
      </c>
      <c r="AZ25" s="169">
        <v>3690</v>
      </c>
      <c r="BA25" s="167">
        <f t="shared" si="73"/>
        <v>7.8947368421052628</v>
      </c>
      <c r="BB25" s="169">
        <v>3342</v>
      </c>
      <c r="BC25" s="169">
        <v>3690</v>
      </c>
      <c r="BD25" s="167">
        <f t="shared" si="56"/>
        <v>10.412926391382406</v>
      </c>
      <c r="BE25" s="168"/>
      <c r="BF25" s="168" t="s">
        <v>53</v>
      </c>
      <c r="BG25" s="315">
        <v>3133</v>
      </c>
      <c r="BH25" s="169">
        <v>3342</v>
      </c>
      <c r="BI25" s="167">
        <f t="shared" si="74"/>
        <v>6.6709224385572936</v>
      </c>
      <c r="BJ25" s="169">
        <v>3345</v>
      </c>
      <c r="BK25" s="169">
        <v>3342</v>
      </c>
      <c r="BL25" s="167">
        <f t="shared" si="57"/>
        <v>-8.9686098654708515E-2</v>
      </c>
      <c r="BM25" s="168"/>
      <c r="BN25" s="168" t="s">
        <v>53</v>
      </c>
      <c r="BO25" s="315">
        <v>2972</v>
      </c>
      <c r="BP25" s="169">
        <v>3345</v>
      </c>
      <c r="BQ25" s="167">
        <f t="shared" si="75"/>
        <v>12.550471063257065</v>
      </c>
      <c r="BR25" s="169">
        <v>2669</v>
      </c>
      <c r="BS25" s="169">
        <v>3345</v>
      </c>
      <c r="BT25" s="167">
        <f t="shared" si="58"/>
        <v>25.327838141626074</v>
      </c>
      <c r="BU25" s="167"/>
      <c r="BV25" s="168"/>
      <c r="BW25" s="168" t="s">
        <v>53</v>
      </c>
      <c r="BX25" s="169">
        <v>2264</v>
      </c>
      <c r="BY25" s="169">
        <v>2669</v>
      </c>
      <c r="BZ25" s="167">
        <f t="shared" si="76"/>
        <v>17.8886925795053</v>
      </c>
      <c r="CA25" s="169">
        <v>2556</v>
      </c>
      <c r="CB25" s="169">
        <v>2669</v>
      </c>
      <c r="CC25" s="167">
        <f t="shared" si="59"/>
        <v>4.4209702660406887</v>
      </c>
      <c r="CD25" s="167"/>
      <c r="CE25" s="168"/>
      <c r="CF25" s="168" t="s">
        <v>53</v>
      </c>
      <c r="CG25" s="169">
        <v>2584</v>
      </c>
      <c r="CH25" s="169">
        <v>2556</v>
      </c>
      <c r="CI25" s="167">
        <f t="shared" si="77"/>
        <v>-1.0835913312693499</v>
      </c>
      <c r="CJ25" s="169">
        <v>2033</v>
      </c>
      <c r="CK25" s="169">
        <v>2556</v>
      </c>
      <c r="CL25" s="167">
        <f t="shared" si="60"/>
        <v>25.72552877520905</v>
      </c>
      <c r="CO25" s="168"/>
      <c r="CP25" s="168" t="s">
        <v>53</v>
      </c>
      <c r="CQ25" s="169">
        <v>1910</v>
      </c>
      <c r="CR25" s="169">
        <v>2033</v>
      </c>
      <c r="CS25" s="167">
        <f t="shared" si="78"/>
        <v>6.4397905759162306</v>
      </c>
      <c r="CT25" s="169">
        <v>4816</v>
      </c>
      <c r="CU25" s="169">
        <v>2033</v>
      </c>
      <c r="CV25" s="167">
        <f t="shared" si="61"/>
        <v>-57.786544850498331</v>
      </c>
      <c r="CW25" s="73"/>
      <c r="CX25" s="219"/>
      <c r="CY25" s="219" t="s">
        <v>53</v>
      </c>
      <c r="CZ25" s="220">
        <v>4216</v>
      </c>
      <c r="DA25" s="220">
        <v>4644</v>
      </c>
      <c r="DB25" s="218">
        <f t="shared" si="79"/>
        <v>10.15180265654649</v>
      </c>
      <c r="DC25" s="222">
        <v>3970</v>
      </c>
      <c r="DD25" s="220">
        <v>4644</v>
      </c>
      <c r="DE25" s="218">
        <f t="shared" si="80"/>
        <v>16.977329974811084</v>
      </c>
      <c r="DF25" s="73"/>
      <c r="DG25" s="168"/>
      <c r="DH25" s="168" t="s">
        <v>53</v>
      </c>
      <c r="DI25" s="169">
        <v>4095</v>
      </c>
      <c r="DJ25" s="169">
        <v>4004</v>
      </c>
      <c r="DK25" s="167">
        <f t="shared" si="81"/>
        <v>-2.2222222222222223</v>
      </c>
      <c r="DL25" s="177">
        <v>2364</v>
      </c>
      <c r="DM25" s="169">
        <v>4004</v>
      </c>
      <c r="DN25" s="167">
        <f t="shared" si="82"/>
        <v>69.373942470389167</v>
      </c>
      <c r="DO25" s="155"/>
      <c r="DP25" s="152"/>
      <c r="DQ25" s="152" t="s">
        <v>53</v>
      </c>
      <c r="DR25" s="148">
        <f>41+701+485+721</f>
        <v>1948</v>
      </c>
      <c r="DS25" s="148">
        <v>2364</v>
      </c>
      <c r="DT25" s="151">
        <f t="shared" si="83"/>
        <v>21.355236139630389</v>
      </c>
      <c r="DU25" s="148">
        <v>1842</v>
      </c>
      <c r="DV25" s="148">
        <v>2364</v>
      </c>
      <c r="DW25" s="151">
        <f t="shared" si="84"/>
        <v>28.338762214983714</v>
      </c>
      <c r="DX25" s="73"/>
      <c r="DY25" s="89"/>
      <c r="DZ25" s="89" t="s">
        <v>53</v>
      </c>
      <c r="EA25" s="90">
        <v>1790</v>
      </c>
      <c r="EB25" s="90">
        <v>1945</v>
      </c>
      <c r="EC25" s="126">
        <f t="shared" si="85"/>
        <v>8.6592178770949726</v>
      </c>
      <c r="ED25" s="90">
        <v>1157</v>
      </c>
      <c r="EE25" s="90">
        <v>1945</v>
      </c>
      <c r="EF25" s="126">
        <f t="shared" si="86"/>
        <v>68.107173725151256</v>
      </c>
      <c r="EG25" s="73"/>
      <c r="EH25" s="42"/>
      <c r="EI25" s="42" t="s">
        <v>53</v>
      </c>
      <c r="EJ25" s="43">
        <v>1166</v>
      </c>
      <c r="EK25" s="43">
        <v>1157</v>
      </c>
      <c r="EL25" s="44">
        <f t="shared" si="62"/>
        <v>-0.77186963979416812</v>
      </c>
      <c r="EM25" s="45">
        <v>1684</v>
      </c>
      <c r="EN25" s="43">
        <v>1157</v>
      </c>
      <c r="EO25" s="44">
        <f t="shared" si="63"/>
        <v>-31.294536817102138</v>
      </c>
      <c r="EP25" s="61"/>
      <c r="EQ25" s="89"/>
      <c r="ER25" s="89" t="s">
        <v>53</v>
      </c>
      <c r="ES25" s="90">
        <v>1689</v>
      </c>
      <c r="ET25" s="90">
        <v>1684</v>
      </c>
      <c r="EU25" s="91">
        <f t="shared" si="64"/>
        <v>-0.29603315571343991</v>
      </c>
      <c r="EV25" s="92">
        <v>2186</v>
      </c>
      <c r="EW25" s="90">
        <v>1684</v>
      </c>
      <c r="EX25" s="91">
        <f t="shared" si="65"/>
        <v>-22.964318389752975</v>
      </c>
      <c r="EY25" s="61"/>
    </row>
    <row r="26" spans="1:155" x14ac:dyDescent="0.5">
      <c r="A26" s="165" t="s">
        <v>1</v>
      </c>
      <c r="B26" s="165"/>
      <c r="C26" s="292">
        <v>49313</v>
      </c>
      <c r="D26" s="166">
        <v>55798</v>
      </c>
      <c r="E26" s="167">
        <f t="shared" si="66"/>
        <v>13.150690487295439</v>
      </c>
      <c r="F26" s="166">
        <v>56099</v>
      </c>
      <c r="G26" s="166">
        <f t="shared" si="67"/>
        <v>55798</v>
      </c>
      <c r="H26" s="167">
        <f t="shared" si="50"/>
        <v>-0.53655145368010126</v>
      </c>
      <c r="I26" s="165" t="s">
        <v>1</v>
      </c>
      <c r="J26" s="165"/>
      <c r="K26" s="292">
        <v>52843</v>
      </c>
      <c r="L26" s="166">
        <v>56099</v>
      </c>
      <c r="M26" s="167">
        <f t="shared" si="68"/>
        <v>6.1616486573434512</v>
      </c>
      <c r="N26" s="166">
        <v>79943</v>
      </c>
      <c r="O26" s="166">
        <v>56099</v>
      </c>
      <c r="P26" s="167">
        <f t="shared" si="51"/>
        <v>-29.826251203982839</v>
      </c>
      <c r="Q26" s="165" t="s">
        <v>1</v>
      </c>
      <c r="R26" s="165"/>
      <c r="S26" s="292">
        <v>71551</v>
      </c>
      <c r="T26" s="166">
        <v>79943</v>
      </c>
      <c r="U26" s="167">
        <f t="shared" si="69"/>
        <v>11.728697013319172</v>
      </c>
      <c r="V26" s="354">
        <v>87245</v>
      </c>
      <c r="W26" s="166">
        <v>79943</v>
      </c>
      <c r="X26" s="167">
        <f t="shared" si="52"/>
        <v>-8.3695340707203858</v>
      </c>
      <c r="Y26" s="165" t="s">
        <v>1</v>
      </c>
      <c r="Z26" s="165"/>
      <c r="AA26" s="292">
        <v>74489</v>
      </c>
      <c r="AB26" s="166">
        <v>87245</v>
      </c>
      <c r="AC26" s="167">
        <f t="shared" si="70"/>
        <v>17.124676126676423</v>
      </c>
      <c r="AD26" s="354">
        <v>79969</v>
      </c>
      <c r="AE26" s="166">
        <v>87245</v>
      </c>
      <c r="AF26" s="167">
        <f t="shared" si="53"/>
        <v>9.0985256787004953</v>
      </c>
      <c r="AG26" s="165" t="s">
        <v>1</v>
      </c>
      <c r="AH26" s="165"/>
      <c r="AI26" s="292">
        <v>58960</v>
      </c>
      <c r="AJ26" s="166">
        <v>74295</v>
      </c>
      <c r="AK26" s="167">
        <f t="shared" si="71"/>
        <v>26.009158751696067</v>
      </c>
      <c r="AL26" s="354">
        <f>60105-963</f>
        <v>59142</v>
      </c>
      <c r="AM26" s="166">
        <v>74295</v>
      </c>
      <c r="AN26" s="167">
        <f t="shared" si="54"/>
        <v>25.621385817185754</v>
      </c>
      <c r="AO26" s="165" t="s">
        <v>1</v>
      </c>
      <c r="AP26" s="165"/>
      <c r="AQ26" s="292">
        <v>68271</v>
      </c>
      <c r="AR26" s="166">
        <v>60105</v>
      </c>
      <c r="AS26" s="167">
        <f t="shared" si="72"/>
        <v>-11.961154809509161</v>
      </c>
      <c r="AT26" s="166">
        <v>103164</v>
      </c>
      <c r="AU26" s="166">
        <v>60105</v>
      </c>
      <c r="AV26" s="167">
        <f t="shared" si="55"/>
        <v>-41.738397115272768</v>
      </c>
      <c r="AW26" s="165" t="s">
        <v>1</v>
      </c>
      <c r="AX26" s="165"/>
      <c r="AY26" s="292">
        <v>82324</v>
      </c>
      <c r="AZ26" s="166">
        <v>103164</v>
      </c>
      <c r="BA26" s="167">
        <f t="shared" si="73"/>
        <v>25.314610563140761</v>
      </c>
      <c r="BB26" s="166">
        <v>95082</v>
      </c>
      <c r="BC26" s="166">
        <v>103164</v>
      </c>
      <c r="BD26" s="167">
        <f t="shared" si="56"/>
        <v>8.5000315517132581</v>
      </c>
      <c r="BE26" s="165" t="s">
        <v>1</v>
      </c>
      <c r="BF26" s="165"/>
      <c r="BG26" s="292">
        <v>75466</v>
      </c>
      <c r="BH26" s="166">
        <v>95082</v>
      </c>
      <c r="BI26" s="167">
        <f t="shared" si="74"/>
        <v>25.993162483767524</v>
      </c>
      <c r="BJ26" s="166">
        <v>84801</v>
      </c>
      <c r="BK26" s="166">
        <v>95082</v>
      </c>
      <c r="BL26" s="167">
        <f t="shared" si="57"/>
        <v>12.123677786818551</v>
      </c>
      <c r="BM26" s="165" t="s">
        <v>1</v>
      </c>
      <c r="BN26" s="165"/>
      <c r="BO26" s="292">
        <v>68435</v>
      </c>
      <c r="BP26" s="166">
        <v>84801</v>
      </c>
      <c r="BQ26" s="167">
        <f t="shared" si="75"/>
        <v>23.914663549353403</v>
      </c>
      <c r="BR26" s="166">
        <f>BR27+BR28+BR29+BR30</f>
        <v>72646</v>
      </c>
      <c r="BS26" s="166">
        <v>84801</v>
      </c>
      <c r="BT26" s="167">
        <f t="shared" si="58"/>
        <v>16.731822811992402</v>
      </c>
      <c r="BU26" s="167"/>
      <c r="BV26" s="165" t="s">
        <v>1</v>
      </c>
      <c r="BW26" s="165"/>
      <c r="BX26" s="166">
        <v>57093</v>
      </c>
      <c r="BY26" s="166">
        <f>CB26</f>
        <v>72646</v>
      </c>
      <c r="BZ26" s="167">
        <f t="shared" si="76"/>
        <v>27.241518224651006</v>
      </c>
      <c r="CA26" s="166">
        <v>74117</v>
      </c>
      <c r="CB26" s="166">
        <f>CB27+CB28+CB29+CB30</f>
        <v>72646</v>
      </c>
      <c r="CC26" s="167">
        <f t="shared" si="59"/>
        <v>-1.9846998664274054</v>
      </c>
      <c r="CD26" s="167"/>
      <c r="CE26" s="165" t="s">
        <v>1</v>
      </c>
      <c r="CF26" s="165"/>
      <c r="CG26" s="166">
        <v>63949</v>
      </c>
      <c r="CH26" s="166">
        <v>74117</v>
      </c>
      <c r="CI26" s="167">
        <f t="shared" si="77"/>
        <v>15.900170448326008</v>
      </c>
      <c r="CJ26" s="166">
        <v>83983</v>
      </c>
      <c r="CK26" s="166">
        <v>74117</v>
      </c>
      <c r="CL26" s="167">
        <f t="shared" si="60"/>
        <v>-11.747615588869175</v>
      </c>
      <c r="CO26" s="165" t="s">
        <v>1</v>
      </c>
      <c r="CP26" s="165"/>
      <c r="CQ26" s="166">
        <v>71680</v>
      </c>
      <c r="CR26" s="166">
        <v>83983</v>
      </c>
      <c r="CS26" s="167">
        <f t="shared" si="78"/>
        <v>17.163783482142858</v>
      </c>
      <c r="CT26" s="166">
        <f>SUM(CT27:CT30)</f>
        <v>157527</v>
      </c>
      <c r="CU26" s="166">
        <v>83983</v>
      </c>
      <c r="CV26" s="167">
        <f t="shared" si="61"/>
        <v>-46.686599757501888</v>
      </c>
      <c r="CW26" s="73"/>
      <c r="CX26" s="216" t="s">
        <v>1</v>
      </c>
      <c r="CY26" s="216"/>
      <c r="CZ26" s="217">
        <f>SUM(CZ27:CZ30)</f>
        <v>124649</v>
      </c>
      <c r="DA26" s="217">
        <f>SUM(DA27:DA30)</f>
        <v>128392</v>
      </c>
      <c r="DB26" s="218">
        <f t="shared" si="79"/>
        <v>3.0028319521215572</v>
      </c>
      <c r="DC26" s="217">
        <f>SUM(DC27:DC30)</f>
        <v>90461</v>
      </c>
      <c r="DD26" s="217">
        <f>SUM(DD27:DD30)</f>
        <v>128392</v>
      </c>
      <c r="DE26" s="218">
        <f t="shared" si="80"/>
        <v>41.930776798841492</v>
      </c>
      <c r="DF26" s="73"/>
      <c r="DG26" s="165" t="s">
        <v>1</v>
      </c>
      <c r="DH26" s="165"/>
      <c r="DI26" s="166">
        <f>SUM(DI27:DI30)</f>
        <v>90461</v>
      </c>
      <c r="DJ26" s="166">
        <f>SUM(DJ27:DJ30)</f>
        <v>110928</v>
      </c>
      <c r="DK26" s="167">
        <f t="shared" si="81"/>
        <v>22.625219707940438</v>
      </c>
      <c r="DL26" s="166">
        <f>SUM(DL27:DL30)</f>
        <v>93008</v>
      </c>
      <c r="DM26" s="166">
        <f>SUM(DM27:DM30)</f>
        <v>110928</v>
      </c>
      <c r="DN26" s="167">
        <f t="shared" si="82"/>
        <v>19.267159814209531</v>
      </c>
      <c r="DO26" s="155"/>
      <c r="DP26" s="150" t="s">
        <v>1</v>
      </c>
      <c r="DQ26" s="150"/>
      <c r="DR26" s="147">
        <f>SUM(DR27:DR30)</f>
        <v>77213</v>
      </c>
      <c r="DS26" s="147">
        <f>SUM(DS27:DS30)</f>
        <v>93008</v>
      </c>
      <c r="DT26" s="151">
        <f t="shared" si="83"/>
        <v>20.456399829044333</v>
      </c>
      <c r="DU26" s="147">
        <v>63067</v>
      </c>
      <c r="DV26" s="147">
        <f>SUM(DV27:DV30)</f>
        <v>93008</v>
      </c>
      <c r="DW26" s="151">
        <f t="shared" si="84"/>
        <v>47.474907637908892</v>
      </c>
      <c r="DX26" s="73"/>
      <c r="DY26" s="86" t="s">
        <v>1</v>
      </c>
      <c r="DZ26" s="86"/>
      <c r="EA26" s="87">
        <v>54175</v>
      </c>
      <c r="EB26" s="87">
        <f>SUM(EB27:EB30)</f>
        <v>63067</v>
      </c>
      <c r="EC26" s="126">
        <f t="shared" si="85"/>
        <v>16.413474850023075</v>
      </c>
      <c r="ED26" s="87">
        <v>41328</v>
      </c>
      <c r="EE26" s="87">
        <v>63067</v>
      </c>
      <c r="EF26" s="126">
        <f t="shared" si="86"/>
        <v>52.601142082849393</v>
      </c>
      <c r="EG26" s="73"/>
      <c r="EH26" s="63" t="s">
        <v>1</v>
      </c>
      <c r="EI26" s="63"/>
      <c r="EJ26" s="68">
        <f>SUM(EJ27:EJ30)</f>
        <v>34361</v>
      </c>
      <c r="EK26" s="68">
        <f>SUM(EK27:EK30)</f>
        <v>41328</v>
      </c>
      <c r="EL26" s="65">
        <f t="shared" si="62"/>
        <v>20.275894182357906</v>
      </c>
      <c r="EM26" s="68">
        <f>SUM(EM27:EM30)</f>
        <v>66107</v>
      </c>
      <c r="EN26" s="68">
        <f>SUM(EN27:EN30)</f>
        <v>41328</v>
      </c>
      <c r="EO26" s="65">
        <f t="shared" si="63"/>
        <v>-37.483171222412146</v>
      </c>
      <c r="EP26" s="73"/>
      <c r="EQ26" s="86" t="s">
        <v>1</v>
      </c>
      <c r="ER26" s="86"/>
      <c r="ES26" s="87">
        <f>SUM(ES27:ES30)</f>
        <v>49248</v>
      </c>
      <c r="ET26" s="87">
        <f>SUM(ET27:ET30)</f>
        <v>66088</v>
      </c>
      <c r="EU26" s="88">
        <f t="shared" si="64"/>
        <v>34.194282001299548</v>
      </c>
      <c r="EV26" s="87">
        <f>SUM(EV27:EV30)</f>
        <v>56021</v>
      </c>
      <c r="EW26" s="87">
        <f>SUM(EW27:EW30)</f>
        <v>66088</v>
      </c>
      <c r="EX26" s="88">
        <f t="shared" si="65"/>
        <v>17.970046946680711</v>
      </c>
      <c r="EY26" s="73"/>
    </row>
    <row r="27" spans="1:155" x14ac:dyDescent="0.5">
      <c r="A27" s="168"/>
      <c r="B27" s="168" t="s">
        <v>51</v>
      </c>
      <c r="C27" s="315">
        <v>18937</v>
      </c>
      <c r="D27" s="169">
        <f>D26-(D28+D29+D30)</f>
        <v>28124</v>
      </c>
      <c r="E27" s="167">
        <f t="shared" si="66"/>
        <v>48.513492105402122</v>
      </c>
      <c r="F27" s="169">
        <v>22342</v>
      </c>
      <c r="G27" s="166">
        <f t="shared" si="67"/>
        <v>28124</v>
      </c>
      <c r="H27" s="167">
        <f t="shared" si="50"/>
        <v>25.879509444096321</v>
      </c>
      <c r="I27" s="168"/>
      <c r="J27" s="168" t="s">
        <v>51</v>
      </c>
      <c r="K27" s="315">
        <v>19861</v>
      </c>
      <c r="L27" s="169">
        <v>22342</v>
      </c>
      <c r="M27" s="167">
        <f t="shared" si="68"/>
        <v>12.491818136045516</v>
      </c>
      <c r="N27" s="169">
        <v>29713</v>
      </c>
      <c r="O27" s="169">
        <v>22342</v>
      </c>
      <c r="P27" s="167">
        <f t="shared" si="51"/>
        <v>-24.807323393800694</v>
      </c>
      <c r="Q27" s="168"/>
      <c r="R27" s="168" t="s">
        <v>51</v>
      </c>
      <c r="S27" s="315">
        <v>24867</v>
      </c>
      <c r="T27" s="169">
        <v>29713</v>
      </c>
      <c r="U27" s="167">
        <f t="shared" si="69"/>
        <v>19.48767442795673</v>
      </c>
      <c r="V27" s="169">
        <v>29771</v>
      </c>
      <c r="W27" s="169">
        <v>29713</v>
      </c>
      <c r="X27" s="167">
        <f t="shared" si="52"/>
        <v>-0.19482046286654797</v>
      </c>
      <c r="Y27" s="168"/>
      <c r="Z27" s="168" t="s">
        <v>51</v>
      </c>
      <c r="AA27" s="315">
        <v>22590</v>
      </c>
      <c r="AB27" s="169">
        <v>29771</v>
      </c>
      <c r="AC27" s="167">
        <f t="shared" si="70"/>
        <v>31.788401947764498</v>
      </c>
      <c r="AD27" s="169">
        <v>30183</v>
      </c>
      <c r="AE27" s="169">
        <v>29771</v>
      </c>
      <c r="AF27" s="167">
        <f t="shared" si="53"/>
        <v>-1.3650067919027267</v>
      </c>
      <c r="AG27" s="168"/>
      <c r="AH27" s="168" t="s">
        <v>51</v>
      </c>
      <c r="AI27" s="315">
        <v>18969</v>
      </c>
      <c r="AJ27" s="169">
        <v>24509</v>
      </c>
      <c r="AK27" s="167">
        <f t="shared" si="71"/>
        <v>29.205545890663714</v>
      </c>
      <c r="AL27" s="169">
        <v>20698</v>
      </c>
      <c r="AM27" s="169">
        <v>24509</v>
      </c>
      <c r="AN27" s="167">
        <f t="shared" si="54"/>
        <v>18.412406995845011</v>
      </c>
      <c r="AO27" s="168"/>
      <c r="AP27" s="168" t="s">
        <v>51</v>
      </c>
      <c r="AQ27" s="315">
        <v>27356</v>
      </c>
      <c r="AR27" s="169">
        <v>20698</v>
      </c>
      <c r="AS27" s="167">
        <f t="shared" si="72"/>
        <v>-24.338353560462057</v>
      </c>
      <c r="AT27" s="169">
        <v>40061</v>
      </c>
      <c r="AU27" s="169">
        <v>20698</v>
      </c>
      <c r="AV27" s="167">
        <f t="shared" si="55"/>
        <v>-48.333790968772625</v>
      </c>
      <c r="AW27" s="168"/>
      <c r="AX27" s="168" t="s">
        <v>51</v>
      </c>
      <c r="AY27" s="315">
        <v>32338</v>
      </c>
      <c r="AZ27" s="169">
        <v>40061</v>
      </c>
      <c r="BA27" s="167">
        <f t="shared" si="73"/>
        <v>23.882120106376401</v>
      </c>
      <c r="BB27" s="169">
        <v>34765</v>
      </c>
      <c r="BC27" s="169">
        <v>40061</v>
      </c>
      <c r="BD27" s="167">
        <f t="shared" si="56"/>
        <v>15.233712066733784</v>
      </c>
      <c r="BE27" s="168"/>
      <c r="BF27" s="168" t="s">
        <v>51</v>
      </c>
      <c r="BG27" s="315">
        <v>29617</v>
      </c>
      <c r="BH27" s="169">
        <v>34765</v>
      </c>
      <c r="BI27" s="167">
        <f t="shared" si="74"/>
        <v>17.381909038727759</v>
      </c>
      <c r="BJ27" s="169">
        <v>33482</v>
      </c>
      <c r="BK27" s="169">
        <v>34765</v>
      </c>
      <c r="BL27" s="167">
        <f t="shared" si="57"/>
        <v>3.8319096828146466</v>
      </c>
      <c r="BM27" s="168"/>
      <c r="BN27" s="168" t="s">
        <v>51</v>
      </c>
      <c r="BO27" s="315">
        <v>26702</v>
      </c>
      <c r="BP27" s="169">
        <v>33482</v>
      </c>
      <c r="BQ27" s="167">
        <f t="shared" si="75"/>
        <v>25.391356452700169</v>
      </c>
      <c r="BR27" s="169">
        <v>23763</v>
      </c>
      <c r="BS27" s="169">
        <v>33482</v>
      </c>
      <c r="BT27" s="167">
        <f t="shared" si="58"/>
        <v>40.899718049067879</v>
      </c>
      <c r="BU27" s="167"/>
      <c r="BV27" s="168"/>
      <c r="BW27" s="168" t="s">
        <v>51</v>
      </c>
      <c r="BX27" s="169">
        <v>17826</v>
      </c>
      <c r="BY27" s="169">
        <f>CB27</f>
        <v>23763</v>
      </c>
      <c r="BZ27" s="167">
        <f t="shared" si="76"/>
        <v>33.305284416021543</v>
      </c>
      <c r="CA27" s="169">
        <v>30140</v>
      </c>
      <c r="CB27" s="169">
        <v>23763</v>
      </c>
      <c r="CC27" s="167">
        <f t="shared" si="59"/>
        <v>-21.157929661579296</v>
      </c>
      <c r="CD27" s="167"/>
      <c r="CE27" s="168"/>
      <c r="CF27" s="168" t="s">
        <v>51</v>
      </c>
      <c r="CG27" s="169">
        <v>25425</v>
      </c>
      <c r="CH27" s="169">
        <v>30140</v>
      </c>
      <c r="CI27" s="167">
        <f t="shared" si="77"/>
        <v>18.544739429695181</v>
      </c>
      <c r="CJ27" s="169">
        <v>34814</v>
      </c>
      <c r="CK27" s="169">
        <v>30140</v>
      </c>
      <c r="CL27" s="167">
        <f t="shared" si="60"/>
        <v>-13.425633365887288</v>
      </c>
      <c r="CO27" s="168"/>
      <c r="CP27" s="168" t="s">
        <v>51</v>
      </c>
      <c r="CQ27" s="169">
        <v>29066</v>
      </c>
      <c r="CR27" s="169"/>
      <c r="CS27" s="167">
        <f t="shared" si="78"/>
        <v>-100</v>
      </c>
      <c r="CT27" s="169">
        <v>78816</v>
      </c>
      <c r="CU27" s="169"/>
      <c r="CV27" s="167">
        <f t="shared" si="61"/>
        <v>-100</v>
      </c>
      <c r="CW27" s="73"/>
      <c r="CX27" s="219"/>
      <c r="CY27" s="219" t="s">
        <v>51</v>
      </c>
      <c r="CZ27" s="220">
        <v>58853</v>
      </c>
      <c r="DA27" s="220">
        <v>62103</v>
      </c>
      <c r="DB27" s="218">
        <f t="shared" si="79"/>
        <v>5.5222333610860961</v>
      </c>
      <c r="DC27" s="222">
        <v>32170</v>
      </c>
      <c r="DD27" s="220">
        <v>62103</v>
      </c>
      <c r="DE27" s="218">
        <f t="shared" si="80"/>
        <v>93.046316443891826</v>
      </c>
      <c r="DF27" s="73"/>
      <c r="DG27" s="168"/>
      <c r="DH27" s="168" t="s">
        <v>51</v>
      </c>
      <c r="DI27" s="169">
        <v>32170</v>
      </c>
      <c r="DJ27" s="169">
        <v>40760</v>
      </c>
      <c r="DK27" s="167">
        <f t="shared" si="81"/>
        <v>26.701896176562013</v>
      </c>
      <c r="DL27" s="177">
        <v>41692</v>
      </c>
      <c r="DM27" s="169">
        <v>40760</v>
      </c>
      <c r="DN27" s="167">
        <f t="shared" si="82"/>
        <v>-2.2354408519620073</v>
      </c>
      <c r="DO27" s="155"/>
      <c r="DP27" s="152"/>
      <c r="DQ27" s="152" t="s">
        <v>51</v>
      </c>
      <c r="DR27" s="148">
        <f>29267+2868+905+466</f>
        <v>33506</v>
      </c>
      <c r="DS27" s="148">
        <v>41692</v>
      </c>
      <c r="DT27" s="151">
        <f t="shared" si="83"/>
        <v>24.431445114307884</v>
      </c>
      <c r="DU27" s="148">
        <v>23122</v>
      </c>
      <c r="DV27" s="148">
        <v>41692</v>
      </c>
      <c r="DW27" s="151">
        <f t="shared" si="84"/>
        <v>80.313121702274898</v>
      </c>
      <c r="DX27" s="73"/>
      <c r="DY27" s="89"/>
      <c r="DZ27" s="89" t="s">
        <v>51</v>
      </c>
      <c r="EA27" s="90">
        <v>22404</v>
      </c>
      <c r="EB27" s="90">
        <v>23122</v>
      </c>
      <c r="EC27" s="126">
        <f t="shared" si="85"/>
        <v>3.2047848598464559</v>
      </c>
      <c r="ED27" s="90">
        <v>16194</v>
      </c>
      <c r="EE27" s="90">
        <v>23122</v>
      </c>
      <c r="EF27" s="126">
        <f t="shared" si="86"/>
        <v>42.781277016178834</v>
      </c>
      <c r="EG27" s="73"/>
      <c r="EH27" s="42"/>
      <c r="EI27" s="42" t="s">
        <v>51</v>
      </c>
      <c r="EJ27" s="43">
        <v>14248</v>
      </c>
      <c r="EK27" s="43">
        <v>16194</v>
      </c>
      <c r="EL27" s="44">
        <f t="shared" si="62"/>
        <v>13.658057271195959</v>
      </c>
      <c r="EM27" s="45">
        <v>20854</v>
      </c>
      <c r="EN27" s="43">
        <v>16194</v>
      </c>
      <c r="EO27" s="44">
        <f t="shared" si="63"/>
        <v>-22.345832933729739</v>
      </c>
      <c r="EP27" s="61"/>
      <c r="EQ27" s="89"/>
      <c r="ER27" s="89" t="s">
        <v>51</v>
      </c>
      <c r="ES27" s="90">
        <v>16800</v>
      </c>
      <c r="ET27" s="90">
        <v>20854</v>
      </c>
      <c r="EU27" s="91">
        <f t="shared" si="64"/>
        <v>24.13095238095238</v>
      </c>
      <c r="EV27" s="92">
        <v>14985</v>
      </c>
      <c r="EW27" s="90">
        <v>20854</v>
      </c>
      <c r="EX27" s="91">
        <f t="shared" si="65"/>
        <v>39.16583249916583</v>
      </c>
      <c r="EY27" s="61"/>
    </row>
    <row r="28" spans="1:155" x14ac:dyDescent="0.5">
      <c r="A28" s="168"/>
      <c r="B28" s="168" t="s">
        <v>52</v>
      </c>
      <c r="C28" s="315">
        <v>13219</v>
      </c>
      <c r="D28" s="169">
        <v>7923</v>
      </c>
      <c r="E28" s="167">
        <f t="shared" si="66"/>
        <v>-40.06354489749603</v>
      </c>
      <c r="F28" s="169">
        <v>16212</v>
      </c>
      <c r="G28" s="166">
        <f t="shared" si="67"/>
        <v>7923</v>
      </c>
      <c r="H28" s="167">
        <f t="shared" si="50"/>
        <v>-51.128793486306435</v>
      </c>
      <c r="I28" s="168"/>
      <c r="J28" s="168" t="s">
        <v>52</v>
      </c>
      <c r="K28" s="315">
        <v>15535</v>
      </c>
      <c r="L28" s="169">
        <v>16212</v>
      </c>
      <c r="M28" s="167">
        <f t="shared" si="68"/>
        <v>4.3579015127132283</v>
      </c>
      <c r="N28" s="169">
        <v>29622</v>
      </c>
      <c r="O28" s="169">
        <v>16212</v>
      </c>
      <c r="P28" s="167">
        <f t="shared" si="51"/>
        <v>-45.270407129835931</v>
      </c>
      <c r="Q28" s="168"/>
      <c r="R28" s="168" t="s">
        <v>52</v>
      </c>
      <c r="S28" s="315">
        <v>27328</v>
      </c>
      <c r="T28" s="169">
        <v>29622</v>
      </c>
      <c r="U28" s="167">
        <f t="shared" si="69"/>
        <v>8.3943208430913359</v>
      </c>
      <c r="V28" s="169">
        <v>40593</v>
      </c>
      <c r="W28" s="169">
        <v>29622</v>
      </c>
      <c r="X28" s="167">
        <f t="shared" si="52"/>
        <v>-27.026827285492573</v>
      </c>
      <c r="Y28" s="168"/>
      <c r="Z28" s="168" t="s">
        <v>52</v>
      </c>
      <c r="AA28" s="315">
        <v>35722</v>
      </c>
      <c r="AB28" s="169">
        <v>40593</v>
      </c>
      <c r="AC28" s="167">
        <f t="shared" si="70"/>
        <v>13.635854655394436</v>
      </c>
      <c r="AD28" s="169">
        <v>32256</v>
      </c>
      <c r="AE28" s="169">
        <v>40593</v>
      </c>
      <c r="AF28" s="167">
        <f t="shared" si="53"/>
        <v>25.846354166666668</v>
      </c>
      <c r="AG28" s="168"/>
      <c r="AH28" s="168" t="s">
        <v>52</v>
      </c>
      <c r="AI28" s="315">
        <v>26369</v>
      </c>
      <c r="AJ28" s="169">
        <v>32256</v>
      </c>
      <c r="AK28" s="167">
        <f t="shared" si="71"/>
        <v>22.325457924077515</v>
      </c>
      <c r="AL28" s="169">
        <v>27215</v>
      </c>
      <c r="AM28" s="169">
        <v>32256</v>
      </c>
      <c r="AN28" s="167">
        <f t="shared" si="54"/>
        <v>18.522873415395921</v>
      </c>
      <c r="AO28" s="168"/>
      <c r="AP28" s="168" t="s">
        <v>52</v>
      </c>
      <c r="AQ28" s="315">
        <v>29837</v>
      </c>
      <c r="AR28" s="169">
        <v>27215</v>
      </c>
      <c r="AS28" s="167">
        <f t="shared" si="72"/>
        <v>-8.7877467573817736</v>
      </c>
      <c r="AT28" s="169">
        <v>44977</v>
      </c>
      <c r="AU28" s="169">
        <v>27215</v>
      </c>
      <c r="AV28" s="167">
        <f t="shared" si="55"/>
        <v>-39.49129555105943</v>
      </c>
      <c r="AW28" s="168"/>
      <c r="AX28" s="168" t="s">
        <v>52</v>
      </c>
      <c r="AY28" s="315">
        <v>35373</v>
      </c>
      <c r="AZ28" s="169">
        <v>44977</v>
      </c>
      <c r="BA28" s="167">
        <f t="shared" si="73"/>
        <v>27.150651626947109</v>
      </c>
      <c r="BB28" s="169">
        <v>42078</v>
      </c>
      <c r="BC28" s="169">
        <v>44977</v>
      </c>
      <c r="BD28" s="167">
        <f t="shared" si="56"/>
        <v>6.8895860069394939</v>
      </c>
      <c r="BE28" s="168"/>
      <c r="BF28" s="168" t="s">
        <v>52</v>
      </c>
      <c r="BG28" s="315">
        <v>32500</v>
      </c>
      <c r="BH28" s="169">
        <v>42078</v>
      </c>
      <c r="BI28" s="167">
        <f t="shared" si="74"/>
        <v>29.470769230769228</v>
      </c>
      <c r="BJ28" s="169">
        <v>35826</v>
      </c>
      <c r="BK28" s="169">
        <v>42078</v>
      </c>
      <c r="BL28" s="167">
        <f t="shared" si="57"/>
        <v>17.451013230614638</v>
      </c>
      <c r="BM28" s="168"/>
      <c r="BN28" s="168" t="s">
        <v>52</v>
      </c>
      <c r="BO28" s="315">
        <v>30348</v>
      </c>
      <c r="BP28" s="169">
        <v>35826</v>
      </c>
      <c r="BQ28" s="167">
        <f t="shared" si="75"/>
        <v>18.050612890470539</v>
      </c>
      <c r="BR28" s="169">
        <f>38915-7984</f>
        <v>30931</v>
      </c>
      <c r="BS28" s="169">
        <v>35826</v>
      </c>
      <c r="BT28" s="167">
        <f t="shared" si="58"/>
        <v>15.825547185671333</v>
      </c>
      <c r="BU28" s="167"/>
      <c r="BV28" s="168"/>
      <c r="BW28" s="168" t="s">
        <v>52</v>
      </c>
      <c r="BX28" s="169">
        <v>26399</v>
      </c>
      <c r="BY28" s="169">
        <f>CB28</f>
        <v>30931</v>
      </c>
      <c r="BZ28" s="167">
        <f t="shared" si="76"/>
        <v>17.167316943823629</v>
      </c>
      <c r="CA28" s="169">
        <v>30396</v>
      </c>
      <c r="CB28" s="169">
        <f>38915-7984</f>
        <v>30931</v>
      </c>
      <c r="CC28" s="167">
        <f t="shared" si="59"/>
        <v>1.7601000131596263</v>
      </c>
      <c r="CD28" s="167"/>
      <c r="CE28" s="168"/>
      <c r="CF28" s="168" t="s">
        <v>52</v>
      </c>
      <c r="CG28" s="169">
        <v>28198</v>
      </c>
      <c r="CH28" s="169">
        <v>30396</v>
      </c>
      <c r="CI28" s="167">
        <f t="shared" si="77"/>
        <v>7.7948790694375489</v>
      </c>
      <c r="CJ28" s="169">
        <v>35765</v>
      </c>
      <c r="CK28" s="169">
        <v>30396</v>
      </c>
      <c r="CL28" s="167">
        <f t="shared" si="60"/>
        <v>-15.011883125961134</v>
      </c>
      <c r="CO28" s="168"/>
      <c r="CP28" s="168" t="s">
        <v>52</v>
      </c>
      <c r="CQ28" s="169">
        <v>30675</v>
      </c>
      <c r="CR28" s="169"/>
      <c r="CS28" s="167">
        <f t="shared" si="78"/>
        <v>-100</v>
      </c>
      <c r="CT28" s="169">
        <v>60294</v>
      </c>
      <c r="CU28" s="169"/>
      <c r="CV28" s="167">
        <f t="shared" si="61"/>
        <v>-100</v>
      </c>
      <c r="CW28" s="73"/>
      <c r="CX28" s="219"/>
      <c r="CY28" s="219" t="s">
        <v>52</v>
      </c>
      <c r="CZ28" s="220">
        <v>49677</v>
      </c>
      <c r="DA28" s="220">
        <v>49118</v>
      </c>
      <c r="DB28" s="218">
        <f t="shared" si="79"/>
        <v>-1.1252692392857861</v>
      </c>
      <c r="DC28" s="222">
        <v>46205</v>
      </c>
      <c r="DD28" s="220">
        <v>49118</v>
      </c>
      <c r="DE28" s="218">
        <f t="shared" si="80"/>
        <v>6.3045124986473331</v>
      </c>
      <c r="DF28" s="73"/>
      <c r="DG28" s="168"/>
      <c r="DH28" s="168" t="s">
        <v>52</v>
      </c>
      <c r="DI28" s="169">
        <v>46205</v>
      </c>
      <c r="DJ28" s="169">
        <v>55557</v>
      </c>
      <c r="DK28" s="167">
        <f t="shared" si="81"/>
        <v>20.240233740937128</v>
      </c>
      <c r="DL28" s="177">
        <v>39811</v>
      </c>
      <c r="DM28" s="169">
        <v>55557</v>
      </c>
      <c r="DN28" s="167">
        <f t="shared" si="82"/>
        <v>39.551882645499987</v>
      </c>
      <c r="DO28" s="155"/>
      <c r="DP28" s="152"/>
      <c r="DQ28" s="152" t="s">
        <v>52</v>
      </c>
      <c r="DR28" s="148">
        <f>37702-3898</f>
        <v>33804</v>
      </c>
      <c r="DS28" s="148">
        <v>39811</v>
      </c>
      <c r="DT28" s="151">
        <f t="shared" si="83"/>
        <v>17.770086380310023</v>
      </c>
      <c r="DU28" s="148">
        <v>30790</v>
      </c>
      <c r="DV28" s="148">
        <v>39811</v>
      </c>
      <c r="DW28" s="151">
        <f t="shared" si="84"/>
        <v>29.298473530367001</v>
      </c>
      <c r="DX28" s="73"/>
      <c r="DY28" s="89"/>
      <c r="DZ28" s="89" t="s">
        <v>52</v>
      </c>
      <c r="EA28" s="90">
        <v>24717</v>
      </c>
      <c r="EB28" s="90">
        <v>30790</v>
      </c>
      <c r="EC28" s="126">
        <f t="shared" si="85"/>
        <v>24.570133915928309</v>
      </c>
      <c r="ED28" s="90">
        <v>19405</v>
      </c>
      <c r="EE28" s="90">
        <v>30790</v>
      </c>
      <c r="EF28" s="126">
        <f t="shared" si="86"/>
        <v>58.670445761401702</v>
      </c>
      <c r="EG28" s="73"/>
      <c r="EH28" s="42"/>
      <c r="EI28" s="42" t="s">
        <v>52</v>
      </c>
      <c r="EJ28" s="43">
        <v>15661</v>
      </c>
      <c r="EK28" s="43">
        <v>19405</v>
      </c>
      <c r="EL28" s="44">
        <f t="shared" si="62"/>
        <v>23.906519379349977</v>
      </c>
      <c r="EM28" s="45">
        <v>36622</v>
      </c>
      <c r="EN28" s="43">
        <v>19405</v>
      </c>
      <c r="EO28" s="44">
        <f t="shared" si="63"/>
        <v>-47.012724591775438</v>
      </c>
      <c r="EP28" s="61"/>
      <c r="EQ28" s="89"/>
      <c r="ER28" s="89" t="s">
        <v>52</v>
      </c>
      <c r="ES28" s="90">
        <v>25858</v>
      </c>
      <c r="ET28" s="90">
        <v>36622</v>
      </c>
      <c r="EU28" s="91">
        <f t="shared" si="64"/>
        <v>41.627349369634153</v>
      </c>
      <c r="EV28" s="92">
        <v>34258</v>
      </c>
      <c r="EW28" s="90">
        <v>36622</v>
      </c>
      <c r="EX28" s="91">
        <f t="shared" si="65"/>
        <v>6.900577967190145</v>
      </c>
      <c r="EY28" s="61"/>
    </row>
    <row r="29" spans="1:155" x14ac:dyDescent="0.5">
      <c r="A29" s="168"/>
      <c r="B29" s="168" t="s">
        <v>53</v>
      </c>
      <c r="C29" s="315">
        <v>2381</v>
      </c>
      <c r="D29" s="169">
        <v>2758</v>
      </c>
      <c r="E29" s="167">
        <f t="shared" si="66"/>
        <v>15.833683326333473</v>
      </c>
      <c r="F29" s="169">
        <v>2722</v>
      </c>
      <c r="G29" s="166">
        <f t="shared" si="67"/>
        <v>2758</v>
      </c>
      <c r="H29" s="167">
        <f t="shared" si="50"/>
        <v>1.322556943423953</v>
      </c>
      <c r="I29" s="168"/>
      <c r="J29" s="168" t="s">
        <v>53</v>
      </c>
      <c r="K29" s="315">
        <v>2468</v>
      </c>
      <c r="L29" s="169">
        <v>2722</v>
      </c>
      <c r="M29" s="167">
        <f t="shared" si="68"/>
        <v>10.291734197730957</v>
      </c>
      <c r="N29" s="169">
        <v>3911</v>
      </c>
      <c r="O29" s="169">
        <v>2722</v>
      </c>
      <c r="P29" s="167">
        <f t="shared" si="51"/>
        <v>-30.401431858859628</v>
      </c>
      <c r="Q29" s="168"/>
      <c r="R29" s="168" t="s">
        <v>53</v>
      </c>
      <c r="S29" s="315">
        <v>3208</v>
      </c>
      <c r="T29" s="169">
        <v>3911</v>
      </c>
      <c r="U29" s="167">
        <f t="shared" si="69"/>
        <v>21.913965087281795</v>
      </c>
      <c r="V29" s="169">
        <v>4052</v>
      </c>
      <c r="W29" s="169">
        <v>3911</v>
      </c>
      <c r="X29" s="167">
        <f t="shared" si="52"/>
        <v>-3.4797630799605135</v>
      </c>
      <c r="Y29" s="168"/>
      <c r="Z29" s="168" t="s">
        <v>53</v>
      </c>
      <c r="AA29" s="315">
        <v>3570</v>
      </c>
      <c r="AB29" s="169">
        <v>4052</v>
      </c>
      <c r="AC29" s="167">
        <f t="shared" si="70"/>
        <v>13.50140056022409</v>
      </c>
      <c r="AD29" s="169">
        <v>4221</v>
      </c>
      <c r="AE29" s="169">
        <v>4052</v>
      </c>
      <c r="AF29" s="167">
        <f t="shared" si="53"/>
        <v>-4.0037905709547505</v>
      </c>
      <c r="AG29" s="168"/>
      <c r="AH29" s="168" t="s">
        <v>53</v>
      </c>
      <c r="AI29" s="315">
        <v>2974</v>
      </c>
      <c r="AJ29" s="169">
        <v>4221</v>
      </c>
      <c r="AK29" s="167">
        <f t="shared" si="71"/>
        <v>41.930060524546064</v>
      </c>
      <c r="AL29" s="169">
        <v>3355</v>
      </c>
      <c r="AM29" s="169">
        <v>4221</v>
      </c>
      <c r="AN29" s="167">
        <f t="shared" si="54"/>
        <v>25.812220566318928</v>
      </c>
      <c r="AO29" s="168"/>
      <c r="AP29" s="168" t="s">
        <v>53</v>
      </c>
      <c r="AQ29" s="315">
        <v>3214</v>
      </c>
      <c r="AR29" s="169">
        <v>3355</v>
      </c>
      <c r="AS29" s="167">
        <f t="shared" si="72"/>
        <v>4.3870566272557561</v>
      </c>
      <c r="AT29" s="169">
        <v>4086</v>
      </c>
      <c r="AU29" s="169">
        <v>3355</v>
      </c>
      <c r="AV29" s="167">
        <f t="shared" si="55"/>
        <v>-17.890357317670095</v>
      </c>
      <c r="AW29" s="168"/>
      <c r="AX29" s="168" t="s">
        <v>53</v>
      </c>
      <c r="AY29" s="315">
        <v>3686</v>
      </c>
      <c r="AZ29" s="169">
        <v>4086</v>
      </c>
      <c r="BA29" s="167">
        <f t="shared" si="73"/>
        <v>10.851871947911015</v>
      </c>
      <c r="BB29" s="169">
        <v>4199</v>
      </c>
      <c r="BC29" s="169">
        <v>4086</v>
      </c>
      <c r="BD29" s="167">
        <f t="shared" si="56"/>
        <v>-2.6911169326030007</v>
      </c>
      <c r="BE29" s="168"/>
      <c r="BF29" s="168" t="s">
        <v>53</v>
      </c>
      <c r="BG29" s="315">
        <v>3529</v>
      </c>
      <c r="BH29" s="169">
        <v>4199</v>
      </c>
      <c r="BI29" s="167">
        <f t="shared" si="74"/>
        <v>18.985548313969964</v>
      </c>
      <c r="BJ29" s="169">
        <v>4764</v>
      </c>
      <c r="BK29" s="169">
        <v>4199</v>
      </c>
      <c r="BL29" s="167">
        <f t="shared" si="57"/>
        <v>-11.859781696053737</v>
      </c>
      <c r="BM29" s="168"/>
      <c r="BN29" s="168" t="s">
        <v>53</v>
      </c>
      <c r="BO29" s="315">
        <v>3749</v>
      </c>
      <c r="BP29" s="169">
        <v>4764</v>
      </c>
      <c r="BQ29" s="167">
        <f t="shared" si="75"/>
        <v>27.073886369698585</v>
      </c>
      <c r="BR29" s="169">
        <f>48883-BR28-BR30</f>
        <v>4209</v>
      </c>
      <c r="BS29" s="169">
        <v>4764</v>
      </c>
      <c r="BT29" s="167">
        <f t="shared" si="58"/>
        <v>13.186029935851746</v>
      </c>
      <c r="BU29" s="167"/>
      <c r="BV29" s="168"/>
      <c r="BW29" s="168" t="s">
        <v>53</v>
      </c>
      <c r="BX29" s="169">
        <v>3459</v>
      </c>
      <c r="BY29" s="169">
        <f>CB29</f>
        <v>4209</v>
      </c>
      <c r="BZ29" s="167">
        <f t="shared" si="76"/>
        <v>21.682567215958372</v>
      </c>
      <c r="CA29" s="169">
        <v>4581</v>
      </c>
      <c r="CB29" s="169">
        <f>48883-CB28-CB30</f>
        <v>4209</v>
      </c>
      <c r="CC29" s="167">
        <f t="shared" si="59"/>
        <v>-8.1204977079240326</v>
      </c>
      <c r="CD29" s="167"/>
      <c r="CE29" s="168"/>
      <c r="CF29" s="168" t="s">
        <v>53</v>
      </c>
      <c r="CG29" s="169">
        <v>3805</v>
      </c>
      <c r="CH29" s="169">
        <v>4581</v>
      </c>
      <c r="CI29" s="167">
        <f t="shared" si="77"/>
        <v>20.394218134034166</v>
      </c>
      <c r="CJ29" s="169">
        <v>4240</v>
      </c>
      <c r="CK29" s="169">
        <v>4581</v>
      </c>
      <c r="CL29" s="167">
        <f t="shared" si="60"/>
        <v>8.0424528301886795</v>
      </c>
      <c r="CO29" s="168"/>
      <c r="CP29" s="168" t="s">
        <v>53</v>
      </c>
      <c r="CQ29" s="169">
        <v>3592</v>
      </c>
      <c r="CR29" s="169"/>
      <c r="CS29" s="167">
        <f t="shared" si="78"/>
        <v>-100</v>
      </c>
      <c r="CT29" s="169">
        <v>8090</v>
      </c>
      <c r="CU29" s="169"/>
      <c r="CV29" s="167">
        <f t="shared" si="61"/>
        <v>-100</v>
      </c>
      <c r="CW29" s="73"/>
      <c r="CX29" s="219"/>
      <c r="CY29" s="219" t="s">
        <v>53</v>
      </c>
      <c r="CZ29" s="220">
        <v>6458</v>
      </c>
      <c r="DA29" s="220">
        <v>7098</v>
      </c>
      <c r="DB29" s="218">
        <f t="shared" si="79"/>
        <v>9.9101889129761531</v>
      </c>
      <c r="DC29" s="222">
        <v>5555</v>
      </c>
      <c r="DD29" s="220">
        <v>7098</v>
      </c>
      <c r="DE29" s="218">
        <f t="shared" si="80"/>
        <v>27.776777677767779</v>
      </c>
      <c r="DF29" s="73"/>
      <c r="DG29" s="168"/>
      <c r="DH29" s="168" t="s">
        <v>53</v>
      </c>
      <c r="DI29" s="169">
        <v>5555</v>
      </c>
      <c r="DJ29" s="169">
        <v>6960</v>
      </c>
      <c r="DK29" s="167">
        <f t="shared" si="81"/>
        <v>25.292529252925295</v>
      </c>
      <c r="DL29" s="177">
        <v>5642</v>
      </c>
      <c r="DM29" s="169">
        <v>6960</v>
      </c>
      <c r="DN29" s="167">
        <f t="shared" si="82"/>
        <v>23.360510457284651</v>
      </c>
      <c r="DO29" s="155"/>
      <c r="DP29" s="152"/>
      <c r="DQ29" s="152" t="s">
        <v>53</v>
      </c>
      <c r="DR29" s="148">
        <f>2056+317+974+1410+32</f>
        <v>4789</v>
      </c>
      <c r="DS29" s="148">
        <v>5642</v>
      </c>
      <c r="DT29" s="151">
        <f t="shared" si="83"/>
        <v>17.811651701816665</v>
      </c>
      <c r="DU29" s="148">
        <v>4187</v>
      </c>
      <c r="DV29" s="148">
        <v>5642</v>
      </c>
      <c r="DW29" s="151">
        <f t="shared" si="84"/>
        <v>34.750417960353474</v>
      </c>
      <c r="DX29" s="73"/>
      <c r="DY29" s="89"/>
      <c r="DZ29" s="89" t="s">
        <v>53</v>
      </c>
      <c r="EA29" s="90">
        <v>3353</v>
      </c>
      <c r="EB29" s="90">
        <v>4187</v>
      </c>
      <c r="EC29" s="126">
        <f t="shared" si="85"/>
        <v>24.87324783775723</v>
      </c>
      <c r="ED29" s="90">
        <v>2854</v>
      </c>
      <c r="EE29" s="90">
        <v>4187</v>
      </c>
      <c r="EF29" s="126">
        <f t="shared" si="86"/>
        <v>46.706377014716189</v>
      </c>
      <c r="EG29" s="73"/>
      <c r="EH29" s="42"/>
      <c r="EI29" s="42" t="s">
        <v>53</v>
      </c>
      <c r="EJ29" s="43">
        <v>2211</v>
      </c>
      <c r="EK29" s="43">
        <v>2854</v>
      </c>
      <c r="EL29" s="44">
        <f t="shared" si="62"/>
        <v>29.081863410221619</v>
      </c>
      <c r="EM29" s="45">
        <v>4223</v>
      </c>
      <c r="EN29" s="43">
        <v>2854</v>
      </c>
      <c r="EO29" s="44">
        <f t="shared" si="63"/>
        <v>-32.417712526639832</v>
      </c>
      <c r="EP29" s="61"/>
      <c r="EQ29" s="89"/>
      <c r="ER29" s="89" t="s">
        <v>53</v>
      </c>
      <c r="ES29" s="90">
        <v>3367</v>
      </c>
      <c r="ET29" s="90">
        <v>4204</v>
      </c>
      <c r="EU29" s="91">
        <f t="shared" si="64"/>
        <v>24.858924858924858</v>
      </c>
      <c r="EV29" s="92">
        <v>3722</v>
      </c>
      <c r="EW29" s="90">
        <v>4204</v>
      </c>
      <c r="EX29" s="91">
        <f t="shared" si="65"/>
        <v>12.950026867275657</v>
      </c>
      <c r="EY29" s="61"/>
    </row>
    <row r="30" spans="1:155" x14ac:dyDescent="0.5">
      <c r="A30" s="168"/>
      <c r="B30" s="168" t="s">
        <v>54</v>
      </c>
      <c r="C30" s="315">
        <v>14776</v>
      </c>
      <c r="D30" s="169">
        <f>13633+3360</f>
        <v>16993</v>
      </c>
      <c r="E30" s="167">
        <f t="shared" si="66"/>
        <v>15.004060638873851</v>
      </c>
      <c r="F30" s="169">
        <v>14823</v>
      </c>
      <c r="G30" s="166">
        <f t="shared" si="67"/>
        <v>16993</v>
      </c>
      <c r="H30" s="167">
        <f t="shared" si="50"/>
        <v>14.639411725021926</v>
      </c>
      <c r="I30" s="168"/>
      <c r="J30" s="168" t="s">
        <v>54</v>
      </c>
      <c r="K30" s="315">
        <v>14979</v>
      </c>
      <c r="L30" s="169">
        <v>14823</v>
      </c>
      <c r="M30" s="167">
        <f t="shared" si="68"/>
        <v>-1.041458041257761</v>
      </c>
      <c r="N30" s="169">
        <v>16697</v>
      </c>
      <c r="O30" s="169">
        <v>14823</v>
      </c>
      <c r="P30" s="167">
        <f t="shared" si="51"/>
        <v>-11.223573096963527</v>
      </c>
      <c r="Q30" s="168"/>
      <c r="R30" s="168" t="s">
        <v>54</v>
      </c>
      <c r="S30" s="315">
        <v>16148</v>
      </c>
      <c r="T30" s="169">
        <v>16697</v>
      </c>
      <c r="U30" s="167">
        <f t="shared" si="69"/>
        <v>3.3998018330443398</v>
      </c>
      <c r="V30" s="169">
        <v>12829</v>
      </c>
      <c r="W30" s="169">
        <v>16697</v>
      </c>
      <c r="X30" s="167">
        <f t="shared" si="52"/>
        <v>30.150440408449608</v>
      </c>
      <c r="Y30" s="168"/>
      <c r="Z30" s="168" t="s">
        <v>54</v>
      </c>
      <c r="AA30" s="315">
        <v>12607</v>
      </c>
      <c r="AB30" s="169">
        <v>12829</v>
      </c>
      <c r="AC30" s="167">
        <f t="shared" si="70"/>
        <v>1.7609264694217499</v>
      </c>
      <c r="AD30" s="169">
        <v>13309</v>
      </c>
      <c r="AE30" s="169">
        <v>12829</v>
      </c>
      <c r="AF30" s="167">
        <f t="shared" si="53"/>
        <v>-3.6065820121722143</v>
      </c>
      <c r="AG30" s="168"/>
      <c r="AH30" s="168" t="s">
        <v>54</v>
      </c>
      <c r="AI30" s="315">
        <v>10648</v>
      </c>
      <c r="AJ30" s="169">
        <v>13309</v>
      </c>
      <c r="AK30" s="167">
        <f t="shared" si="71"/>
        <v>24.99060856498873</v>
      </c>
      <c r="AL30" s="169">
        <v>8837</v>
      </c>
      <c r="AM30" s="169">
        <v>13309</v>
      </c>
      <c r="AN30" s="167">
        <f t="shared" si="54"/>
        <v>50.6054090754781</v>
      </c>
      <c r="AO30" s="168"/>
      <c r="AP30" s="168" t="s">
        <v>54</v>
      </c>
      <c r="AQ30" s="315">
        <v>7864</v>
      </c>
      <c r="AR30" s="169">
        <v>8837</v>
      </c>
      <c r="AS30" s="167">
        <f t="shared" si="72"/>
        <v>12.372838250254324</v>
      </c>
      <c r="AT30" s="169">
        <v>14040</v>
      </c>
      <c r="AU30" s="169">
        <v>8837</v>
      </c>
      <c r="AV30" s="167">
        <f t="shared" si="55"/>
        <v>-37.058404558404554</v>
      </c>
      <c r="AW30" s="168"/>
      <c r="AX30" s="168" t="s">
        <v>54</v>
      </c>
      <c r="AY30" s="315">
        <v>10927</v>
      </c>
      <c r="AZ30" s="169">
        <v>14040</v>
      </c>
      <c r="BA30" s="167">
        <f t="shared" si="73"/>
        <v>28.48906378694976</v>
      </c>
      <c r="BB30" s="169">
        <v>14040</v>
      </c>
      <c r="BC30" s="169">
        <v>14040</v>
      </c>
      <c r="BD30" s="167">
        <f t="shared" si="56"/>
        <v>0</v>
      </c>
      <c r="BE30" s="168"/>
      <c r="BF30" s="168" t="s">
        <v>54</v>
      </c>
      <c r="BG30" s="315">
        <v>9820</v>
      </c>
      <c r="BH30" s="169">
        <v>14040</v>
      </c>
      <c r="BI30" s="167">
        <f t="shared" si="74"/>
        <v>42.973523421588595</v>
      </c>
      <c r="BJ30" s="169">
        <v>10729</v>
      </c>
      <c r="BK30" s="169">
        <v>14040</v>
      </c>
      <c r="BL30" s="167">
        <f t="shared" si="57"/>
        <v>30.860285208313915</v>
      </c>
      <c r="BM30" s="168"/>
      <c r="BN30" s="168" t="s">
        <v>54</v>
      </c>
      <c r="BO30" s="315">
        <v>7636</v>
      </c>
      <c r="BP30" s="169">
        <v>10729</v>
      </c>
      <c r="BQ30" s="167">
        <f t="shared" si="75"/>
        <v>40.505500261917234</v>
      </c>
      <c r="BR30" s="169">
        <f>7984+5759</f>
        <v>13743</v>
      </c>
      <c r="BS30" s="169">
        <v>10729</v>
      </c>
      <c r="BT30" s="167">
        <f t="shared" si="58"/>
        <v>-21.931164956705231</v>
      </c>
      <c r="BU30" s="167"/>
      <c r="BV30" s="168"/>
      <c r="BW30" s="168" t="s">
        <v>54</v>
      </c>
      <c r="BX30" s="169">
        <v>9409</v>
      </c>
      <c r="BY30" s="169">
        <f>CB30</f>
        <v>13743</v>
      </c>
      <c r="BZ30" s="167">
        <f t="shared" si="76"/>
        <v>46.062280794983529</v>
      </c>
      <c r="CA30" s="169">
        <v>9000</v>
      </c>
      <c r="CB30" s="169">
        <f>7984+5759</f>
        <v>13743</v>
      </c>
      <c r="CC30" s="167">
        <f t="shared" si="59"/>
        <v>52.7</v>
      </c>
      <c r="CD30" s="167"/>
      <c r="CE30" s="168"/>
      <c r="CF30" s="168" t="s">
        <v>54</v>
      </c>
      <c r="CG30" s="169">
        <v>6521</v>
      </c>
      <c r="CH30" s="169">
        <v>9000</v>
      </c>
      <c r="CI30" s="167">
        <f t="shared" si="77"/>
        <v>38.015641772734241</v>
      </c>
      <c r="CJ30" s="169">
        <v>9164</v>
      </c>
      <c r="CK30" s="169">
        <v>9000</v>
      </c>
      <c r="CL30" s="167">
        <f t="shared" si="60"/>
        <v>-1.789611523352248</v>
      </c>
      <c r="CO30" s="168"/>
      <c r="CP30" s="168" t="s">
        <v>54</v>
      </c>
      <c r="CQ30" s="169">
        <v>8347</v>
      </c>
      <c r="CR30" s="169"/>
      <c r="CS30" s="167">
        <f t="shared" si="78"/>
        <v>-100</v>
      </c>
      <c r="CT30" s="169">
        <v>10327</v>
      </c>
      <c r="CU30" s="169"/>
      <c r="CV30" s="167">
        <f t="shared" si="61"/>
        <v>-100</v>
      </c>
      <c r="CW30" s="73"/>
      <c r="CX30" s="219"/>
      <c r="CY30" s="219" t="s">
        <v>54</v>
      </c>
      <c r="CZ30" s="220">
        <v>9661</v>
      </c>
      <c r="DA30" s="220">
        <v>10073</v>
      </c>
      <c r="DB30" s="218">
        <f t="shared" si="79"/>
        <v>4.264568885208571</v>
      </c>
      <c r="DC30" s="222">
        <v>6531</v>
      </c>
      <c r="DD30" s="220">
        <v>10073</v>
      </c>
      <c r="DE30" s="218">
        <f t="shared" si="80"/>
        <v>54.233654876741689</v>
      </c>
      <c r="DF30" s="73"/>
      <c r="DG30" s="168"/>
      <c r="DH30" s="168" t="s">
        <v>54</v>
      </c>
      <c r="DI30" s="169">
        <v>6531</v>
      </c>
      <c r="DJ30" s="169">
        <v>7651</v>
      </c>
      <c r="DK30" s="167">
        <f t="shared" si="81"/>
        <v>17.14898177920686</v>
      </c>
      <c r="DL30" s="177">
        <v>5863</v>
      </c>
      <c r="DM30" s="169">
        <v>7651</v>
      </c>
      <c r="DN30" s="167">
        <f t="shared" si="82"/>
        <v>30.496332935357323</v>
      </c>
      <c r="DO30" s="155"/>
      <c r="DP30" s="152"/>
      <c r="DQ30" s="152" t="s">
        <v>54</v>
      </c>
      <c r="DR30" s="148">
        <f>3898+1216</f>
        <v>5114</v>
      </c>
      <c r="DS30" s="148">
        <v>5863</v>
      </c>
      <c r="DT30" s="151">
        <f t="shared" si="83"/>
        <v>14.646069612827533</v>
      </c>
      <c r="DU30" s="148">
        <v>4968</v>
      </c>
      <c r="DV30" s="148">
        <v>5863</v>
      </c>
      <c r="DW30" s="151">
        <f t="shared" si="84"/>
        <v>18.015297906602253</v>
      </c>
      <c r="DX30" s="73"/>
      <c r="DY30" s="89"/>
      <c r="DZ30" s="89" t="s">
        <v>54</v>
      </c>
      <c r="EA30" s="90">
        <v>3701</v>
      </c>
      <c r="EB30" s="90">
        <v>4968</v>
      </c>
      <c r="EC30" s="126">
        <f t="shared" si="85"/>
        <v>34.233990813293701</v>
      </c>
      <c r="ED30" s="90">
        <v>2875</v>
      </c>
      <c r="EE30" s="90">
        <v>4968</v>
      </c>
      <c r="EF30" s="126">
        <f t="shared" si="86"/>
        <v>72.8</v>
      </c>
      <c r="EG30" s="73"/>
      <c r="EH30" s="42"/>
      <c r="EI30" s="42" t="s">
        <v>54</v>
      </c>
      <c r="EJ30" s="43">
        <v>2241</v>
      </c>
      <c r="EK30" s="43">
        <v>2875</v>
      </c>
      <c r="EL30" s="44">
        <f t="shared" si="62"/>
        <v>28.29094154395359</v>
      </c>
      <c r="EM30" s="45">
        <v>4408</v>
      </c>
      <c r="EN30" s="43">
        <v>2875</v>
      </c>
      <c r="EO30" s="44">
        <f t="shared" si="63"/>
        <v>-34.777676950998185</v>
      </c>
      <c r="EP30" s="61"/>
      <c r="EQ30" s="89"/>
      <c r="ER30" s="89" t="s">
        <v>54</v>
      </c>
      <c r="ES30" s="90">
        <v>3223</v>
      </c>
      <c r="ET30" s="90">
        <v>4408</v>
      </c>
      <c r="EU30" s="91">
        <f t="shared" si="64"/>
        <v>36.766987278932675</v>
      </c>
      <c r="EV30" s="92">
        <v>3056</v>
      </c>
      <c r="EW30" s="90">
        <v>4408</v>
      </c>
      <c r="EX30" s="91">
        <f t="shared" si="65"/>
        <v>44.240837696335078</v>
      </c>
      <c r="EY30" s="61"/>
    </row>
    <row r="31" spans="1:155" x14ac:dyDescent="0.5">
      <c r="A31" s="165" t="s">
        <v>2</v>
      </c>
      <c r="B31" s="165" t="s">
        <v>55</v>
      </c>
      <c r="C31" s="292">
        <v>81323</v>
      </c>
      <c r="D31" s="166">
        <v>80914</v>
      </c>
      <c r="E31" s="167">
        <f t="shared" si="66"/>
        <v>-0.5029327496526198</v>
      </c>
      <c r="F31" s="166">
        <v>95089</v>
      </c>
      <c r="G31" s="166">
        <f t="shared" si="67"/>
        <v>80914</v>
      </c>
      <c r="H31" s="167">
        <f t="shared" si="50"/>
        <v>-14.907087044768586</v>
      </c>
      <c r="I31" s="165" t="s">
        <v>2</v>
      </c>
      <c r="J31" s="165" t="s">
        <v>55</v>
      </c>
      <c r="K31" s="292">
        <v>88720</v>
      </c>
      <c r="L31" s="166">
        <v>95089</v>
      </c>
      <c r="M31" s="167">
        <f t="shared" si="68"/>
        <v>7.178764652840397</v>
      </c>
      <c r="N31" s="166">
        <v>98381</v>
      </c>
      <c r="O31" s="166">
        <v>95089</v>
      </c>
      <c r="P31" s="167">
        <f t="shared" si="51"/>
        <v>-3.3461745662272189</v>
      </c>
      <c r="Q31" s="165" t="s">
        <v>2</v>
      </c>
      <c r="R31" s="165" t="s">
        <v>55</v>
      </c>
      <c r="S31" s="292">
        <v>88525</v>
      </c>
      <c r="T31" s="166">
        <v>98381</v>
      </c>
      <c r="U31" s="167">
        <f t="shared" si="69"/>
        <v>11.133578085286642</v>
      </c>
      <c r="V31" s="166">
        <v>93840</v>
      </c>
      <c r="W31" s="166">
        <v>98381</v>
      </c>
      <c r="X31" s="167">
        <f t="shared" si="52"/>
        <v>4.8390878090366582</v>
      </c>
      <c r="Y31" s="165" t="s">
        <v>2</v>
      </c>
      <c r="Z31" s="165" t="s">
        <v>55</v>
      </c>
      <c r="AA31" s="292">
        <v>79451</v>
      </c>
      <c r="AB31" s="166">
        <v>93840</v>
      </c>
      <c r="AC31" s="167">
        <f t="shared" si="70"/>
        <v>18.1105335363935</v>
      </c>
      <c r="AD31" s="166">
        <v>104506</v>
      </c>
      <c r="AE31" s="166">
        <v>93840</v>
      </c>
      <c r="AF31" s="167">
        <f t="shared" si="53"/>
        <v>-10.206112567699462</v>
      </c>
      <c r="AG31" s="165" t="s">
        <v>2</v>
      </c>
      <c r="AH31" s="165" t="s">
        <v>55</v>
      </c>
      <c r="AI31" s="292">
        <v>79470</v>
      </c>
      <c r="AJ31" s="166">
        <v>104506</v>
      </c>
      <c r="AK31" s="167">
        <f t="shared" si="71"/>
        <v>31.503712092613569</v>
      </c>
      <c r="AL31" s="166">
        <v>89795</v>
      </c>
      <c r="AM31" s="166">
        <v>104506</v>
      </c>
      <c r="AN31" s="167">
        <f t="shared" si="54"/>
        <v>16.382872097555541</v>
      </c>
      <c r="AO31" s="165" t="s">
        <v>2</v>
      </c>
      <c r="AP31" s="165" t="s">
        <v>55</v>
      </c>
      <c r="AQ31" s="292">
        <v>95191</v>
      </c>
      <c r="AR31" s="166">
        <v>89795</v>
      </c>
      <c r="AS31" s="167">
        <f t="shared" si="72"/>
        <v>-5.6686031242449388</v>
      </c>
      <c r="AT31" s="166">
        <v>117708</v>
      </c>
      <c r="AU31" s="166">
        <v>89795</v>
      </c>
      <c r="AV31" s="167">
        <f t="shared" si="55"/>
        <v>-23.713766269072618</v>
      </c>
      <c r="AW31" s="165" t="s">
        <v>2</v>
      </c>
      <c r="AX31" s="165" t="s">
        <v>55</v>
      </c>
      <c r="AY31" s="292">
        <v>100550</v>
      </c>
      <c r="AZ31" s="166">
        <v>117708</v>
      </c>
      <c r="BA31" s="167">
        <f t="shared" si="73"/>
        <v>17.064147190452513</v>
      </c>
      <c r="BB31" s="166">
        <v>110946</v>
      </c>
      <c r="BC31" s="166">
        <v>117708</v>
      </c>
      <c r="BD31" s="167">
        <f t="shared" si="56"/>
        <v>6.0948569574387541</v>
      </c>
      <c r="BE31" s="165" t="s">
        <v>2</v>
      </c>
      <c r="BF31" s="165" t="s">
        <v>55</v>
      </c>
      <c r="BG31" s="292">
        <v>102217</v>
      </c>
      <c r="BH31" s="166">
        <v>110946</v>
      </c>
      <c r="BI31" s="167">
        <f t="shared" si="74"/>
        <v>8.5396753964604706</v>
      </c>
      <c r="BJ31" s="166">
        <v>105967</v>
      </c>
      <c r="BK31" s="166">
        <v>110946</v>
      </c>
      <c r="BL31" s="167">
        <f t="shared" si="57"/>
        <v>4.6986325931657973</v>
      </c>
      <c r="BM31" s="165" t="s">
        <v>2</v>
      </c>
      <c r="BN31" s="165" t="s">
        <v>55</v>
      </c>
      <c r="BO31" s="292">
        <v>98237</v>
      </c>
      <c r="BP31" s="166">
        <v>105967</v>
      </c>
      <c r="BQ31" s="167">
        <f t="shared" si="75"/>
        <v>7.8687256329081716</v>
      </c>
      <c r="BR31" s="166">
        <v>109334</v>
      </c>
      <c r="BS31" s="166">
        <v>105967</v>
      </c>
      <c r="BT31" s="167">
        <f t="shared" si="58"/>
        <v>-3.0795543929610187</v>
      </c>
      <c r="BU31" s="167"/>
      <c r="BV31" s="165" t="s">
        <v>2</v>
      </c>
      <c r="BW31" s="165" t="s">
        <v>55</v>
      </c>
      <c r="BX31" s="166">
        <v>104712</v>
      </c>
      <c r="BY31" s="166">
        <v>109334</v>
      </c>
      <c r="BZ31" s="167">
        <f t="shared" si="76"/>
        <v>4.4140117656047062</v>
      </c>
      <c r="CA31" s="166">
        <v>127619</v>
      </c>
      <c r="CB31" s="166">
        <v>109334</v>
      </c>
      <c r="CC31" s="167">
        <f t="shared" si="59"/>
        <v>-14.327803853658155</v>
      </c>
      <c r="CD31" s="167"/>
      <c r="CE31" s="165" t="s">
        <v>2</v>
      </c>
      <c r="CF31" s="165" t="s">
        <v>55</v>
      </c>
      <c r="CG31" s="166">
        <v>108173</v>
      </c>
      <c r="CH31" s="166">
        <v>127619</v>
      </c>
      <c r="CI31" s="167">
        <f t="shared" si="77"/>
        <v>17.976759450140054</v>
      </c>
      <c r="CJ31" s="166">
        <v>113313</v>
      </c>
      <c r="CK31" s="166">
        <v>127619</v>
      </c>
      <c r="CL31" s="167">
        <f t="shared" si="60"/>
        <v>12.625206287010315</v>
      </c>
      <c r="CO31" s="165" t="s">
        <v>2</v>
      </c>
      <c r="CP31" s="165" t="s">
        <v>55</v>
      </c>
      <c r="CQ31" s="166">
        <v>97171</v>
      </c>
      <c r="CR31" s="166">
        <v>113313</v>
      </c>
      <c r="CS31" s="167">
        <f t="shared" si="78"/>
        <v>16.61195212563419</v>
      </c>
      <c r="CT31" s="166">
        <v>104178</v>
      </c>
      <c r="CU31" s="166">
        <v>113313</v>
      </c>
      <c r="CV31" s="167">
        <f t="shared" si="61"/>
        <v>8.7686459713183194</v>
      </c>
      <c r="CW31" s="73"/>
      <c r="CX31" s="216" t="s">
        <v>2</v>
      </c>
      <c r="CY31" s="216" t="s">
        <v>55</v>
      </c>
      <c r="CZ31" s="217">
        <v>86697</v>
      </c>
      <c r="DA31" s="217">
        <v>94527</v>
      </c>
      <c r="DB31" s="218">
        <f t="shared" si="79"/>
        <v>9.0314543755839303</v>
      </c>
      <c r="DC31" s="217">
        <v>77315</v>
      </c>
      <c r="DD31" s="217">
        <v>94527</v>
      </c>
      <c r="DE31" s="218">
        <f t="shared" si="80"/>
        <v>22.26217422233719</v>
      </c>
      <c r="DF31" s="73"/>
      <c r="DG31" s="165" t="s">
        <v>2</v>
      </c>
      <c r="DH31" s="165" t="s">
        <v>55</v>
      </c>
      <c r="DI31" s="166">
        <v>77315</v>
      </c>
      <c r="DJ31" s="166">
        <v>89815</v>
      </c>
      <c r="DK31" s="167">
        <f t="shared" si="81"/>
        <v>16.167625945806119</v>
      </c>
      <c r="DL31" s="166">
        <v>85626</v>
      </c>
      <c r="DM31" s="166">
        <v>89815</v>
      </c>
      <c r="DN31" s="167">
        <f t="shared" si="82"/>
        <v>4.8922056384742953</v>
      </c>
      <c r="DO31" s="155"/>
      <c r="DP31" s="150" t="s">
        <v>2</v>
      </c>
      <c r="DQ31" s="150" t="s">
        <v>55</v>
      </c>
      <c r="DR31" s="147">
        <v>80699</v>
      </c>
      <c r="DS31" s="147">
        <v>85626</v>
      </c>
      <c r="DT31" s="151">
        <f t="shared" si="83"/>
        <v>6.1054040322680585</v>
      </c>
      <c r="DU31" s="147">
        <v>84097</v>
      </c>
      <c r="DV31" s="147">
        <v>85626</v>
      </c>
      <c r="DW31" s="151">
        <f t="shared" si="84"/>
        <v>1.8181385780705612</v>
      </c>
      <c r="DX31" s="73"/>
      <c r="DY31" s="86" t="s">
        <v>2</v>
      </c>
      <c r="DZ31" s="86" t="s">
        <v>55</v>
      </c>
      <c r="EA31" s="87">
        <v>74063</v>
      </c>
      <c r="EB31" s="87">
        <v>84097</v>
      </c>
      <c r="EC31" s="126">
        <f t="shared" si="85"/>
        <v>13.547925414849521</v>
      </c>
      <c r="ED31" s="87">
        <v>44742</v>
      </c>
      <c r="EE31" s="87">
        <v>84097</v>
      </c>
      <c r="EF31" s="126">
        <f t="shared" si="86"/>
        <v>87.959858745697545</v>
      </c>
      <c r="EG31" s="73"/>
      <c r="EH31" s="63" t="s">
        <v>2</v>
      </c>
      <c r="EI31" s="63" t="s">
        <v>55</v>
      </c>
      <c r="EJ31" s="68">
        <v>44609</v>
      </c>
      <c r="EK31" s="68">
        <v>44742</v>
      </c>
      <c r="EL31" s="65">
        <f t="shared" si="62"/>
        <v>0.29814611401286739</v>
      </c>
      <c r="EM31" s="68">
        <v>72972</v>
      </c>
      <c r="EN31" s="68">
        <v>44742</v>
      </c>
      <c r="EO31" s="65">
        <f t="shared" si="63"/>
        <v>-38.686071369840484</v>
      </c>
      <c r="EP31" s="73"/>
      <c r="EQ31" s="86" t="s">
        <v>2</v>
      </c>
      <c r="ER31" s="86" t="s">
        <v>55</v>
      </c>
      <c r="ES31" s="87">
        <v>66076</v>
      </c>
      <c r="ET31" s="87">
        <v>72972</v>
      </c>
      <c r="EU31" s="88">
        <f t="shared" si="64"/>
        <v>10.436467098492646</v>
      </c>
      <c r="EV31" s="87">
        <v>60217</v>
      </c>
      <c r="EW31" s="87">
        <v>72972</v>
      </c>
      <c r="EX31" s="88">
        <f t="shared" si="65"/>
        <v>21.181726090638854</v>
      </c>
      <c r="EY31" s="73"/>
    </row>
    <row r="32" spans="1:155" x14ac:dyDescent="0.5">
      <c r="A32" s="168"/>
      <c r="B32" s="168" t="s">
        <v>56</v>
      </c>
      <c r="C32" s="316">
        <v>57326.37</v>
      </c>
      <c r="D32" s="170">
        <v>57416.070262022004</v>
      </c>
      <c r="E32" s="167">
        <f t="shared" si="66"/>
        <v>0.15647294957277247</v>
      </c>
      <c r="F32" s="170">
        <v>67926.072737140013</v>
      </c>
      <c r="G32" s="166">
        <f t="shared" si="67"/>
        <v>57416.070262022004</v>
      </c>
      <c r="H32" s="167">
        <f t="shared" si="50"/>
        <v>-15.472707388500975</v>
      </c>
      <c r="I32" s="168"/>
      <c r="J32" s="168" t="s">
        <v>56</v>
      </c>
      <c r="K32" s="316">
        <v>60661.258335490042</v>
      </c>
      <c r="L32" s="170">
        <v>67926.072737140013</v>
      </c>
      <c r="M32" s="167">
        <f t="shared" si="68"/>
        <v>11.97603643741045</v>
      </c>
      <c r="N32" s="170">
        <v>60648.569731929972</v>
      </c>
      <c r="O32" s="170">
        <v>67926.072737140013</v>
      </c>
      <c r="P32" s="167">
        <f t="shared" si="51"/>
        <v>11.999463527956234</v>
      </c>
      <c r="Q32" s="168"/>
      <c r="R32" s="168" t="s">
        <v>56</v>
      </c>
      <c r="S32" s="316">
        <v>54801.645197600061</v>
      </c>
      <c r="T32" s="170">
        <v>60648.569731929972</v>
      </c>
      <c r="U32" s="167">
        <f t="shared" si="69"/>
        <v>10.669250007454096</v>
      </c>
      <c r="V32" s="170">
        <v>55853.299831860117</v>
      </c>
      <c r="W32" s="170">
        <v>60648.569731929972</v>
      </c>
      <c r="X32" s="167">
        <f t="shared" si="52"/>
        <v>8.5854728628486772</v>
      </c>
      <c r="Y32" s="168"/>
      <c r="Z32" s="168" t="s">
        <v>56</v>
      </c>
      <c r="AA32" s="316">
        <v>45539.120389170057</v>
      </c>
      <c r="AB32" s="170">
        <v>55853.299831860117</v>
      </c>
      <c r="AC32" s="167">
        <f t="shared" si="70"/>
        <v>22.649052846314834</v>
      </c>
      <c r="AD32" s="170">
        <v>58424.29</v>
      </c>
      <c r="AE32" s="170">
        <v>55853.299831860117</v>
      </c>
      <c r="AF32" s="167">
        <f t="shared" si="53"/>
        <v>-4.4005501275922807</v>
      </c>
      <c r="AG32" s="168"/>
      <c r="AH32" s="168" t="s">
        <v>56</v>
      </c>
      <c r="AI32" s="316">
        <v>43081.654301301482</v>
      </c>
      <c r="AJ32" s="170">
        <v>58564.249615065019</v>
      </c>
      <c r="AK32" s="167">
        <f t="shared" si="71"/>
        <v>35.937792001863336</v>
      </c>
      <c r="AL32" s="170">
        <v>49112.9256708334</v>
      </c>
      <c r="AM32" s="170">
        <v>58564.249615065019</v>
      </c>
      <c r="AN32" s="167">
        <f t="shared" si="54"/>
        <v>19.244066231314864</v>
      </c>
      <c r="AO32" s="168"/>
      <c r="AP32" s="168" t="s">
        <v>56</v>
      </c>
      <c r="AQ32" s="316">
        <v>47463.73</v>
      </c>
      <c r="AR32" s="170">
        <v>49112.9256708334</v>
      </c>
      <c r="AS32" s="167">
        <f t="shared" si="72"/>
        <v>3.4746440510119965</v>
      </c>
      <c r="AT32" s="170">
        <v>59785.59</v>
      </c>
      <c r="AU32" s="170">
        <v>49112.9256708334</v>
      </c>
      <c r="AV32" s="167">
        <f t="shared" si="55"/>
        <v>-17.851566454670092</v>
      </c>
      <c r="AW32" s="168"/>
      <c r="AX32" s="168" t="s">
        <v>56</v>
      </c>
      <c r="AY32" s="316">
        <v>49053.02</v>
      </c>
      <c r="AZ32" s="170">
        <v>59785.59</v>
      </c>
      <c r="BA32" s="167">
        <f t="shared" si="73"/>
        <v>21.879529537630916</v>
      </c>
      <c r="BB32" s="170">
        <v>58925.47</v>
      </c>
      <c r="BC32" s="170">
        <v>59785.59</v>
      </c>
      <c r="BD32" s="167">
        <f t="shared" si="56"/>
        <v>1.4596743988635057</v>
      </c>
      <c r="BE32" s="168"/>
      <c r="BF32" s="168" t="s">
        <v>56</v>
      </c>
      <c r="BG32" s="316">
        <v>52273.53</v>
      </c>
      <c r="BH32" s="170">
        <v>58925.47</v>
      </c>
      <c r="BI32" s="167">
        <f t="shared" si="74"/>
        <v>12.725255019127276</v>
      </c>
      <c r="BJ32" s="170">
        <v>54395.3</v>
      </c>
      <c r="BK32" s="170">
        <v>58925.47</v>
      </c>
      <c r="BL32" s="167">
        <f t="shared" si="57"/>
        <v>8.328237917614203</v>
      </c>
      <c r="BM32" s="168"/>
      <c r="BN32" s="168" t="s">
        <v>56</v>
      </c>
      <c r="BO32" s="316">
        <v>51898.080000000002</v>
      </c>
      <c r="BP32" s="170">
        <v>54395.3</v>
      </c>
      <c r="BQ32" s="167">
        <f t="shared" si="75"/>
        <v>4.8117772372311292</v>
      </c>
      <c r="BR32" s="170">
        <v>57335.79</v>
      </c>
      <c r="BS32" s="170">
        <v>54395.3</v>
      </c>
      <c r="BT32" s="167">
        <f t="shared" si="58"/>
        <v>-5.1285418758510133</v>
      </c>
      <c r="BU32" s="167"/>
      <c r="BV32" s="168"/>
      <c r="BW32" s="168" t="s">
        <v>56</v>
      </c>
      <c r="BX32" s="170">
        <v>55635.4</v>
      </c>
      <c r="BY32" s="170">
        <v>57335.79</v>
      </c>
      <c r="BZ32" s="167">
        <f t="shared" si="76"/>
        <v>3.0563094720268018</v>
      </c>
      <c r="CA32" s="170">
        <v>57113.39</v>
      </c>
      <c r="CB32" s="170">
        <v>57335.79</v>
      </c>
      <c r="CC32" s="167">
        <f t="shared" si="59"/>
        <v>0.38940080425973916</v>
      </c>
      <c r="CD32" s="167"/>
      <c r="CE32" s="168"/>
      <c r="CF32" s="168" t="s">
        <v>56</v>
      </c>
      <c r="CG32" s="170">
        <v>48620.15</v>
      </c>
      <c r="CH32" s="170">
        <v>57113.39</v>
      </c>
      <c r="CI32" s="167">
        <f t="shared" si="77"/>
        <v>17.468559846072047</v>
      </c>
      <c r="CJ32" s="170">
        <v>52843.89</v>
      </c>
      <c r="CK32" s="170">
        <v>57113.39</v>
      </c>
      <c r="CL32" s="167">
        <f t="shared" si="60"/>
        <v>8.0794581928014768</v>
      </c>
      <c r="CO32" s="168"/>
      <c r="CP32" s="168" t="s">
        <v>56</v>
      </c>
      <c r="CQ32" s="170">
        <v>46081.16</v>
      </c>
      <c r="CR32" s="170">
        <v>52843.89</v>
      </c>
      <c r="CS32" s="167">
        <f t="shared" si="78"/>
        <v>14.675693927843819</v>
      </c>
      <c r="CT32" s="170">
        <v>45009.49</v>
      </c>
      <c r="CU32" s="170">
        <v>52843.89</v>
      </c>
      <c r="CV32" s="167">
        <f t="shared" si="61"/>
        <v>17.406107023207777</v>
      </c>
      <c r="CW32" s="73"/>
      <c r="CX32" s="219"/>
      <c r="CY32" s="219" t="s">
        <v>56</v>
      </c>
      <c r="CZ32" s="221">
        <v>39484.93</v>
      </c>
      <c r="DA32" s="221">
        <v>41308.15</v>
      </c>
      <c r="DB32" s="218">
        <f t="shared" si="79"/>
        <v>4.617508502610999</v>
      </c>
      <c r="DC32" s="223">
        <v>35736.980000000003</v>
      </c>
      <c r="DD32" s="221">
        <v>41308.15</v>
      </c>
      <c r="DE32" s="218">
        <f t="shared" si="80"/>
        <v>15.589369890796586</v>
      </c>
      <c r="DF32" s="73"/>
      <c r="DG32" s="168"/>
      <c r="DH32" s="168" t="s">
        <v>56</v>
      </c>
      <c r="DI32" s="170">
        <v>35736.980000000003</v>
      </c>
      <c r="DJ32" s="170">
        <v>42172.08</v>
      </c>
      <c r="DK32" s="167">
        <f t="shared" si="81"/>
        <v>18.006837735029645</v>
      </c>
      <c r="DL32" s="178">
        <v>37742.82</v>
      </c>
      <c r="DM32" s="170">
        <v>42172.08</v>
      </c>
      <c r="DN32" s="167">
        <f t="shared" si="82"/>
        <v>11.735371124892104</v>
      </c>
      <c r="DO32" s="155"/>
      <c r="DP32" s="152"/>
      <c r="DQ32" s="152" t="s">
        <v>56</v>
      </c>
      <c r="DR32" s="149">
        <v>35277.01</v>
      </c>
      <c r="DS32" s="149">
        <v>37742.82</v>
      </c>
      <c r="DT32" s="151">
        <f t="shared" si="83"/>
        <v>6.9898497633444485</v>
      </c>
      <c r="DU32" s="149">
        <v>39222.370000000003</v>
      </c>
      <c r="DV32" s="149">
        <v>37742.82</v>
      </c>
      <c r="DW32" s="151">
        <f t="shared" si="84"/>
        <v>-3.7722095834596501</v>
      </c>
      <c r="DX32" s="73"/>
      <c r="DY32" s="89"/>
      <c r="DZ32" s="89" t="s">
        <v>56</v>
      </c>
      <c r="EA32" s="93">
        <v>34767.17</v>
      </c>
      <c r="EB32" s="93">
        <v>39222.370000000003</v>
      </c>
      <c r="EC32" s="126">
        <f t="shared" si="85"/>
        <v>12.814387826216528</v>
      </c>
      <c r="ED32" s="93">
        <v>19841.11</v>
      </c>
      <c r="EE32" s="93">
        <v>39222.370000000003</v>
      </c>
      <c r="EF32" s="126">
        <f t="shared" si="86"/>
        <v>97.682337328909526</v>
      </c>
      <c r="EG32" s="73"/>
      <c r="EH32" s="42"/>
      <c r="EI32" s="42" t="s">
        <v>56</v>
      </c>
      <c r="EJ32" s="66">
        <v>20504.759999999998</v>
      </c>
      <c r="EK32" s="66">
        <v>19841.11</v>
      </c>
      <c r="EL32" s="44">
        <f t="shared" si="62"/>
        <v>-3.2365655584361774</v>
      </c>
      <c r="EM32" s="67">
        <v>32269.96</v>
      </c>
      <c r="EN32" s="66">
        <v>19841.11</v>
      </c>
      <c r="EO32" s="44">
        <f t="shared" si="63"/>
        <v>-38.51523212300232</v>
      </c>
      <c r="EP32" s="61"/>
      <c r="EQ32" s="89"/>
      <c r="ER32" s="89" t="s">
        <v>56</v>
      </c>
      <c r="ES32" s="93">
        <v>29783.1</v>
      </c>
      <c r="ET32" s="93">
        <v>32269.95</v>
      </c>
      <c r="EU32" s="91">
        <f t="shared" si="64"/>
        <v>8.3498695568963672</v>
      </c>
      <c r="EV32" s="94">
        <v>26367.19</v>
      </c>
      <c r="EW32" s="93">
        <v>32269.95</v>
      </c>
      <c r="EX32" s="91">
        <f t="shared" si="65"/>
        <v>22.386761729255191</v>
      </c>
      <c r="EY32" s="61"/>
    </row>
    <row r="33" spans="111:152" x14ac:dyDescent="0.5">
      <c r="DG33"/>
      <c r="DO33" s="153"/>
      <c r="EM33" s="97"/>
      <c r="EV33" s="97"/>
    </row>
  </sheetData>
  <phoneticPr fontId="10" type="noConversion"/>
  <pageMargins left="0.55118110236220474" right="0.15748031496062992" top="0.98425196850393704" bottom="0.98425196850393704" header="0.51181102362204722" footer="0.51181102362204722"/>
  <pageSetup paperSize="9" scale="110" orientation="portrait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M33"/>
  <sheetViews>
    <sheetView view="pageBreakPreview" zoomScaleNormal="100" zoomScaleSheetLayoutView="100" workbookViewId="0">
      <selection activeCell="A2" sqref="A2:D18"/>
    </sheetView>
  </sheetViews>
  <sheetFormatPr defaultRowHeight="21.75" x14ac:dyDescent="0.5"/>
  <cols>
    <col min="2" max="2" width="22.42578125" customWidth="1"/>
    <col min="9" max="9" width="9.140625" customWidth="1"/>
    <col min="10" max="10" width="22.42578125" customWidth="1"/>
    <col min="11" max="16" width="9.140625" customWidth="1"/>
    <col min="18" max="18" width="24.5703125" customWidth="1"/>
    <col min="25" max="25" width="9.140625" customWidth="1"/>
    <col min="26" max="26" width="24.28515625" customWidth="1"/>
    <col min="34" max="34" width="23.42578125" customWidth="1"/>
    <col min="42" max="42" width="25.5703125" customWidth="1"/>
    <col min="50" max="50" width="26.7109375" customWidth="1"/>
    <col min="58" max="58" width="25.85546875" customWidth="1"/>
    <col min="59" max="60" width="9.140625" customWidth="1"/>
    <col min="62" max="62" width="9.140625" customWidth="1"/>
    <col min="65" max="65" width="9.140625" customWidth="1"/>
    <col min="75" max="75" width="9.140625" customWidth="1"/>
    <col min="76" max="76" width="12.5703125" customWidth="1"/>
    <col min="77" max="83" width="9.140625" customWidth="1"/>
    <col min="85" max="85" width="12.42578125" customWidth="1"/>
    <col min="87" max="87" width="10.28515625" bestFit="1" customWidth="1"/>
    <col min="89" max="89" width="11" bestFit="1" customWidth="1"/>
    <col min="90" max="90" width="11.28515625" customWidth="1"/>
    <col min="92" max="92" width="9.140625" customWidth="1"/>
    <col min="94" max="94" width="12.42578125" customWidth="1"/>
    <col min="96" max="96" width="10.28515625" bestFit="1" customWidth="1"/>
    <col min="98" max="98" width="11" bestFit="1" customWidth="1"/>
    <col min="99" max="99" width="11.28515625" customWidth="1"/>
    <col min="101" max="101" width="9.140625" customWidth="1"/>
    <col min="103" max="103" width="12.42578125" customWidth="1"/>
    <col min="105" max="105" width="10.28515625" bestFit="1" customWidth="1"/>
    <col min="108" max="108" width="11.28515625" customWidth="1"/>
    <col min="110" max="110" width="9.140625" style="153" customWidth="1"/>
    <col min="112" max="112" width="12.42578125" customWidth="1"/>
    <col min="119" max="119" width="9.140625" customWidth="1"/>
    <col min="121" max="121" width="12.42578125" customWidth="1"/>
    <col min="128" max="128" width="9.140625" customWidth="1"/>
    <col min="130" max="130" width="12.42578125" customWidth="1"/>
    <col min="137" max="137" width="9.140625" customWidth="1"/>
    <col min="139" max="139" width="12.42578125" customWidth="1"/>
    <col min="146" max="146" width="9.140625" customWidth="1"/>
  </cols>
  <sheetData>
    <row r="1" spans="1:169" x14ac:dyDescent="0.5">
      <c r="A1" s="59"/>
      <c r="B1" s="59"/>
      <c r="C1" s="127" t="s">
        <v>858</v>
      </c>
      <c r="D1" s="127"/>
      <c r="E1" s="127"/>
      <c r="F1" s="127"/>
      <c r="G1" s="127"/>
      <c r="H1" s="127"/>
      <c r="I1" s="59"/>
      <c r="J1" s="59"/>
      <c r="K1" s="127" t="s">
        <v>812</v>
      </c>
      <c r="L1" s="127"/>
      <c r="M1" s="127"/>
      <c r="N1" s="127"/>
      <c r="O1" s="127"/>
      <c r="P1" s="127"/>
      <c r="Q1" s="59"/>
      <c r="R1" s="59"/>
      <c r="S1" s="127" t="s">
        <v>764</v>
      </c>
      <c r="T1" s="127"/>
      <c r="U1" s="127"/>
      <c r="V1" s="127"/>
      <c r="W1" s="127"/>
      <c r="X1" s="127"/>
      <c r="Y1" s="59"/>
      <c r="Z1" s="59"/>
      <c r="AA1" s="127" t="s">
        <v>722</v>
      </c>
      <c r="AB1" s="127"/>
      <c r="AC1" s="127"/>
      <c r="AD1" s="127"/>
      <c r="AE1" s="127"/>
      <c r="AF1" s="127"/>
      <c r="AG1" s="59"/>
      <c r="AH1" s="59"/>
      <c r="AI1" s="127" t="s">
        <v>676</v>
      </c>
      <c r="AJ1" s="127"/>
      <c r="AK1" s="127"/>
      <c r="AL1" s="127"/>
      <c r="AM1" s="127"/>
      <c r="AN1" s="127"/>
      <c r="AO1" s="59"/>
      <c r="AP1" s="59"/>
      <c r="AQ1" s="127" t="s">
        <v>672</v>
      </c>
      <c r="AR1" s="127"/>
      <c r="AS1" s="127"/>
      <c r="AT1" s="127"/>
      <c r="AU1" s="127"/>
      <c r="AV1" s="127"/>
      <c r="AW1" s="59"/>
      <c r="AX1" s="59"/>
      <c r="AY1" s="127" t="s">
        <v>582</v>
      </c>
      <c r="AZ1" s="127"/>
      <c r="BA1" s="127"/>
      <c r="BB1" s="127"/>
      <c r="BC1" s="127"/>
      <c r="BD1" s="127"/>
      <c r="BE1" s="59"/>
      <c r="BF1" s="59"/>
      <c r="BG1" s="127" t="s">
        <v>539</v>
      </c>
      <c r="BH1" s="127"/>
      <c r="BI1" s="127"/>
      <c r="BJ1" s="127"/>
      <c r="BK1" s="127"/>
      <c r="BL1" s="127"/>
      <c r="BM1" s="59"/>
      <c r="BN1" s="59"/>
      <c r="BO1" s="127" t="s">
        <v>484</v>
      </c>
      <c r="BP1" s="127"/>
      <c r="BQ1" s="127"/>
      <c r="BR1" s="127"/>
      <c r="BS1" s="127"/>
      <c r="BT1" s="127"/>
      <c r="BX1" s="62" t="s">
        <v>425</v>
      </c>
      <c r="CG1" t="s">
        <v>378</v>
      </c>
      <c r="CP1" t="s">
        <v>331</v>
      </c>
      <c r="CY1" t="s">
        <v>290</v>
      </c>
      <c r="DF1"/>
      <c r="DH1" s="171" t="s">
        <v>249</v>
      </c>
      <c r="DN1" s="153"/>
      <c r="DQ1" t="s">
        <v>209</v>
      </c>
      <c r="DZ1" t="s">
        <v>172</v>
      </c>
      <c r="EI1" t="s">
        <v>136</v>
      </c>
      <c r="ER1" t="s">
        <v>85</v>
      </c>
      <c r="EZ1" t="s">
        <v>45</v>
      </c>
      <c r="FH1" t="s">
        <v>9</v>
      </c>
    </row>
    <row r="2" spans="1:169" x14ac:dyDescent="0.5">
      <c r="A2" s="305"/>
      <c r="B2" s="305"/>
      <c r="C2" s="330" t="s">
        <v>856</v>
      </c>
      <c r="D2" s="330" t="s">
        <v>859</v>
      </c>
      <c r="E2" s="311" t="s">
        <v>3</v>
      </c>
      <c r="F2" s="330" t="s">
        <v>813</v>
      </c>
      <c r="G2" s="330" t="s">
        <v>860</v>
      </c>
      <c r="H2" s="311" t="s">
        <v>3</v>
      </c>
      <c r="I2" s="305"/>
      <c r="J2" s="305"/>
      <c r="K2" s="330" t="s">
        <v>815</v>
      </c>
      <c r="L2" s="330" t="s">
        <v>814</v>
      </c>
      <c r="M2" s="311" t="s">
        <v>3</v>
      </c>
      <c r="N2" s="330" t="s">
        <v>766</v>
      </c>
      <c r="O2" s="330" t="s">
        <v>813</v>
      </c>
      <c r="P2" s="311" t="s">
        <v>3</v>
      </c>
      <c r="Q2" s="305"/>
      <c r="R2" s="305"/>
      <c r="S2" s="330" t="s">
        <v>762</v>
      </c>
      <c r="T2" s="330" t="s">
        <v>765</v>
      </c>
      <c r="U2" s="311" t="s">
        <v>3</v>
      </c>
      <c r="V2" s="330" t="s">
        <v>725</v>
      </c>
      <c r="W2" s="330" t="s">
        <v>766</v>
      </c>
      <c r="X2" s="311" t="s">
        <v>3</v>
      </c>
      <c r="Y2" s="305"/>
      <c r="Z2" s="305"/>
      <c r="AA2" s="330" t="s">
        <v>721</v>
      </c>
      <c r="AB2" s="330" t="s">
        <v>724</v>
      </c>
      <c r="AC2" s="311" t="s">
        <v>3</v>
      </c>
      <c r="AD2" s="330" t="s">
        <v>675</v>
      </c>
      <c r="AE2" s="330" t="s">
        <v>725</v>
      </c>
      <c r="AF2" s="311" t="s">
        <v>3</v>
      </c>
      <c r="AG2" s="305"/>
      <c r="AH2" s="305"/>
      <c r="AI2" s="330" t="s">
        <v>669</v>
      </c>
      <c r="AJ2" s="330" t="s">
        <v>674</v>
      </c>
      <c r="AK2" s="311" t="s">
        <v>3</v>
      </c>
      <c r="AL2" s="330" t="s">
        <v>631</v>
      </c>
      <c r="AM2" s="330" t="s">
        <v>675</v>
      </c>
      <c r="AN2" s="311" t="s">
        <v>3</v>
      </c>
      <c r="AO2" s="305"/>
      <c r="AP2" s="305"/>
      <c r="AQ2" s="330" t="s">
        <v>629</v>
      </c>
      <c r="AR2" s="330" t="s">
        <v>630</v>
      </c>
      <c r="AS2" s="311" t="s">
        <v>3</v>
      </c>
      <c r="AT2" s="330" t="s">
        <v>581</v>
      </c>
      <c r="AU2" s="330" t="s">
        <v>631</v>
      </c>
      <c r="AV2" s="311" t="s">
        <v>3</v>
      </c>
      <c r="AW2" s="305"/>
      <c r="AX2" s="305"/>
      <c r="AY2" s="330" t="s">
        <v>579</v>
      </c>
      <c r="AZ2" s="330" t="s">
        <v>580</v>
      </c>
      <c r="BA2" s="311" t="s">
        <v>3</v>
      </c>
      <c r="BB2" s="330" t="s">
        <v>541</v>
      </c>
      <c r="BC2" s="330" t="s">
        <v>581</v>
      </c>
      <c r="BD2" s="311" t="s">
        <v>3</v>
      </c>
      <c r="BE2" s="305"/>
      <c r="BF2" s="305"/>
      <c r="BG2" s="330" t="s">
        <v>538</v>
      </c>
      <c r="BH2" s="330" t="s">
        <v>540</v>
      </c>
      <c r="BI2" s="311" t="s">
        <v>3</v>
      </c>
      <c r="BJ2" s="330" t="s">
        <v>487</v>
      </c>
      <c r="BK2" s="330" t="s">
        <v>541</v>
      </c>
      <c r="BL2" s="311" t="s">
        <v>3</v>
      </c>
      <c r="BM2" s="305"/>
      <c r="BN2" s="305"/>
      <c r="BO2" s="330" t="s">
        <v>482</v>
      </c>
      <c r="BP2" s="330" t="s">
        <v>485</v>
      </c>
      <c r="BQ2" s="311" t="s">
        <v>3</v>
      </c>
      <c r="BR2" s="330" t="s">
        <v>486</v>
      </c>
      <c r="BS2" s="330" t="s">
        <v>487</v>
      </c>
      <c r="BT2" s="311" t="s">
        <v>3</v>
      </c>
      <c r="BV2" s="317"/>
      <c r="BW2" s="317"/>
      <c r="BX2" s="318" t="s">
        <v>421</v>
      </c>
      <c r="BY2" s="318" t="s">
        <v>426</v>
      </c>
      <c r="BZ2" s="317" t="s">
        <v>3</v>
      </c>
      <c r="CA2" s="318" t="s">
        <v>380</v>
      </c>
      <c r="CB2" s="318" t="s">
        <v>427</v>
      </c>
      <c r="CC2" s="317" t="s">
        <v>3</v>
      </c>
      <c r="CD2" s="317"/>
      <c r="CE2" s="1"/>
      <c r="CF2" s="257"/>
      <c r="CG2" s="259" t="s">
        <v>375</v>
      </c>
      <c r="CH2" s="259" t="s">
        <v>380</v>
      </c>
      <c r="CI2" s="257" t="s">
        <v>3</v>
      </c>
      <c r="CJ2" s="259" t="s">
        <v>332</v>
      </c>
      <c r="CK2" s="259" t="s">
        <v>381</v>
      </c>
      <c r="CL2" s="257" t="s">
        <v>3</v>
      </c>
      <c r="CN2" s="257"/>
      <c r="CO2" s="257"/>
      <c r="CP2" s="259" t="s">
        <v>329</v>
      </c>
      <c r="CQ2" s="259" t="s">
        <v>332</v>
      </c>
      <c r="CR2" s="257" t="s">
        <v>3</v>
      </c>
      <c r="CS2" s="259" t="s">
        <v>292</v>
      </c>
      <c r="CT2" s="259" t="s">
        <v>333</v>
      </c>
      <c r="CU2" s="257" t="s">
        <v>3</v>
      </c>
      <c r="CV2" s="62"/>
      <c r="CW2" s="188"/>
      <c r="CX2" s="188"/>
      <c r="CY2" s="190" t="s">
        <v>287</v>
      </c>
      <c r="CZ2" s="190" t="s">
        <v>292</v>
      </c>
      <c r="DA2" s="188" t="s">
        <v>3</v>
      </c>
      <c r="DB2" s="190" t="s">
        <v>251</v>
      </c>
      <c r="DC2" s="190" t="s">
        <v>293</v>
      </c>
      <c r="DD2" s="188" t="s">
        <v>3</v>
      </c>
      <c r="DE2" s="62"/>
      <c r="DF2" s="173"/>
      <c r="DG2" s="173"/>
      <c r="DH2" s="174" t="s">
        <v>247</v>
      </c>
      <c r="DI2" s="174" t="s">
        <v>251</v>
      </c>
      <c r="DJ2" s="173" t="s">
        <v>3</v>
      </c>
      <c r="DK2" s="174" t="s">
        <v>211</v>
      </c>
      <c r="DL2" s="174" t="s">
        <v>251</v>
      </c>
      <c r="DM2" s="173" t="s">
        <v>3</v>
      </c>
      <c r="DN2" s="176"/>
      <c r="DO2" s="98"/>
      <c r="DP2" s="98"/>
      <c r="DQ2" s="99" t="s">
        <v>208</v>
      </c>
      <c r="DR2" s="99" t="s">
        <v>211</v>
      </c>
      <c r="DS2" s="98" t="s">
        <v>3</v>
      </c>
      <c r="DT2" s="99" t="s">
        <v>174</v>
      </c>
      <c r="DU2" s="99" t="s">
        <v>211</v>
      </c>
      <c r="DV2" s="98" t="s">
        <v>3</v>
      </c>
      <c r="DW2" s="62"/>
      <c r="DX2" s="118"/>
      <c r="DY2" s="118"/>
      <c r="DZ2" s="119" t="s">
        <v>171</v>
      </c>
      <c r="EA2" s="119" t="s">
        <v>174</v>
      </c>
      <c r="EB2" s="118" t="s">
        <v>3</v>
      </c>
      <c r="EC2" s="119" t="s">
        <v>135</v>
      </c>
      <c r="ED2" s="119" t="s">
        <v>174</v>
      </c>
      <c r="EE2" s="118" t="s">
        <v>3</v>
      </c>
      <c r="EF2" s="62"/>
      <c r="EG2" s="98"/>
      <c r="EH2" s="98"/>
      <c r="EI2" s="99" t="s">
        <v>132</v>
      </c>
      <c r="EJ2" s="99" t="s">
        <v>135</v>
      </c>
      <c r="EK2" s="98" t="s">
        <v>3</v>
      </c>
      <c r="EL2" s="99" t="s">
        <v>87</v>
      </c>
      <c r="EM2" s="99" t="s">
        <v>135</v>
      </c>
      <c r="EN2" s="98" t="s">
        <v>3</v>
      </c>
      <c r="EO2" s="62"/>
      <c r="EP2" s="84"/>
      <c r="EQ2" s="84"/>
      <c r="ER2" s="85" t="s">
        <v>83</v>
      </c>
      <c r="ES2" s="85" t="s">
        <v>87</v>
      </c>
      <c r="ET2" s="84" t="s">
        <v>3</v>
      </c>
      <c r="EU2" s="85" t="s">
        <v>88</v>
      </c>
      <c r="EV2" s="85" t="s">
        <v>87</v>
      </c>
      <c r="EW2" s="84" t="s">
        <v>3</v>
      </c>
      <c r="EX2" s="62"/>
      <c r="EY2" s="54"/>
      <c r="EZ2" s="55">
        <v>18264</v>
      </c>
      <c r="FA2" s="55">
        <v>18295</v>
      </c>
      <c r="FB2" s="54" t="s">
        <v>3</v>
      </c>
      <c r="FC2" s="55">
        <v>17930</v>
      </c>
      <c r="FD2" s="55">
        <v>18295</v>
      </c>
      <c r="FE2" s="54" t="s">
        <v>3</v>
      </c>
      <c r="FF2" s="52"/>
      <c r="FG2" s="18"/>
      <c r="FH2" s="19">
        <v>17899</v>
      </c>
      <c r="FI2" s="19">
        <v>17930</v>
      </c>
      <c r="FJ2" s="18" t="s">
        <v>3</v>
      </c>
      <c r="FK2" s="19">
        <v>17564</v>
      </c>
      <c r="FL2" s="19">
        <v>17930</v>
      </c>
      <c r="FM2" s="18" t="s">
        <v>3</v>
      </c>
    </row>
    <row r="3" spans="1:169" x14ac:dyDescent="0.5">
      <c r="A3" s="307" t="s">
        <v>0</v>
      </c>
      <c r="B3" s="307"/>
      <c r="C3" s="267">
        <v>175856</v>
      </c>
      <c r="D3" s="267">
        <v>169671</v>
      </c>
      <c r="E3" s="308">
        <f>((D3-C3)/C3)*100</f>
        <v>-3.5170821581293787</v>
      </c>
      <c r="F3" s="267">
        <v>175770</v>
      </c>
      <c r="G3" s="267">
        <v>169671</v>
      </c>
      <c r="H3" s="308">
        <f>((G3-F3)/F3)*100</f>
        <v>-3.469875405359276</v>
      </c>
      <c r="I3" s="307" t="s">
        <v>0</v>
      </c>
      <c r="J3" s="307"/>
      <c r="K3" s="267">
        <v>177822</v>
      </c>
      <c r="L3" s="267">
        <v>175770</v>
      </c>
      <c r="M3" s="308">
        <f>((L3-K3)/K3)*100</f>
        <v>-1.1539629517157608</v>
      </c>
      <c r="N3" s="267">
        <v>188272</v>
      </c>
      <c r="O3" s="267">
        <v>175770</v>
      </c>
      <c r="P3" s="308">
        <f>((O3-N3)/N3)*100</f>
        <v>-6.6403926234384292</v>
      </c>
      <c r="Q3" s="307" t="s">
        <v>0</v>
      </c>
      <c r="R3" s="307"/>
      <c r="S3" s="267">
        <v>193910</v>
      </c>
      <c r="T3" s="267">
        <v>188272</v>
      </c>
      <c r="U3" s="308">
        <f>((T3-S3)/S3)*100</f>
        <v>-2.9075344231860143</v>
      </c>
      <c r="V3" s="267">
        <v>141596</v>
      </c>
      <c r="W3" s="267">
        <v>188272</v>
      </c>
      <c r="X3" s="308">
        <f>((W3-V3)/V3)*100</f>
        <v>32.964208028475376</v>
      </c>
      <c r="Y3" s="307" t="s">
        <v>0</v>
      </c>
      <c r="Z3" s="307"/>
      <c r="AA3" s="267">
        <v>169171</v>
      </c>
      <c r="AB3" s="267">
        <v>141596</v>
      </c>
      <c r="AC3" s="308">
        <f>((AB3-AA3)/AA3)*100</f>
        <v>-16.3000750719686</v>
      </c>
      <c r="AD3" s="267">
        <v>168127</v>
      </c>
      <c r="AE3" s="267">
        <v>141596</v>
      </c>
      <c r="AF3" s="308">
        <f>((AE3-AD3)/AD3)*100</f>
        <v>-15.780332724666474</v>
      </c>
      <c r="AG3" s="307" t="s">
        <v>0</v>
      </c>
      <c r="AH3" s="307"/>
      <c r="AI3" s="267">
        <v>165874</v>
      </c>
      <c r="AJ3" s="267">
        <v>168127</v>
      </c>
      <c r="AK3" s="308">
        <f>((AJ3-AI3)/AI3)*100</f>
        <v>1.3582598840083437</v>
      </c>
      <c r="AL3" s="267">
        <v>161644</v>
      </c>
      <c r="AM3" s="267">
        <v>168127</v>
      </c>
      <c r="AN3" s="308">
        <f>((AM3-AL3)/AL3)*100</f>
        <v>4.0106654128826307</v>
      </c>
      <c r="AO3" s="307" t="s">
        <v>0</v>
      </c>
      <c r="AP3" s="307"/>
      <c r="AQ3" s="267">
        <v>163163</v>
      </c>
      <c r="AR3" s="267">
        <v>161644</v>
      </c>
      <c r="AS3" s="308">
        <f>((AR3-AQ3)/AQ3)*100</f>
        <v>-0.93097086962117637</v>
      </c>
      <c r="AT3" s="267">
        <v>161702</v>
      </c>
      <c r="AU3" s="267">
        <v>161644</v>
      </c>
      <c r="AV3" s="308">
        <f>((AU3-AT3)/AT3)*100</f>
        <v>-3.5868449369828449E-2</v>
      </c>
      <c r="AW3" s="307" t="s">
        <v>0</v>
      </c>
      <c r="AX3" s="307"/>
      <c r="AY3" s="267">
        <v>166699</v>
      </c>
      <c r="AZ3" s="267">
        <v>161702</v>
      </c>
      <c r="BA3" s="308">
        <f>((AZ3-AY3)/AY3)*100</f>
        <v>-2.9976184620183686</v>
      </c>
      <c r="BB3" s="267">
        <v>182910</v>
      </c>
      <c r="BC3" s="267">
        <v>161702</v>
      </c>
      <c r="BD3" s="308">
        <f>((BC3-BB3)/BB3)*100</f>
        <v>-11.594773385818161</v>
      </c>
      <c r="BE3" s="307" t="s">
        <v>0</v>
      </c>
      <c r="BF3" s="307"/>
      <c r="BG3" s="267">
        <v>182221</v>
      </c>
      <c r="BH3" s="267">
        <v>182910</v>
      </c>
      <c r="BI3" s="308">
        <f>((BH3-BG3)/BG3)*100</f>
        <v>0.37811229221659415</v>
      </c>
      <c r="BJ3" s="248">
        <v>156288</v>
      </c>
      <c r="BK3" s="267">
        <v>182910</v>
      </c>
      <c r="BL3" s="308">
        <f>((BK3-BJ3)/BJ3)*100</f>
        <v>17.033937346437348</v>
      </c>
      <c r="BM3" s="307" t="s">
        <v>0</v>
      </c>
      <c r="BN3" s="307"/>
      <c r="BO3" s="267">
        <v>170634</v>
      </c>
      <c r="BP3" s="267">
        <v>156288</v>
      </c>
      <c r="BQ3" s="308">
        <f>((BP3-BO3)/BO3)*100</f>
        <v>-8.4074686170399797</v>
      </c>
      <c r="BR3" s="248">
        <v>150603</v>
      </c>
      <c r="BS3" s="267">
        <v>156288</v>
      </c>
      <c r="BT3" s="308">
        <f>((BS3-BR3)/BR3)*100</f>
        <v>3.7748252026852049</v>
      </c>
      <c r="BV3" s="247" t="s">
        <v>0</v>
      </c>
      <c r="BW3" s="247"/>
      <c r="BX3" s="248" t="e">
        <f>ม.ค.!BX3</f>
        <v>#REF!</v>
      </c>
      <c r="BY3" s="248">
        <v>150603</v>
      </c>
      <c r="BZ3" s="249" t="e">
        <f>((BY3-BX3)/BX3)*100</f>
        <v>#REF!</v>
      </c>
      <c r="CA3" s="248">
        <f>CK3</f>
        <v>179384</v>
      </c>
      <c r="CB3" s="248">
        <f t="shared" ref="CB3:CB17" si="0">BY3</f>
        <v>150603</v>
      </c>
      <c r="CC3" s="249">
        <f t="shared" ref="CC3:CC17" si="1">((CB3-CA3)/CA3)*100</f>
        <v>-16.044351781652765</v>
      </c>
      <c r="CD3" s="249"/>
      <c r="CF3" s="247"/>
      <c r="CG3" s="248">
        <v>173146</v>
      </c>
      <c r="CH3" s="248">
        <v>179384</v>
      </c>
      <c r="CI3" s="249">
        <f>((CH3-CG3)/CG3)*100</f>
        <v>3.6027398842595266</v>
      </c>
      <c r="CJ3" s="248">
        <v>148575</v>
      </c>
      <c r="CK3" s="248">
        <v>179384</v>
      </c>
      <c r="CL3" s="249">
        <f>((CK3-CJ3)/CJ3)*100</f>
        <v>20.73632845364294</v>
      </c>
      <c r="CN3" s="247" t="s">
        <v>0</v>
      </c>
      <c r="CO3" s="247"/>
      <c r="CP3" s="248">
        <f>SUM(CP4:CP5)</f>
        <v>139063</v>
      </c>
      <c r="CQ3" s="248">
        <f>SUM(CQ4:CQ5)</f>
        <v>148575</v>
      </c>
      <c r="CR3" s="249">
        <f>((CQ3-CP3)/CP3)*100</f>
        <v>6.8400652941472568</v>
      </c>
      <c r="CS3" s="248">
        <f>SUM(CS4:CS5)</f>
        <v>186375</v>
      </c>
      <c r="CT3" s="248">
        <f>SUM(CT4:CT5)</f>
        <v>148575</v>
      </c>
      <c r="CU3" s="249">
        <f>((CT3-CS3)/CS3)*100</f>
        <v>-20.281690140845072</v>
      </c>
      <c r="CV3" s="73"/>
      <c r="CW3" s="206" t="s">
        <v>0</v>
      </c>
      <c r="CX3" s="206"/>
      <c r="CY3" s="207">
        <f>SUM(CY4:CY5)</f>
        <v>193143</v>
      </c>
      <c r="CZ3" s="207">
        <f>SUM(CZ4:CZ5)</f>
        <v>185645</v>
      </c>
      <c r="DA3" s="208">
        <f>((CZ3-CY3)/CY3)*100</f>
        <v>-3.8820977203419225</v>
      </c>
      <c r="DB3" s="207">
        <v>224969</v>
      </c>
      <c r="DC3" s="207">
        <f>SUM(DC4:DC5)</f>
        <v>185645</v>
      </c>
      <c r="DD3" s="208">
        <f>((DC3-DB3)/DB3)*100</f>
        <v>-17.479741653294454</v>
      </c>
      <c r="DE3" s="73"/>
      <c r="DF3" s="156" t="s">
        <v>0</v>
      </c>
      <c r="DG3" s="156"/>
      <c r="DH3" s="157">
        <f>SUM(DH4:DH5)</f>
        <v>216850</v>
      </c>
      <c r="DI3" s="157">
        <f>SUM(DI4:DI5)</f>
        <v>224969</v>
      </c>
      <c r="DJ3" s="158">
        <f>((DI3-DH3)/DH3)*100</f>
        <v>3.744062716163246</v>
      </c>
      <c r="DK3" s="157">
        <f>SUM(DK4:DK5)</f>
        <v>174345</v>
      </c>
      <c r="DL3" s="157">
        <f>SUM(DL4:DL5)</f>
        <v>224969</v>
      </c>
      <c r="DM3" s="158">
        <f>((DL3-DK3)/DK3)*100</f>
        <v>29.036680145688148</v>
      </c>
      <c r="DN3" s="155"/>
      <c r="DO3" s="100" t="s">
        <v>0</v>
      </c>
      <c r="DP3" s="100"/>
      <c r="DQ3" s="101">
        <v>178353</v>
      </c>
      <c r="DR3" s="101">
        <f>SUM(DR4:DR5)</f>
        <v>174345</v>
      </c>
      <c r="DS3" s="102">
        <f>((DR3-DQ3)/DQ3)*100</f>
        <v>-2.2472288102807352</v>
      </c>
      <c r="DT3" s="101">
        <v>149715</v>
      </c>
      <c r="DU3" s="101">
        <v>174345</v>
      </c>
      <c r="DV3" s="102">
        <f>((DU3-DT3)/DT3)*100</f>
        <v>16.451257389039174</v>
      </c>
      <c r="DW3" s="73"/>
      <c r="DX3" s="120" t="s">
        <v>0</v>
      </c>
      <c r="DY3" s="120"/>
      <c r="DZ3" s="121">
        <f>SUM(DZ4:DZ5)</f>
        <v>155102</v>
      </c>
      <c r="EA3" s="121">
        <f>SUM(EA4:EA5)</f>
        <v>149715</v>
      </c>
      <c r="EB3" s="122">
        <f>((EA3-DZ3)/DZ3)*100</f>
        <v>-3.4731982824206002</v>
      </c>
      <c r="EC3" s="121">
        <v>120272</v>
      </c>
      <c r="ED3" s="121">
        <v>149715</v>
      </c>
      <c r="EE3" s="122">
        <f>((ED3-EC3)/EC3)*100</f>
        <v>24.480344552348011</v>
      </c>
      <c r="EF3" s="73"/>
      <c r="EG3" s="100" t="s">
        <v>0</v>
      </c>
      <c r="EH3" s="100"/>
      <c r="EI3" s="101">
        <f>SUM(EI4:EI5)</f>
        <v>138630</v>
      </c>
      <c r="EJ3" s="101">
        <f>SUM(EJ4:EJ5)</f>
        <v>120272</v>
      </c>
      <c r="EK3" s="102">
        <f>((EJ3-EI3)/EI3)*100</f>
        <v>-13.242443915458416</v>
      </c>
      <c r="EL3" s="101">
        <f>SUM(EL4:EL5)</f>
        <v>138909</v>
      </c>
      <c r="EM3" s="101">
        <v>120272</v>
      </c>
      <c r="EN3" s="102">
        <f>((EM3-EL3)/EL3)*100</f>
        <v>-13.416697262236429</v>
      </c>
      <c r="EO3" s="73"/>
      <c r="EP3" s="74" t="s">
        <v>0</v>
      </c>
      <c r="EQ3" s="74"/>
      <c r="ER3" s="75">
        <f>SUM(ER4:ER5)</f>
        <v>138832</v>
      </c>
      <c r="ES3" s="75">
        <f>SUM(ES4:ES5)</f>
        <v>138904</v>
      </c>
      <c r="ET3" s="76">
        <f t="shared" ref="ET3:ET17" si="2">(ES3-ER3)/ER3*100</f>
        <v>5.1861242364872655E-2</v>
      </c>
      <c r="EU3" s="75">
        <f>SUM(EU4:EU5)</f>
        <v>137893</v>
      </c>
      <c r="EV3" s="75">
        <f>SUM(EV4:EV5)</f>
        <v>138904</v>
      </c>
      <c r="EW3" s="76">
        <f t="shared" ref="EW3:EW17" si="3">(EV3-EU3)/EU3*100</f>
        <v>0.73317717360562173</v>
      </c>
      <c r="EX3" s="73"/>
      <c r="EY3" s="42" t="s">
        <v>0</v>
      </c>
      <c r="EZ3" s="43">
        <v>160630</v>
      </c>
      <c r="FA3" s="43">
        <v>136486</v>
      </c>
      <c r="FB3" s="44">
        <f>(FA3-EZ3)/EZ3*100</f>
        <v>-15.030816161364626</v>
      </c>
      <c r="FC3" s="45">
        <v>178292</v>
      </c>
      <c r="FD3" s="43">
        <v>136486</v>
      </c>
      <c r="FE3" s="44">
        <f>(FD3-FC3)/FC3*100</f>
        <v>-23.448051511004419</v>
      </c>
      <c r="FF3" s="53"/>
      <c r="FG3" s="24" t="s">
        <v>0</v>
      </c>
      <c r="FH3" s="25">
        <v>197454</v>
      </c>
      <c r="FI3" s="25">
        <v>178292</v>
      </c>
      <c r="FJ3" s="26">
        <f>(FI3-FH3)/FH3*100</f>
        <v>-9.7045387786522426</v>
      </c>
      <c r="FK3" s="27">
        <v>180216</v>
      </c>
      <c r="FL3" s="25">
        <v>178292</v>
      </c>
      <c r="FM3" s="26">
        <f>(FL3-FK3)/FK3*100</f>
        <v>-1.0676077595773961</v>
      </c>
    </row>
    <row r="4" spans="1:169" x14ac:dyDescent="0.5">
      <c r="A4" s="307"/>
      <c r="B4" s="307" t="s">
        <v>444</v>
      </c>
      <c r="C4" s="266">
        <v>139797</v>
      </c>
      <c r="D4" s="309">
        <v>136882</v>
      </c>
      <c r="E4" s="308">
        <f t="shared" ref="E4:E8" si="4">((D4-C4)/C4)*100</f>
        <v>-2.0851663483479617</v>
      </c>
      <c r="F4" s="309">
        <v>138721</v>
      </c>
      <c r="G4" s="309">
        <v>136882</v>
      </c>
      <c r="H4" s="308">
        <f t="shared" ref="H4:H7" si="5">((G4-F4)/F4)*100</f>
        <v>-1.3256824849878532</v>
      </c>
      <c r="I4" s="307"/>
      <c r="J4" s="307" t="s">
        <v>444</v>
      </c>
      <c r="K4" s="266">
        <v>137048</v>
      </c>
      <c r="L4" s="309">
        <v>138721</v>
      </c>
      <c r="M4" s="308">
        <f t="shared" ref="M4:M8" si="6">((L4-K4)/K4)*100</f>
        <v>1.2207401786235479</v>
      </c>
      <c r="N4" s="309">
        <v>150336</v>
      </c>
      <c r="O4" s="309">
        <v>138721</v>
      </c>
      <c r="P4" s="308">
        <f t="shared" ref="P4:P5" si="7">((O4-N4)/N4)*100</f>
        <v>-7.7260270327799061</v>
      </c>
      <c r="Q4" s="307"/>
      <c r="R4" s="307" t="s">
        <v>444</v>
      </c>
      <c r="S4" s="309">
        <v>154072</v>
      </c>
      <c r="T4" s="309">
        <v>150336</v>
      </c>
      <c r="U4" s="308">
        <f t="shared" ref="U4:U8" si="8">((T4-S4)/S4)*100</f>
        <v>-2.4248403343891169</v>
      </c>
      <c r="V4" s="309">
        <v>118012</v>
      </c>
      <c r="W4" s="309">
        <v>150336</v>
      </c>
      <c r="X4" s="308">
        <f t="shared" ref="X4:X8" si="9">((W4-V4)/V4)*100</f>
        <v>27.390434871030067</v>
      </c>
      <c r="Y4" s="307"/>
      <c r="Z4" s="307" t="s">
        <v>444</v>
      </c>
      <c r="AA4" s="309">
        <v>138960</v>
      </c>
      <c r="AB4" s="309">
        <v>118012</v>
      </c>
      <c r="AC4" s="308">
        <f t="shared" ref="AC4:AC8" si="10">((AB4-AA4)/AA4)*100</f>
        <v>-15.074841681059297</v>
      </c>
      <c r="AD4" s="309">
        <v>131556</v>
      </c>
      <c r="AE4" s="309">
        <v>118012</v>
      </c>
      <c r="AF4" s="308">
        <f t="shared" ref="AF4:AF8" si="11">((AE4-AD4)/AD4)*100</f>
        <v>-10.295235489069293</v>
      </c>
      <c r="AG4" s="307"/>
      <c r="AH4" s="307" t="s">
        <v>444</v>
      </c>
      <c r="AI4" s="309">
        <v>130706</v>
      </c>
      <c r="AJ4" s="309">
        <v>131556</v>
      </c>
      <c r="AK4" s="308">
        <f t="shared" ref="AK4:AK8" si="12">((AJ4-AI4)/AI4)*100</f>
        <v>0.6503144461616146</v>
      </c>
      <c r="AL4" s="309">
        <v>131614</v>
      </c>
      <c r="AM4" s="309">
        <v>131556</v>
      </c>
      <c r="AN4" s="308">
        <f t="shared" ref="AN4:AN8" si="13">((AM4-AL4)/AL4)*100</f>
        <v>-4.4068260215478598E-2</v>
      </c>
      <c r="AO4" s="307"/>
      <c r="AP4" s="307" t="s">
        <v>444</v>
      </c>
      <c r="AQ4" s="309">
        <v>129227</v>
      </c>
      <c r="AR4" s="309">
        <v>131614</v>
      </c>
      <c r="AS4" s="308">
        <f t="shared" ref="AS4:AS8" si="14">((AR4-AQ4)/AQ4)*100</f>
        <v>1.8471372081685717</v>
      </c>
      <c r="AT4" s="309">
        <v>130791</v>
      </c>
      <c r="AU4" s="309">
        <v>131614</v>
      </c>
      <c r="AV4" s="308">
        <f t="shared" ref="AV4:AV14" si="15">((AU4-AT4)/AT4)*100</f>
        <v>0.62924818986015851</v>
      </c>
      <c r="AW4" s="307"/>
      <c r="AX4" s="307" t="s">
        <v>444</v>
      </c>
      <c r="AY4" s="309">
        <v>131251</v>
      </c>
      <c r="AZ4" s="309">
        <v>130791</v>
      </c>
      <c r="BA4" s="308">
        <f t="shared" ref="BA4:BA18" si="16">((AZ4-AY4)/AY4)*100</f>
        <v>-0.35047352020175082</v>
      </c>
      <c r="BB4" s="309">
        <v>143237</v>
      </c>
      <c r="BC4" s="309">
        <v>130791</v>
      </c>
      <c r="BD4" s="308">
        <f t="shared" ref="BD4:BD14" si="17">((BC4-BB4)/BB4)*100</f>
        <v>-8.6890956945481967</v>
      </c>
      <c r="BE4" s="307"/>
      <c r="BF4" s="307" t="s">
        <v>444</v>
      </c>
      <c r="BG4" s="309">
        <v>139105</v>
      </c>
      <c r="BH4" s="309">
        <v>143237</v>
      </c>
      <c r="BI4" s="308">
        <f t="shared" ref="BI4:BI18" si="18">((BH4-BG4)/BG4)*100</f>
        <v>2.9704180295460265</v>
      </c>
      <c r="BJ4" s="251">
        <v>111749</v>
      </c>
      <c r="BK4" s="309">
        <v>143237</v>
      </c>
      <c r="BL4" s="308">
        <f t="shared" ref="BL4:BL18" si="19">((BK4-BJ4)/BJ4)*100</f>
        <v>28.177433355108324</v>
      </c>
      <c r="BM4" s="307"/>
      <c r="BN4" s="307" t="s">
        <v>444</v>
      </c>
      <c r="BO4" s="309">
        <v>126861</v>
      </c>
      <c r="BP4" s="309">
        <v>111749</v>
      </c>
      <c r="BQ4" s="308">
        <f t="shared" ref="BQ4:BQ18" si="20">((BP4-BO4)/BO4)*100</f>
        <v>-11.91225041580943</v>
      </c>
      <c r="BR4" s="251">
        <v>108727</v>
      </c>
      <c r="BS4" s="309">
        <v>111749</v>
      </c>
      <c r="BT4" s="308">
        <f t="shared" ref="BT4:BT18" si="21">((BS4-BR4)/BR4)*100</f>
        <v>2.7794384099625669</v>
      </c>
      <c r="BV4" s="250"/>
      <c r="BW4" s="250" t="s">
        <v>57</v>
      </c>
      <c r="BX4" s="251" t="e">
        <f>ม.ค.!BX4</f>
        <v>#REF!</v>
      </c>
      <c r="BY4" s="251">
        <v>108727</v>
      </c>
      <c r="BZ4" s="249" t="e">
        <f t="shared" ref="BZ4:BZ17" si="22">((BY4-BX4)/BX4)*100</f>
        <v>#REF!</v>
      </c>
      <c r="CA4" s="251">
        <f>CK4</f>
        <v>141527</v>
      </c>
      <c r="CB4" s="251">
        <f t="shared" si="0"/>
        <v>108727</v>
      </c>
      <c r="CC4" s="249">
        <f t="shared" si="1"/>
        <v>-23.175789778628815</v>
      </c>
      <c r="CD4" s="249"/>
      <c r="CF4" s="250" t="s">
        <v>57</v>
      </c>
      <c r="CG4" s="251">
        <v>134801</v>
      </c>
      <c r="CH4" s="251">
        <v>141527</v>
      </c>
      <c r="CI4" s="249">
        <f t="shared" ref="CI4:CI17" si="23">((CH4-CG4)/CG4)*100</f>
        <v>4.9895772286555733</v>
      </c>
      <c r="CJ4" s="251">
        <v>118068</v>
      </c>
      <c r="CK4" s="251">
        <v>141527</v>
      </c>
      <c r="CL4" s="249">
        <f t="shared" ref="CL4:CL17" si="24">((CK4-CJ4)/CJ4)*100</f>
        <v>19.869058508656028</v>
      </c>
      <c r="CN4" s="250"/>
      <c r="CO4" s="250" t="s">
        <v>57</v>
      </c>
      <c r="CP4" s="251">
        <v>106586</v>
      </c>
      <c r="CQ4" s="251">
        <v>118068</v>
      </c>
      <c r="CR4" s="249">
        <f t="shared" ref="CR4:CR17" si="25">((CQ4-CP4)/CP4)*100</f>
        <v>10.77252171955041</v>
      </c>
      <c r="CS4" s="251">
        <v>155138</v>
      </c>
      <c r="CT4" s="251">
        <v>118068</v>
      </c>
      <c r="CU4" s="249">
        <f t="shared" ref="CU4:CU17" si="26">((CT4-CS4)/CS4)*100</f>
        <v>-23.894854903376348</v>
      </c>
      <c r="CV4" s="73"/>
      <c r="CW4" s="209"/>
      <c r="CX4" s="209" t="s">
        <v>57</v>
      </c>
      <c r="CY4" s="210">
        <v>166974</v>
      </c>
      <c r="CZ4" s="210">
        <v>154408</v>
      </c>
      <c r="DA4" s="208">
        <f t="shared" ref="DA4:DA17" si="27">((CZ4-CY4)/CY4)*100</f>
        <v>-7.5257225675853734</v>
      </c>
      <c r="DB4" s="210">
        <v>202710</v>
      </c>
      <c r="DC4" s="210">
        <v>154408</v>
      </c>
      <c r="DD4" s="208">
        <f t="shared" ref="DD4:DD17" si="28">((DC4-DB4)/DB4)*100</f>
        <v>-23.828128854027923</v>
      </c>
      <c r="DE4" s="73"/>
      <c r="DF4" s="159"/>
      <c r="DG4" s="159" t="s">
        <v>57</v>
      </c>
      <c r="DH4" s="160">
        <v>196767</v>
      </c>
      <c r="DI4" s="160">
        <v>202710</v>
      </c>
      <c r="DJ4" s="158">
        <f t="shared" ref="DJ4:DJ17" si="29">((DI4-DH4)/DH4)*100</f>
        <v>3.0203235298601898</v>
      </c>
      <c r="DK4" s="160">
        <v>161146</v>
      </c>
      <c r="DL4" s="160">
        <v>202710</v>
      </c>
      <c r="DM4" s="158">
        <f t="shared" ref="DM4:DM17" si="30">((DL4-DK4)/DK4)*100</f>
        <v>25.792759361076289</v>
      </c>
      <c r="DN4" s="155"/>
      <c r="DO4" s="103"/>
      <c r="DP4" s="103" t="s">
        <v>57</v>
      </c>
      <c r="DQ4" s="104">
        <v>165056</v>
      </c>
      <c r="DR4" s="104">
        <v>161146</v>
      </c>
      <c r="DS4" s="102">
        <f t="shared" ref="DS4:DS17" si="31">((DR4-DQ4)/DQ4)*100</f>
        <v>-2.3688929817758821</v>
      </c>
      <c r="DT4" s="104">
        <v>137599</v>
      </c>
      <c r="DU4" s="104">
        <v>161146</v>
      </c>
      <c r="DV4" s="102">
        <f t="shared" ref="DV4:DV17" si="32">((DU4-DT4)/DT4)*100</f>
        <v>17.112769714896185</v>
      </c>
      <c r="DW4" s="73"/>
      <c r="DX4" s="24"/>
      <c r="DY4" s="24" t="s">
        <v>57</v>
      </c>
      <c r="DZ4" s="123">
        <v>143435</v>
      </c>
      <c r="EA4" s="123">
        <v>137599</v>
      </c>
      <c r="EB4" s="122">
        <f t="shared" ref="EB4:EB17" si="33">((EA4-DZ4)/DZ4)*100</f>
        <v>-4.0687419388573227</v>
      </c>
      <c r="EC4" s="123">
        <v>104640</v>
      </c>
      <c r="ED4" s="123">
        <v>137599</v>
      </c>
      <c r="EE4" s="122">
        <f t="shared" ref="EE4:EE17" si="34">((ED4-EC4)/EC4)*100</f>
        <v>31.497515290519878</v>
      </c>
      <c r="EF4" s="73"/>
      <c r="EG4" s="103"/>
      <c r="EH4" s="103" t="s">
        <v>57</v>
      </c>
      <c r="EI4" s="104">
        <v>124353</v>
      </c>
      <c r="EJ4" s="104">
        <v>104640</v>
      </c>
      <c r="EK4" s="102">
        <f t="shared" ref="EK4:EK17" si="35">((EJ4-EI4)/EI4)*100</f>
        <v>-15.852452293068925</v>
      </c>
      <c r="EL4" s="105">
        <v>124807</v>
      </c>
      <c r="EM4" s="104">
        <v>104640</v>
      </c>
      <c r="EN4" s="102">
        <f t="shared" ref="EN4:EN17" si="36">((EM4-EL4)/EL4)*100</f>
        <v>-16.158548799346189</v>
      </c>
      <c r="EO4" s="61"/>
      <c r="EP4" s="77"/>
      <c r="EQ4" s="77" t="s">
        <v>57</v>
      </c>
      <c r="ER4" s="78">
        <v>125677</v>
      </c>
      <c r="ES4" s="78">
        <v>124807</v>
      </c>
      <c r="ET4" s="79">
        <f t="shared" si="2"/>
        <v>-0.69225076983059752</v>
      </c>
      <c r="EU4" s="80">
        <v>132566</v>
      </c>
      <c r="EV4" s="78">
        <v>124807</v>
      </c>
      <c r="EW4" s="79">
        <f t="shared" si="3"/>
        <v>-5.8529336330582504</v>
      </c>
      <c r="EX4" s="61"/>
      <c r="EY4" s="42" t="s">
        <v>1</v>
      </c>
      <c r="EZ4" s="43">
        <v>150672</v>
      </c>
      <c r="FA4" s="43">
        <v>116716</v>
      </c>
      <c r="FB4" s="44">
        <f>(FA4-EZ4)/EZ4*100</f>
        <v>-22.536370393968355</v>
      </c>
      <c r="FC4" s="45">
        <v>181763</v>
      </c>
      <c r="FD4" s="43">
        <v>116716</v>
      </c>
      <c r="FE4" s="44">
        <f>(FD4-FC4)/FC4*100</f>
        <v>-35.786711266869496</v>
      </c>
      <c r="FF4" s="53"/>
      <c r="FG4" s="24" t="s">
        <v>1</v>
      </c>
      <c r="FH4" s="25">
        <v>172235</v>
      </c>
      <c r="FI4" s="25">
        <v>187287</v>
      </c>
      <c r="FJ4" s="26">
        <f>(FI4-FH4)/FH4*100</f>
        <v>8.7392225738090392</v>
      </c>
      <c r="FK4" s="27">
        <v>167381</v>
      </c>
      <c r="FL4" s="25">
        <v>187287</v>
      </c>
      <c r="FM4" s="26">
        <f>(FL4-FK4)/FK4*100</f>
        <v>11.892628195553856</v>
      </c>
    </row>
    <row r="5" spans="1:169" x14ac:dyDescent="0.5">
      <c r="A5" s="307"/>
      <c r="B5" s="307" t="s">
        <v>58</v>
      </c>
      <c r="C5" s="266">
        <v>30431</v>
      </c>
      <c r="D5" s="309">
        <v>27091</v>
      </c>
      <c r="E5" s="308">
        <f t="shared" si="4"/>
        <v>-10.975649830764681</v>
      </c>
      <c r="F5" s="309">
        <v>32029</v>
      </c>
      <c r="G5" s="309">
        <v>27091</v>
      </c>
      <c r="H5" s="308">
        <f t="shared" si="5"/>
        <v>-15.417278091729369</v>
      </c>
      <c r="I5" s="307"/>
      <c r="J5" s="307" t="s">
        <v>58</v>
      </c>
      <c r="K5" s="266">
        <v>33340</v>
      </c>
      <c r="L5" s="309">
        <v>32029</v>
      </c>
      <c r="M5" s="308">
        <f t="shared" si="6"/>
        <v>-3.9322135572885419</v>
      </c>
      <c r="N5" s="309">
        <v>37936</v>
      </c>
      <c r="O5" s="309">
        <v>32029</v>
      </c>
      <c r="P5" s="308">
        <f t="shared" si="7"/>
        <v>-15.5709616195698</v>
      </c>
      <c r="Q5" s="307"/>
      <c r="R5" s="307" t="s">
        <v>58</v>
      </c>
      <c r="S5" s="309">
        <v>39738</v>
      </c>
      <c r="T5" s="309">
        <v>37936</v>
      </c>
      <c r="U5" s="308">
        <f t="shared" si="8"/>
        <v>-4.5347023000654278</v>
      </c>
      <c r="V5" s="309">
        <v>23584</v>
      </c>
      <c r="W5" s="309">
        <v>37936</v>
      </c>
      <c r="X5" s="308">
        <f t="shared" si="9"/>
        <v>60.854816824966072</v>
      </c>
      <c r="Y5" s="307"/>
      <c r="Z5" s="307" t="s">
        <v>58</v>
      </c>
      <c r="AA5" s="309">
        <v>30211</v>
      </c>
      <c r="AB5" s="309">
        <v>23584</v>
      </c>
      <c r="AC5" s="308">
        <f t="shared" si="10"/>
        <v>-21.935718777928571</v>
      </c>
      <c r="AD5" s="309">
        <v>36571</v>
      </c>
      <c r="AE5" s="309">
        <v>23584</v>
      </c>
      <c r="AF5" s="308">
        <f t="shared" si="11"/>
        <v>-35.511744278253261</v>
      </c>
      <c r="AG5" s="307"/>
      <c r="AH5" s="307" t="s">
        <v>58</v>
      </c>
      <c r="AI5" s="309">
        <v>35168</v>
      </c>
      <c r="AJ5" s="309">
        <v>36571</v>
      </c>
      <c r="AK5" s="308">
        <f t="shared" si="12"/>
        <v>3.9894222020018195</v>
      </c>
      <c r="AL5" s="309">
        <v>30030</v>
      </c>
      <c r="AM5" s="309">
        <v>36571</v>
      </c>
      <c r="AN5" s="308">
        <f t="shared" si="13"/>
        <v>21.78155178155178</v>
      </c>
      <c r="AO5" s="307"/>
      <c r="AP5" s="307" t="s">
        <v>58</v>
      </c>
      <c r="AQ5" s="309">
        <v>33936</v>
      </c>
      <c r="AR5" s="309">
        <v>30030</v>
      </c>
      <c r="AS5" s="308">
        <f t="shared" si="14"/>
        <v>-11.509900990099011</v>
      </c>
      <c r="AT5" s="309">
        <v>30911</v>
      </c>
      <c r="AU5" s="309">
        <v>30030</v>
      </c>
      <c r="AV5" s="308">
        <f t="shared" si="15"/>
        <v>-2.8501180809420594</v>
      </c>
      <c r="AW5" s="307"/>
      <c r="AX5" s="307" t="s">
        <v>58</v>
      </c>
      <c r="AY5" s="309">
        <v>35448</v>
      </c>
      <c r="AZ5" s="309">
        <v>30911</v>
      </c>
      <c r="BA5" s="308">
        <f t="shared" si="16"/>
        <v>-12.799029564432407</v>
      </c>
      <c r="BB5" s="309">
        <v>39673</v>
      </c>
      <c r="BC5" s="309">
        <v>30911</v>
      </c>
      <c r="BD5" s="308">
        <f t="shared" si="17"/>
        <v>-22.085549366067603</v>
      </c>
      <c r="BE5" s="307"/>
      <c r="BF5" s="307" t="s">
        <v>58</v>
      </c>
      <c r="BG5" s="309">
        <v>43116</v>
      </c>
      <c r="BH5" s="309">
        <v>39673</v>
      </c>
      <c r="BI5" s="308">
        <f t="shared" si="18"/>
        <v>-7.9854346414324153</v>
      </c>
      <c r="BJ5" s="251">
        <v>44539</v>
      </c>
      <c r="BK5" s="309">
        <v>39673</v>
      </c>
      <c r="BL5" s="308">
        <f t="shared" si="19"/>
        <v>-10.925256516760593</v>
      </c>
      <c r="BM5" s="307"/>
      <c r="BN5" s="307" t="s">
        <v>58</v>
      </c>
      <c r="BO5" s="309">
        <v>43773</v>
      </c>
      <c r="BP5" s="309">
        <v>44539</v>
      </c>
      <c r="BQ5" s="308">
        <f t="shared" si="20"/>
        <v>1.7499371758846776</v>
      </c>
      <c r="BR5" s="251">
        <v>41876</v>
      </c>
      <c r="BS5" s="309">
        <v>44539</v>
      </c>
      <c r="BT5" s="308">
        <f t="shared" si="21"/>
        <v>6.3592511223612576</v>
      </c>
      <c r="BV5" s="250"/>
      <c r="BW5" s="250" t="s">
        <v>58</v>
      </c>
      <c r="BX5" s="251" t="e">
        <f>ม.ค.!BX5</f>
        <v>#REF!</v>
      </c>
      <c r="BY5" s="251">
        <v>41876</v>
      </c>
      <c r="BZ5" s="249" t="e">
        <f t="shared" si="22"/>
        <v>#REF!</v>
      </c>
      <c r="CA5" s="251">
        <f>CK5</f>
        <v>37857</v>
      </c>
      <c r="CB5" s="251">
        <f t="shared" si="0"/>
        <v>41876</v>
      </c>
      <c r="CC5" s="249">
        <f t="shared" si="1"/>
        <v>10.61626647647727</v>
      </c>
      <c r="CD5" s="249"/>
      <c r="CF5" s="250" t="s">
        <v>58</v>
      </c>
      <c r="CG5" s="251">
        <v>38345</v>
      </c>
      <c r="CH5" s="251">
        <v>37857</v>
      </c>
      <c r="CI5" s="249">
        <f t="shared" si="23"/>
        <v>-1.2726561481288303</v>
      </c>
      <c r="CJ5" s="251">
        <v>30507</v>
      </c>
      <c r="CK5" s="251">
        <v>37857</v>
      </c>
      <c r="CL5" s="249">
        <f t="shared" si="24"/>
        <v>24.092831153505752</v>
      </c>
      <c r="CN5" s="250"/>
      <c r="CO5" s="250" t="s">
        <v>58</v>
      </c>
      <c r="CP5" s="251">
        <v>32477</v>
      </c>
      <c r="CQ5" s="251">
        <v>30507</v>
      </c>
      <c r="CR5" s="249">
        <f t="shared" si="25"/>
        <v>-6.0658312036210242</v>
      </c>
      <c r="CS5" s="251">
        <v>31237</v>
      </c>
      <c r="CT5" s="251">
        <v>30507</v>
      </c>
      <c r="CU5" s="249">
        <f t="shared" si="26"/>
        <v>-2.3369721804270576</v>
      </c>
      <c r="CV5" s="73"/>
      <c r="CW5" s="209"/>
      <c r="CX5" s="209" t="s">
        <v>58</v>
      </c>
      <c r="CY5" s="210">
        <v>26169</v>
      </c>
      <c r="CZ5" s="210">
        <v>31237</v>
      </c>
      <c r="DA5" s="208">
        <f t="shared" si="27"/>
        <v>19.366425923802975</v>
      </c>
      <c r="DB5" s="210">
        <v>22259</v>
      </c>
      <c r="DC5" s="210">
        <v>31237</v>
      </c>
      <c r="DD5" s="208">
        <f t="shared" si="28"/>
        <v>40.334246821510398</v>
      </c>
      <c r="DE5" s="73"/>
      <c r="DF5" s="159"/>
      <c r="DG5" s="159" t="s">
        <v>58</v>
      </c>
      <c r="DH5" s="160">
        <v>20083</v>
      </c>
      <c r="DI5" s="160">
        <v>22259</v>
      </c>
      <c r="DJ5" s="158">
        <f t="shared" si="29"/>
        <v>10.835034606383509</v>
      </c>
      <c r="DK5" s="160">
        <v>13199</v>
      </c>
      <c r="DL5" s="160">
        <v>22259</v>
      </c>
      <c r="DM5" s="158">
        <f t="shared" si="30"/>
        <v>68.641563754829917</v>
      </c>
      <c r="DN5" s="155"/>
      <c r="DO5" s="103"/>
      <c r="DP5" s="103" t="s">
        <v>58</v>
      </c>
      <c r="DQ5" s="104">
        <v>13297</v>
      </c>
      <c r="DR5" s="104">
        <v>13199</v>
      </c>
      <c r="DS5" s="102">
        <f t="shared" si="31"/>
        <v>-0.73700834774761226</v>
      </c>
      <c r="DT5" s="104">
        <v>12116</v>
      </c>
      <c r="DU5" s="104">
        <v>13199</v>
      </c>
      <c r="DV5" s="102">
        <f t="shared" si="32"/>
        <v>8.9385935952459548</v>
      </c>
      <c r="DW5" s="73"/>
      <c r="DX5" s="24"/>
      <c r="DY5" s="24" t="s">
        <v>58</v>
      </c>
      <c r="DZ5" s="123">
        <v>11667</v>
      </c>
      <c r="EA5" s="123">
        <v>12116</v>
      </c>
      <c r="EB5" s="122">
        <f t="shared" si="33"/>
        <v>3.848461472529356</v>
      </c>
      <c r="EC5" s="123">
        <v>15632</v>
      </c>
      <c r="ED5" s="123">
        <v>12116</v>
      </c>
      <c r="EE5" s="122">
        <f t="shared" si="34"/>
        <v>-22.492323439099284</v>
      </c>
      <c r="EF5" s="73"/>
      <c r="EG5" s="103"/>
      <c r="EH5" s="103" t="s">
        <v>58</v>
      </c>
      <c r="EI5" s="104">
        <v>14277</v>
      </c>
      <c r="EJ5" s="104">
        <v>15632</v>
      </c>
      <c r="EK5" s="102">
        <f t="shared" si="35"/>
        <v>9.4907893815227293</v>
      </c>
      <c r="EL5" s="109">
        <v>14102</v>
      </c>
      <c r="EM5" s="104">
        <v>15632</v>
      </c>
      <c r="EN5" s="102">
        <f t="shared" si="36"/>
        <v>10.849524890086512</v>
      </c>
      <c r="EO5" s="61"/>
      <c r="EP5" s="77"/>
      <c r="EQ5" s="77" t="s">
        <v>58</v>
      </c>
      <c r="ER5" s="78">
        <v>13155</v>
      </c>
      <c r="ES5" s="78">
        <v>14097</v>
      </c>
      <c r="ET5" s="79">
        <f t="shared" si="2"/>
        <v>7.1607753705815274</v>
      </c>
      <c r="EU5" s="81">
        <v>5327</v>
      </c>
      <c r="EV5" s="78">
        <v>14097</v>
      </c>
      <c r="EW5" s="79">
        <f t="shared" si="3"/>
        <v>164.6330016895063</v>
      </c>
      <c r="EX5" s="61"/>
      <c r="EY5" s="42" t="s">
        <v>2</v>
      </c>
      <c r="EZ5" s="43">
        <v>3653</v>
      </c>
      <c r="FA5" s="43">
        <v>5872</v>
      </c>
      <c r="FB5" s="44">
        <f>(FA5-EZ5)/EZ5*100</f>
        <v>60.744593484807005</v>
      </c>
      <c r="FC5" s="45">
        <v>14835</v>
      </c>
      <c r="FD5" s="43">
        <v>5872</v>
      </c>
      <c r="FE5" s="44">
        <f>(FD5-FC5)/FC5*100</f>
        <v>-60.417930569598923</v>
      </c>
      <c r="FF5" s="53"/>
      <c r="FG5" s="24" t="s">
        <v>2</v>
      </c>
      <c r="FH5" s="25">
        <v>12376</v>
      </c>
      <c r="FI5" s="25">
        <v>14835</v>
      </c>
      <c r="FJ5" s="26">
        <f>(FI5-FH5)/FH5*100</f>
        <v>19.869101486748544</v>
      </c>
      <c r="FK5" s="27">
        <v>10905</v>
      </c>
      <c r="FL5" s="25">
        <v>14835</v>
      </c>
      <c r="FM5" s="26">
        <f>(FL5-FK5)/FK5*100</f>
        <v>36.038514442916089</v>
      </c>
    </row>
    <row r="6" spans="1:169" x14ac:dyDescent="0.5">
      <c r="A6" s="307"/>
      <c r="B6" s="307" t="s">
        <v>763</v>
      </c>
      <c r="C6" s="266">
        <v>100</v>
      </c>
      <c r="D6" s="309">
        <v>0</v>
      </c>
      <c r="E6" s="308">
        <f t="shared" si="4"/>
        <v>-100</v>
      </c>
      <c r="F6" s="309">
        <v>0</v>
      </c>
      <c r="G6" s="309">
        <v>0</v>
      </c>
      <c r="H6" s="308">
        <v>0</v>
      </c>
      <c r="I6" s="307"/>
      <c r="J6" s="307" t="s">
        <v>763</v>
      </c>
      <c r="K6" s="266">
        <v>0</v>
      </c>
      <c r="L6" s="309">
        <v>0</v>
      </c>
      <c r="M6" s="308" t="e">
        <f t="shared" si="6"/>
        <v>#DIV/0!</v>
      </c>
      <c r="N6" s="309">
        <v>0</v>
      </c>
      <c r="O6" s="309">
        <v>0</v>
      </c>
      <c r="P6" s="308">
        <v>0</v>
      </c>
      <c r="Q6" s="307"/>
      <c r="R6" s="307" t="s">
        <v>763</v>
      </c>
      <c r="S6" s="309">
        <v>100</v>
      </c>
      <c r="T6" s="309">
        <v>0</v>
      </c>
      <c r="U6" s="308">
        <f t="shared" si="8"/>
        <v>-100</v>
      </c>
      <c r="V6" s="309">
        <v>0</v>
      </c>
      <c r="W6" s="309">
        <v>0</v>
      </c>
      <c r="X6" s="308">
        <v>0</v>
      </c>
      <c r="Y6" s="307"/>
      <c r="Z6" s="307"/>
      <c r="AA6" s="309"/>
      <c r="AB6" s="309"/>
      <c r="AC6" s="308"/>
      <c r="AD6" s="309"/>
      <c r="AE6" s="309"/>
      <c r="AF6" s="308"/>
      <c r="AG6" s="307"/>
      <c r="AH6" s="307"/>
      <c r="AI6" s="309"/>
      <c r="AJ6" s="309"/>
      <c r="AK6" s="308"/>
      <c r="AL6" s="309"/>
      <c r="AM6" s="309"/>
      <c r="AN6" s="308"/>
      <c r="AO6" s="307"/>
      <c r="AP6" s="307"/>
      <c r="AQ6" s="309"/>
      <c r="AR6" s="309"/>
      <c r="AS6" s="308"/>
      <c r="AT6" s="309"/>
      <c r="AU6" s="309"/>
      <c r="AV6" s="308"/>
      <c r="AW6" s="307"/>
      <c r="AX6" s="307"/>
      <c r="AY6" s="309"/>
      <c r="AZ6" s="309"/>
      <c r="BA6" s="308"/>
      <c r="BB6" s="309"/>
      <c r="BC6" s="309"/>
      <c r="BD6" s="308"/>
      <c r="BE6" s="307"/>
      <c r="BF6" s="307"/>
      <c r="BG6" s="309"/>
      <c r="BH6" s="309"/>
      <c r="BI6" s="308"/>
      <c r="BJ6" s="251"/>
      <c r="BK6" s="309"/>
      <c r="BL6" s="308"/>
      <c r="BM6" s="307"/>
      <c r="BN6" s="307"/>
      <c r="BO6" s="309"/>
      <c r="BP6" s="309"/>
      <c r="BQ6" s="308"/>
      <c r="BR6" s="251"/>
      <c r="BS6" s="309"/>
      <c r="BT6" s="308"/>
      <c r="BV6" s="250"/>
      <c r="BW6" s="250"/>
      <c r="BX6" s="251"/>
      <c r="BY6" s="251"/>
      <c r="BZ6" s="249"/>
      <c r="CA6" s="251"/>
      <c r="CB6" s="251"/>
      <c r="CC6" s="249"/>
      <c r="CD6" s="249"/>
      <c r="CF6" s="250"/>
      <c r="CG6" s="251"/>
      <c r="CH6" s="251"/>
      <c r="CI6" s="249"/>
      <c r="CJ6" s="251"/>
      <c r="CK6" s="251"/>
      <c r="CL6" s="249"/>
      <c r="CN6" s="250"/>
      <c r="CO6" s="250"/>
      <c r="CP6" s="251"/>
      <c r="CQ6" s="251"/>
      <c r="CR6" s="249"/>
      <c r="CS6" s="251"/>
      <c r="CT6" s="251"/>
      <c r="CU6" s="249"/>
      <c r="CV6" s="73"/>
      <c r="CW6" s="209"/>
      <c r="CX6" s="209"/>
      <c r="CY6" s="210"/>
      <c r="CZ6" s="210"/>
      <c r="DA6" s="208"/>
      <c r="DB6" s="210"/>
      <c r="DC6" s="210"/>
      <c r="DD6" s="208"/>
      <c r="DE6" s="73"/>
      <c r="DF6" s="159"/>
      <c r="DG6" s="159"/>
      <c r="DH6" s="160"/>
      <c r="DI6" s="160"/>
      <c r="DJ6" s="158"/>
      <c r="DK6" s="160"/>
      <c r="DL6" s="160"/>
      <c r="DM6" s="158"/>
      <c r="DN6" s="155"/>
      <c r="DO6" s="103"/>
      <c r="DP6" s="103"/>
      <c r="DQ6" s="104"/>
      <c r="DR6" s="104"/>
      <c r="DS6" s="102"/>
      <c r="DT6" s="104"/>
      <c r="DU6" s="104"/>
      <c r="DV6" s="102"/>
      <c r="DW6" s="73"/>
      <c r="DX6" s="24"/>
      <c r="DY6" s="24"/>
      <c r="DZ6" s="123"/>
      <c r="EA6" s="123"/>
      <c r="EB6" s="122"/>
      <c r="EC6" s="123"/>
      <c r="ED6" s="123"/>
      <c r="EE6" s="122"/>
      <c r="EF6" s="73"/>
      <c r="EG6" s="103"/>
      <c r="EH6" s="103"/>
      <c r="EI6" s="104"/>
      <c r="EJ6" s="104"/>
      <c r="EK6" s="102"/>
      <c r="EL6" s="109"/>
      <c r="EM6" s="104"/>
      <c r="EN6" s="102"/>
      <c r="EO6" s="61"/>
      <c r="EP6" s="77"/>
      <c r="EQ6" s="77"/>
      <c r="ER6" s="78"/>
      <c r="ES6" s="78"/>
      <c r="ET6" s="79"/>
      <c r="EU6" s="81"/>
      <c r="EV6" s="78"/>
      <c r="EW6" s="79"/>
      <c r="EX6" s="61"/>
      <c r="EY6" s="42"/>
      <c r="EZ6" s="43"/>
      <c r="FA6" s="43"/>
      <c r="FB6" s="44"/>
      <c r="FC6" s="45"/>
      <c r="FD6" s="43"/>
      <c r="FE6" s="44"/>
      <c r="FF6" s="53"/>
      <c r="FG6" s="24"/>
      <c r="FH6" s="25"/>
      <c r="FI6" s="25"/>
      <c r="FJ6" s="26"/>
      <c r="FK6" s="27"/>
      <c r="FL6" s="25"/>
      <c r="FM6" s="26"/>
    </row>
    <row r="7" spans="1:169" x14ac:dyDescent="0.5">
      <c r="A7" s="307"/>
      <c r="B7" s="307" t="s">
        <v>808</v>
      </c>
      <c r="C7" s="266">
        <v>5528</v>
      </c>
      <c r="D7" s="309">
        <v>5698</v>
      </c>
      <c r="E7" s="308">
        <f t="shared" si="4"/>
        <v>3.0752532561505062</v>
      </c>
      <c r="F7" s="309">
        <v>5020</v>
      </c>
      <c r="G7" s="309">
        <v>5698</v>
      </c>
      <c r="H7" s="308">
        <f t="shared" si="5"/>
        <v>13.50597609561753</v>
      </c>
      <c r="I7" s="307"/>
      <c r="J7" s="307" t="s">
        <v>808</v>
      </c>
      <c r="K7" s="266">
        <v>7434</v>
      </c>
      <c r="L7" s="309">
        <v>5020</v>
      </c>
      <c r="M7" s="308">
        <f t="shared" si="6"/>
        <v>-32.472423997847727</v>
      </c>
      <c r="N7" s="309">
        <v>0</v>
      </c>
      <c r="O7" s="309">
        <v>5020</v>
      </c>
      <c r="P7" s="308">
        <v>0</v>
      </c>
      <c r="Q7" s="307"/>
      <c r="R7" s="307"/>
      <c r="S7" s="309"/>
      <c r="T7" s="309"/>
      <c r="U7" s="308"/>
      <c r="V7" s="309"/>
      <c r="W7" s="309"/>
      <c r="X7" s="308"/>
      <c r="Y7" s="307"/>
      <c r="Z7" s="307"/>
      <c r="AA7" s="309"/>
      <c r="AB7" s="309"/>
      <c r="AC7" s="308"/>
      <c r="AD7" s="309"/>
      <c r="AE7" s="309"/>
      <c r="AF7" s="308"/>
      <c r="AG7" s="307"/>
      <c r="AH7" s="307"/>
      <c r="AI7" s="309"/>
      <c r="AJ7" s="309"/>
      <c r="AK7" s="308"/>
      <c r="AL7" s="309"/>
      <c r="AM7" s="309"/>
      <c r="AN7" s="308"/>
      <c r="AO7" s="307"/>
      <c r="AP7" s="307"/>
      <c r="AQ7" s="309"/>
      <c r="AR7" s="309"/>
      <c r="AS7" s="308"/>
      <c r="AT7" s="309"/>
      <c r="AU7" s="309"/>
      <c r="AV7" s="308"/>
      <c r="AW7" s="307"/>
      <c r="AX7" s="307"/>
      <c r="AY7" s="309"/>
      <c r="AZ7" s="309"/>
      <c r="BA7" s="308"/>
      <c r="BB7" s="309"/>
      <c r="BC7" s="309"/>
      <c r="BD7" s="308"/>
      <c r="BE7" s="307"/>
      <c r="BF7" s="307"/>
      <c r="BG7" s="309"/>
      <c r="BH7" s="309"/>
      <c r="BI7" s="308"/>
      <c r="BJ7" s="251"/>
      <c r="BK7" s="309"/>
      <c r="BL7" s="308"/>
      <c r="BM7" s="307"/>
      <c r="BN7" s="307"/>
      <c r="BO7" s="309"/>
      <c r="BP7" s="309"/>
      <c r="BQ7" s="308"/>
      <c r="BR7" s="251"/>
      <c r="BS7" s="309"/>
      <c r="BT7" s="308"/>
      <c r="BV7" s="250"/>
      <c r="BW7" s="250"/>
      <c r="BX7" s="251"/>
      <c r="BY7" s="251"/>
      <c r="BZ7" s="249"/>
      <c r="CA7" s="251"/>
      <c r="CB7" s="251"/>
      <c r="CC7" s="249"/>
      <c r="CD7" s="249"/>
      <c r="CF7" s="250"/>
      <c r="CG7" s="251"/>
      <c r="CH7" s="251"/>
      <c r="CI7" s="249"/>
      <c r="CJ7" s="251"/>
      <c r="CK7" s="251"/>
      <c r="CL7" s="249"/>
      <c r="CN7" s="250"/>
      <c r="CO7" s="250"/>
      <c r="CP7" s="251"/>
      <c r="CQ7" s="251"/>
      <c r="CR7" s="249"/>
      <c r="CS7" s="251"/>
      <c r="CT7" s="251"/>
      <c r="CU7" s="249"/>
      <c r="CV7" s="73"/>
      <c r="CW7" s="209"/>
      <c r="CX7" s="209"/>
      <c r="CY7" s="210"/>
      <c r="CZ7" s="210"/>
      <c r="DA7" s="208"/>
      <c r="DB7" s="210"/>
      <c r="DC7" s="210"/>
      <c r="DD7" s="208"/>
      <c r="DE7" s="73"/>
      <c r="DF7" s="159"/>
      <c r="DG7" s="159"/>
      <c r="DH7" s="160"/>
      <c r="DI7" s="160"/>
      <c r="DJ7" s="158"/>
      <c r="DK7" s="160"/>
      <c r="DL7" s="160"/>
      <c r="DM7" s="158"/>
      <c r="DN7" s="155"/>
      <c r="DO7" s="103"/>
      <c r="DP7" s="103"/>
      <c r="DQ7" s="104"/>
      <c r="DR7" s="104"/>
      <c r="DS7" s="102"/>
      <c r="DT7" s="104"/>
      <c r="DU7" s="104"/>
      <c r="DV7" s="102"/>
      <c r="DW7" s="73"/>
      <c r="DX7" s="24"/>
      <c r="DY7" s="24"/>
      <c r="DZ7" s="123"/>
      <c r="EA7" s="123"/>
      <c r="EB7" s="122"/>
      <c r="EC7" s="123"/>
      <c r="ED7" s="123"/>
      <c r="EE7" s="122"/>
      <c r="EF7" s="73"/>
      <c r="EG7" s="103"/>
      <c r="EH7" s="103"/>
      <c r="EI7" s="104"/>
      <c r="EJ7" s="104"/>
      <c r="EK7" s="102"/>
      <c r="EL7" s="109"/>
      <c r="EM7" s="104"/>
      <c r="EN7" s="102"/>
      <c r="EO7" s="61"/>
      <c r="EP7" s="77"/>
      <c r="EQ7" s="77"/>
      <c r="ER7" s="78"/>
      <c r="ES7" s="78"/>
      <c r="ET7" s="79"/>
      <c r="EU7" s="81"/>
      <c r="EV7" s="78"/>
      <c r="EW7" s="79"/>
      <c r="EX7" s="61"/>
      <c r="EY7" s="42"/>
      <c r="EZ7" s="43"/>
      <c r="FA7" s="43"/>
      <c r="FB7" s="44"/>
      <c r="FC7" s="45"/>
      <c r="FD7" s="43"/>
      <c r="FE7" s="44"/>
      <c r="FF7" s="53"/>
      <c r="FG7" s="24"/>
      <c r="FH7" s="25"/>
      <c r="FI7" s="25"/>
      <c r="FJ7" s="26"/>
      <c r="FK7" s="27"/>
      <c r="FL7" s="25"/>
      <c r="FM7" s="26"/>
    </row>
    <row r="8" spans="1:169" x14ac:dyDescent="0.5">
      <c r="A8" s="307" t="s">
        <v>1</v>
      </c>
      <c r="B8" s="307"/>
      <c r="C8" s="267">
        <v>156350</v>
      </c>
      <c r="D8" s="267">
        <v>147563</v>
      </c>
      <c r="E8" s="308">
        <f t="shared" si="4"/>
        <v>-5.6200831467860572</v>
      </c>
      <c r="F8" s="267">
        <v>143663</v>
      </c>
      <c r="G8" s="267">
        <v>147563</v>
      </c>
      <c r="H8" s="308">
        <f t="shared" ref="H8" si="37">((G8-F8)/F8)*100</f>
        <v>2.714686453714596</v>
      </c>
      <c r="I8" s="307" t="s">
        <v>1</v>
      </c>
      <c r="J8" s="307"/>
      <c r="K8" s="267">
        <v>154003</v>
      </c>
      <c r="L8" s="267">
        <v>143663</v>
      </c>
      <c r="M8" s="308">
        <f t="shared" si="6"/>
        <v>-6.714154919060018</v>
      </c>
      <c r="N8" s="267">
        <v>162847</v>
      </c>
      <c r="O8" s="267">
        <v>143663</v>
      </c>
      <c r="P8" s="308">
        <f t="shared" ref="P8" si="38">((O8-N8)/N8)*100</f>
        <v>-11.780382813315567</v>
      </c>
      <c r="Q8" s="307" t="s">
        <v>1</v>
      </c>
      <c r="R8" s="307"/>
      <c r="S8" s="267">
        <v>159257</v>
      </c>
      <c r="T8" s="267">
        <v>162847</v>
      </c>
      <c r="U8" s="308">
        <f t="shared" si="8"/>
        <v>2.2542180249533774</v>
      </c>
      <c r="V8" s="267">
        <v>149124</v>
      </c>
      <c r="W8" s="267">
        <v>162847</v>
      </c>
      <c r="X8" s="308">
        <f t="shared" si="9"/>
        <v>9.202408733671307</v>
      </c>
      <c r="Y8" s="307" t="s">
        <v>1</v>
      </c>
      <c r="Z8" s="307"/>
      <c r="AA8" s="267">
        <v>145095</v>
      </c>
      <c r="AB8" s="267">
        <v>149124</v>
      </c>
      <c r="AC8" s="308">
        <f t="shared" si="10"/>
        <v>2.7768014059753954</v>
      </c>
      <c r="AD8" s="267">
        <v>130130</v>
      </c>
      <c r="AE8" s="267">
        <v>149124</v>
      </c>
      <c r="AF8" s="308">
        <f t="shared" si="11"/>
        <v>14.596173057711519</v>
      </c>
      <c r="AG8" s="307" t="s">
        <v>1</v>
      </c>
      <c r="AH8" s="307"/>
      <c r="AI8" s="267">
        <v>135641</v>
      </c>
      <c r="AJ8" s="267">
        <v>130130</v>
      </c>
      <c r="AK8" s="308">
        <f t="shared" si="12"/>
        <v>-4.0629308247506284</v>
      </c>
      <c r="AL8" s="267">
        <v>138998</v>
      </c>
      <c r="AM8" s="267">
        <v>130130</v>
      </c>
      <c r="AN8" s="308">
        <f t="shared" si="13"/>
        <v>-6.3799479129196106</v>
      </c>
      <c r="AO8" s="307" t="s">
        <v>1</v>
      </c>
      <c r="AP8" s="307"/>
      <c r="AQ8" s="267">
        <v>144992</v>
      </c>
      <c r="AR8" s="267">
        <v>138998</v>
      </c>
      <c r="AS8" s="308">
        <f t="shared" si="14"/>
        <v>-4.134021187375855</v>
      </c>
      <c r="AT8" s="267">
        <v>145355</v>
      </c>
      <c r="AU8" s="267">
        <v>138998</v>
      </c>
      <c r="AV8" s="308">
        <f t="shared" si="15"/>
        <v>-4.3734305665439788</v>
      </c>
      <c r="AW8" s="307" t="s">
        <v>1</v>
      </c>
      <c r="AX8" s="307"/>
      <c r="AY8" s="267">
        <v>148917</v>
      </c>
      <c r="AZ8" s="267">
        <v>145355</v>
      </c>
      <c r="BA8" s="308">
        <f t="shared" si="16"/>
        <v>-2.3919364478199268</v>
      </c>
      <c r="BB8" s="267">
        <v>145429</v>
      </c>
      <c r="BC8" s="267">
        <v>145355</v>
      </c>
      <c r="BD8" s="308">
        <f t="shared" si="17"/>
        <v>-5.0883936491346295E-2</v>
      </c>
      <c r="BE8" s="307" t="s">
        <v>1</v>
      </c>
      <c r="BF8" s="307"/>
      <c r="BG8" s="267">
        <v>155088</v>
      </c>
      <c r="BH8" s="267">
        <v>145429</v>
      </c>
      <c r="BI8" s="308">
        <f t="shared" si="18"/>
        <v>-6.2280769627566279</v>
      </c>
      <c r="BJ8" s="267">
        <v>150525</v>
      </c>
      <c r="BK8" s="267">
        <v>145429</v>
      </c>
      <c r="BL8" s="308">
        <f t="shared" si="19"/>
        <v>-3.3854841388473673</v>
      </c>
      <c r="BM8" s="307" t="s">
        <v>1</v>
      </c>
      <c r="BN8" s="307"/>
      <c r="BO8" s="267">
        <v>147224</v>
      </c>
      <c r="BP8" s="267">
        <v>150525</v>
      </c>
      <c r="BQ8" s="308">
        <f t="shared" si="20"/>
        <v>2.2421616040862902</v>
      </c>
      <c r="BR8" s="267">
        <v>131748</v>
      </c>
      <c r="BS8" s="267">
        <v>150525</v>
      </c>
      <c r="BT8" s="308">
        <f t="shared" si="21"/>
        <v>14.252208762182347</v>
      </c>
      <c r="BV8" s="247" t="s">
        <v>1</v>
      </c>
      <c r="BW8" s="247"/>
      <c r="BX8" s="248">
        <f>ม.ค.!BX7</f>
        <v>154643</v>
      </c>
      <c r="BY8" s="248">
        <v>125874</v>
      </c>
      <c r="BZ8" s="249">
        <f t="shared" si="22"/>
        <v>-18.603493206934683</v>
      </c>
      <c r="CA8" s="248">
        <v>152037</v>
      </c>
      <c r="CB8" s="248">
        <f t="shared" si="0"/>
        <v>125874</v>
      </c>
      <c r="CC8" s="249">
        <f t="shared" si="1"/>
        <v>-17.208311134789557</v>
      </c>
      <c r="CD8" s="249"/>
      <c r="CF8" s="247"/>
      <c r="CG8" s="248">
        <v>142929</v>
      </c>
      <c r="CH8" s="248">
        <v>152037</v>
      </c>
      <c r="CI8" s="249">
        <f t="shared" si="23"/>
        <v>6.372394685473207</v>
      </c>
      <c r="CJ8" s="248">
        <f>CJ9+CJ10+CJ11</f>
        <v>150161</v>
      </c>
      <c r="CK8" s="248">
        <v>152037</v>
      </c>
      <c r="CL8" s="249">
        <f t="shared" si="24"/>
        <v>1.2493257237232036</v>
      </c>
      <c r="CN8" s="247" t="s">
        <v>1</v>
      </c>
      <c r="CO8" s="247"/>
      <c r="CP8" s="248">
        <f>SUM(CP9:CP11)</f>
        <v>125605</v>
      </c>
      <c r="CQ8" s="248">
        <f>SUM(CQ9:CQ11)</f>
        <v>150160</v>
      </c>
      <c r="CR8" s="249">
        <f t="shared" si="25"/>
        <v>19.549380995979458</v>
      </c>
      <c r="CS8" s="248">
        <f>SUM(CS9:CS11)</f>
        <v>177736</v>
      </c>
      <c r="CT8" s="248">
        <f>SUM(CT9:CT11)</f>
        <v>150160</v>
      </c>
      <c r="CU8" s="249">
        <f t="shared" si="26"/>
        <v>-15.515146059323943</v>
      </c>
      <c r="CV8" s="73"/>
      <c r="CW8" s="206" t="s">
        <v>1</v>
      </c>
      <c r="CX8" s="206"/>
      <c r="CY8" s="207">
        <f>SUM(CY9:CY11)</f>
        <v>180253</v>
      </c>
      <c r="CZ8" s="207">
        <f>SUM(CZ9:CZ11)</f>
        <v>177736</v>
      </c>
      <c r="DA8" s="208">
        <f t="shared" si="27"/>
        <v>-1.3963706567990546</v>
      </c>
      <c r="DB8" s="207">
        <f>SUM(DB9:DB11)</f>
        <v>178619</v>
      </c>
      <c r="DC8" s="207">
        <f>SUM(DC9:DC11)</f>
        <v>177736</v>
      </c>
      <c r="DD8" s="208">
        <f t="shared" si="28"/>
        <v>-0.49434830561138515</v>
      </c>
      <c r="DE8" s="73"/>
      <c r="DF8" s="156" t="s">
        <v>1</v>
      </c>
      <c r="DG8" s="156"/>
      <c r="DH8" s="157">
        <f>SUM(DH9:DH11)</f>
        <v>150033</v>
      </c>
      <c r="DI8" s="157">
        <f>SUM(DI9:DI11)</f>
        <v>178619</v>
      </c>
      <c r="DJ8" s="158">
        <f t="shared" si="29"/>
        <v>19.053141642172054</v>
      </c>
      <c r="DK8" s="157">
        <f>SUM(DK9:DK11)</f>
        <v>167331</v>
      </c>
      <c r="DL8" s="157">
        <f>SUM(DL9:DL11)</f>
        <v>178619</v>
      </c>
      <c r="DM8" s="158">
        <f t="shared" si="30"/>
        <v>6.7459107995529815</v>
      </c>
      <c r="DN8" s="155"/>
      <c r="DO8" s="100" t="s">
        <v>1</v>
      </c>
      <c r="DP8" s="100"/>
      <c r="DQ8" s="101">
        <v>161573</v>
      </c>
      <c r="DR8" s="101">
        <f>SUM(DR9:DR11)</f>
        <v>167298</v>
      </c>
      <c r="DS8" s="102">
        <f t="shared" si="31"/>
        <v>3.5432900298936088</v>
      </c>
      <c r="DT8" s="101">
        <v>143683</v>
      </c>
      <c r="DU8" s="101">
        <v>167298</v>
      </c>
      <c r="DV8" s="102">
        <f t="shared" si="32"/>
        <v>16.435486452816271</v>
      </c>
      <c r="DW8" s="73"/>
      <c r="DX8" s="120" t="s">
        <v>1</v>
      </c>
      <c r="DY8" s="120"/>
      <c r="DZ8" s="121">
        <f>SUM(DZ9:DZ11)</f>
        <v>153312</v>
      </c>
      <c r="EA8" s="121">
        <f>SUM(EA9:EA11)</f>
        <v>143683</v>
      </c>
      <c r="EB8" s="122">
        <f t="shared" si="33"/>
        <v>-6.2806564391567523</v>
      </c>
      <c r="EC8" s="121">
        <v>119477</v>
      </c>
      <c r="ED8" s="121">
        <v>143683</v>
      </c>
      <c r="EE8" s="122">
        <f t="shared" si="34"/>
        <v>20.259966353356713</v>
      </c>
      <c r="EF8" s="73"/>
      <c r="EG8" s="100" t="s">
        <v>1</v>
      </c>
      <c r="EH8" s="100"/>
      <c r="EI8" s="101">
        <f>SUM(EI9:EI11)</f>
        <v>109940</v>
      </c>
      <c r="EJ8" s="101">
        <f>SUM(EJ9:EJ11)</f>
        <v>119477</v>
      </c>
      <c r="EK8" s="102">
        <f t="shared" si="35"/>
        <v>8.674731671820993</v>
      </c>
      <c r="EL8" s="101">
        <f>SUM(EL9:EL11)</f>
        <v>140217</v>
      </c>
      <c r="EM8" s="101">
        <v>119477</v>
      </c>
      <c r="EN8" s="102">
        <f t="shared" si="36"/>
        <v>-14.791359107668828</v>
      </c>
      <c r="EO8" s="73"/>
      <c r="EP8" s="74" t="s">
        <v>1</v>
      </c>
      <c r="EQ8" s="74"/>
      <c r="ER8" s="75">
        <f>SUM(ER9:ER11)</f>
        <v>143207</v>
      </c>
      <c r="ES8" s="75">
        <f>SUM(ES9:ES11)</f>
        <v>147104</v>
      </c>
      <c r="ET8" s="76">
        <f t="shared" si="2"/>
        <v>2.7212356937859181</v>
      </c>
      <c r="EU8" s="75">
        <f>SUM(EU9:EU11)</f>
        <v>136158</v>
      </c>
      <c r="EV8" s="75">
        <f>SUM(EV9:EV11)</f>
        <v>147104</v>
      </c>
      <c r="EW8" s="76">
        <f t="shared" si="3"/>
        <v>8.0391897648320327</v>
      </c>
      <c r="EX8" s="73"/>
    </row>
    <row r="9" spans="1:169" x14ac:dyDescent="0.5">
      <c r="A9" s="307"/>
      <c r="B9" s="307" t="s">
        <v>521</v>
      </c>
      <c r="C9" s="266">
        <v>0</v>
      </c>
      <c r="D9" s="309">
        <v>0</v>
      </c>
      <c r="E9" s="308">
        <v>0</v>
      </c>
      <c r="F9" s="309">
        <v>0</v>
      </c>
      <c r="G9" s="309">
        <v>0</v>
      </c>
      <c r="H9" s="308">
        <v>0</v>
      </c>
      <c r="I9" s="307"/>
      <c r="J9" s="307" t="s">
        <v>521</v>
      </c>
      <c r="K9" s="266">
        <v>0</v>
      </c>
      <c r="L9" s="309">
        <v>0</v>
      </c>
      <c r="M9" s="308">
        <v>0</v>
      </c>
      <c r="N9" s="309">
        <v>0</v>
      </c>
      <c r="O9" s="309">
        <v>0</v>
      </c>
      <c r="P9" s="308">
        <v>0</v>
      </c>
      <c r="Q9" s="307"/>
      <c r="R9" s="307" t="s">
        <v>521</v>
      </c>
      <c r="S9" s="309">
        <v>0</v>
      </c>
      <c r="T9" s="309">
        <v>0</v>
      </c>
      <c r="U9" s="308">
        <v>0</v>
      </c>
      <c r="V9" s="309">
        <v>0</v>
      </c>
      <c r="W9" s="309">
        <v>0</v>
      </c>
      <c r="X9" s="308">
        <v>0</v>
      </c>
      <c r="Y9" s="307"/>
      <c r="Z9" s="307" t="s">
        <v>521</v>
      </c>
      <c r="AA9" s="309">
        <v>0</v>
      </c>
      <c r="AB9" s="309">
        <v>0</v>
      </c>
      <c r="AC9" s="308">
        <v>0</v>
      </c>
      <c r="AD9" s="309">
        <v>0</v>
      </c>
      <c r="AE9" s="309">
        <v>0</v>
      </c>
      <c r="AF9" s="308">
        <v>0</v>
      </c>
      <c r="AG9" s="307"/>
      <c r="AH9" s="307" t="s">
        <v>521</v>
      </c>
      <c r="AI9" s="309" t="s">
        <v>530</v>
      </c>
      <c r="AJ9" s="309">
        <v>0</v>
      </c>
      <c r="AK9" s="308">
        <v>0</v>
      </c>
      <c r="AL9" s="309" t="s">
        <v>530</v>
      </c>
      <c r="AM9" s="309">
        <v>0</v>
      </c>
      <c r="AN9" s="308">
        <v>0</v>
      </c>
      <c r="AO9" s="307"/>
      <c r="AP9" s="307" t="s">
        <v>521</v>
      </c>
      <c r="AQ9" s="309" t="s">
        <v>530</v>
      </c>
      <c r="AR9" s="309" t="s">
        <v>530</v>
      </c>
      <c r="AS9" s="308">
        <v>0</v>
      </c>
      <c r="AT9" s="309" t="s">
        <v>530</v>
      </c>
      <c r="AU9" s="309" t="s">
        <v>530</v>
      </c>
      <c r="AV9" s="308">
        <v>0</v>
      </c>
      <c r="AW9" s="307"/>
      <c r="AX9" s="307" t="s">
        <v>521</v>
      </c>
      <c r="AY9" s="309" t="s">
        <v>530</v>
      </c>
      <c r="AZ9" s="309" t="s">
        <v>530</v>
      </c>
      <c r="BA9" s="308">
        <v>0</v>
      </c>
      <c r="BB9" s="309">
        <v>19</v>
      </c>
      <c r="BC9" s="309" t="s">
        <v>530</v>
      </c>
      <c r="BD9" s="308">
        <f t="shared" si="17"/>
        <v>-100</v>
      </c>
      <c r="BE9" s="307"/>
      <c r="BF9" s="307" t="s">
        <v>521</v>
      </c>
      <c r="BG9" s="309">
        <v>1</v>
      </c>
      <c r="BH9" s="309">
        <v>19</v>
      </c>
      <c r="BI9" s="308">
        <f t="shared" si="18"/>
        <v>1800</v>
      </c>
      <c r="BJ9" s="309"/>
      <c r="BK9" s="309">
        <v>19</v>
      </c>
      <c r="BL9" s="308"/>
      <c r="BM9" s="307"/>
      <c r="BN9" s="307" t="s">
        <v>435</v>
      </c>
      <c r="BO9" s="309">
        <v>10</v>
      </c>
      <c r="BP9" s="309">
        <v>7</v>
      </c>
      <c r="BQ9" s="308">
        <f t="shared" si="20"/>
        <v>-30</v>
      </c>
      <c r="BR9" s="309">
        <v>16</v>
      </c>
      <c r="BS9" s="309">
        <v>7</v>
      </c>
      <c r="BT9" s="308">
        <f t="shared" si="21"/>
        <v>-56.25</v>
      </c>
      <c r="BV9" s="250"/>
      <c r="BW9" s="250" t="s">
        <v>57</v>
      </c>
      <c r="BX9" s="252">
        <f>ม.ค.!BX8</f>
        <v>77783</v>
      </c>
      <c r="BY9" s="252">
        <v>60811</v>
      </c>
      <c r="BZ9" s="249">
        <f t="shared" si="22"/>
        <v>-21.819677821631974</v>
      </c>
      <c r="CA9" s="252">
        <v>76026</v>
      </c>
      <c r="CB9" s="252">
        <f t="shared" si="0"/>
        <v>60811</v>
      </c>
      <c r="CC9" s="249">
        <f t="shared" si="1"/>
        <v>-20.012890326993396</v>
      </c>
      <c r="CD9" s="249"/>
      <c r="CF9" s="250" t="s">
        <v>57</v>
      </c>
      <c r="CG9" s="252">
        <v>72825</v>
      </c>
      <c r="CH9" s="252">
        <v>75990</v>
      </c>
      <c r="CI9" s="249">
        <f t="shared" si="23"/>
        <v>4.3460350154479919</v>
      </c>
      <c r="CJ9" s="252">
        <v>73881</v>
      </c>
      <c r="CK9" s="252">
        <v>75990</v>
      </c>
      <c r="CL9" s="249">
        <f t="shared" si="24"/>
        <v>2.8545904901124781</v>
      </c>
      <c r="CN9" s="250"/>
      <c r="CO9" s="250" t="s">
        <v>57</v>
      </c>
      <c r="CP9" s="252">
        <v>66396</v>
      </c>
      <c r="CQ9" s="252">
        <v>72644</v>
      </c>
      <c r="CR9" s="249">
        <f t="shared" si="25"/>
        <v>9.4102054340622932</v>
      </c>
      <c r="CS9" s="252">
        <v>87013</v>
      </c>
      <c r="CT9" s="252">
        <v>72644</v>
      </c>
      <c r="CU9" s="249">
        <f t="shared" si="26"/>
        <v>-16.513624400951581</v>
      </c>
      <c r="CV9" s="73"/>
      <c r="CW9" s="209"/>
      <c r="CX9" s="209" t="s">
        <v>57</v>
      </c>
      <c r="CY9" s="211">
        <v>86632</v>
      </c>
      <c r="CZ9" s="211">
        <v>87013</v>
      </c>
      <c r="DA9" s="208">
        <f t="shared" si="27"/>
        <v>0.43979130113583897</v>
      </c>
      <c r="DB9" s="211">
        <v>83688</v>
      </c>
      <c r="DC9" s="211">
        <v>87013</v>
      </c>
      <c r="DD9" s="208">
        <f t="shared" si="28"/>
        <v>3.9730905267182868</v>
      </c>
      <c r="DE9" s="73"/>
      <c r="DF9" s="159"/>
      <c r="DG9" s="159" t="s">
        <v>57</v>
      </c>
      <c r="DH9" s="161">
        <v>67877</v>
      </c>
      <c r="DI9" s="161">
        <v>83015</v>
      </c>
      <c r="DJ9" s="158">
        <f t="shared" si="29"/>
        <v>22.30210527866582</v>
      </c>
      <c r="DK9" s="161">
        <v>79258</v>
      </c>
      <c r="DL9" s="161">
        <v>83015</v>
      </c>
      <c r="DM9" s="158">
        <f t="shared" si="30"/>
        <v>4.7402154987509144</v>
      </c>
      <c r="DN9" s="155"/>
      <c r="DO9" s="103"/>
      <c r="DP9" s="103" t="s">
        <v>57</v>
      </c>
      <c r="DQ9" s="105">
        <v>74161</v>
      </c>
      <c r="DR9" s="105">
        <v>79232</v>
      </c>
      <c r="DS9" s="102">
        <f t="shared" si="31"/>
        <v>6.8378258114103101</v>
      </c>
      <c r="DT9" s="105">
        <v>67443</v>
      </c>
      <c r="DU9" s="105">
        <v>79232</v>
      </c>
      <c r="DV9" s="102">
        <f t="shared" si="32"/>
        <v>17.479946028498141</v>
      </c>
      <c r="DW9" s="73"/>
      <c r="DX9" s="24"/>
      <c r="DY9" s="24" t="s">
        <v>57</v>
      </c>
      <c r="DZ9" s="25">
        <v>75930</v>
      </c>
      <c r="EA9" s="25">
        <v>67443</v>
      </c>
      <c r="EB9" s="122">
        <f t="shared" si="33"/>
        <v>-11.17740023706045</v>
      </c>
      <c r="EC9" s="25">
        <v>62520</v>
      </c>
      <c r="ED9" s="25">
        <v>67443</v>
      </c>
      <c r="EE9" s="122">
        <f t="shared" si="34"/>
        <v>7.8742802303262955</v>
      </c>
      <c r="EF9" s="73"/>
      <c r="EG9" s="103"/>
      <c r="EH9" s="103" t="s">
        <v>57</v>
      </c>
      <c r="EI9" s="105">
        <v>57809</v>
      </c>
      <c r="EJ9" s="105">
        <v>62520</v>
      </c>
      <c r="EK9" s="102">
        <f t="shared" si="35"/>
        <v>8.1492501167638256</v>
      </c>
      <c r="EL9" s="109">
        <v>75242</v>
      </c>
      <c r="EM9" s="105">
        <v>62520</v>
      </c>
      <c r="EN9" s="102">
        <f t="shared" si="36"/>
        <v>-16.90810983227453</v>
      </c>
      <c r="EO9" s="61"/>
      <c r="EP9" s="77"/>
      <c r="EQ9" s="77" t="s">
        <v>57</v>
      </c>
      <c r="ER9" s="80">
        <v>75305</v>
      </c>
      <c r="ES9" s="80">
        <v>78939</v>
      </c>
      <c r="ET9" s="79">
        <f t="shared" si="2"/>
        <v>4.8257087842772721</v>
      </c>
      <c r="EU9" s="81">
        <v>72483</v>
      </c>
      <c r="EV9" s="80">
        <v>78939</v>
      </c>
      <c r="EW9" s="79">
        <f t="shared" si="3"/>
        <v>8.9069161044658749</v>
      </c>
      <c r="EX9" s="61"/>
      <c r="EZ9" t="s">
        <v>46</v>
      </c>
      <c r="FH9" t="s">
        <v>10</v>
      </c>
    </row>
    <row r="10" spans="1:169" x14ac:dyDescent="0.5">
      <c r="A10" s="307"/>
      <c r="B10" s="307" t="s">
        <v>522</v>
      </c>
      <c r="C10" s="266">
        <v>55818</v>
      </c>
      <c r="D10" s="309">
        <v>48581</v>
      </c>
      <c r="E10" s="308">
        <f t="shared" ref="E10:E18" si="39">((D10-C10)/C10)*100</f>
        <v>-12.965351678669961</v>
      </c>
      <c r="F10" s="309">
        <v>53146</v>
      </c>
      <c r="G10" s="309">
        <v>48581</v>
      </c>
      <c r="H10" s="308">
        <f t="shared" ref="H10:H14" si="40">((G10-F10)/F10)*100</f>
        <v>-8.5895457795506704</v>
      </c>
      <c r="I10" s="307"/>
      <c r="J10" s="307" t="s">
        <v>522</v>
      </c>
      <c r="K10" s="266">
        <v>61601</v>
      </c>
      <c r="L10" s="309">
        <v>53146</v>
      </c>
      <c r="M10" s="308">
        <f t="shared" ref="M10:M18" si="41">((L10-K10)/K10)*100</f>
        <v>-13.725426535283519</v>
      </c>
      <c r="N10" s="309">
        <v>69931</v>
      </c>
      <c r="O10" s="309">
        <v>53146</v>
      </c>
      <c r="P10" s="308">
        <f t="shared" ref="P10:P14" si="42">((O10-N10)/N10)*100</f>
        <v>-24.002230770330755</v>
      </c>
      <c r="Q10" s="307"/>
      <c r="R10" s="307" t="s">
        <v>522</v>
      </c>
      <c r="S10" s="309">
        <v>70036</v>
      </c>
      <c r="T10" s="309">
        <v>69931</v>
      </c>
      <c r="U10" s="308">
        <f t="shared" ref="U10:U18" si="43">((T10-S10)/S10)*100</f>
        <v>-0.14992289679593351</v>
      </c>
      <c r="V10" s="309">
        <v>64868</v>
      </c>
      <c r="W10" s="309">
        <v>69931</v>
      </c>
      <c r="X10" s="308">
        <f t="shared" ref="X10:X14" si="44">((W10-V10)/V10)*100</f>
        <v>7.8050810877474257</v>
      </c>
      <c r="Y10" s="307"/>
      <c r="Z10" s="307" t="s">
        <v>522</v>
      </c>
      <c r="AA10" s="309">
        <v>67245</v>
      </c>
      <c r="AB10" s="309">
        <v>64868</v>
      </c>
      <c r="AC10" s="308">
        <f t="shared" ref="AC10:AC18" si="45">((AB10-AA10)/AA10)*100</f>
        <v>-3.5348353037400546</v>
      </c>
      <c r="AD10" s="309">
        <v>62096</v>
      </c>
      <c r="AE10" s="309">
        <v>64868</v>
      </c>
      <c r="AF10" s="308">
        <f t="shared" ref="AF10:AF14" si="46">((AE10-AD10)/AD10)*100</f>
        <v>4.4640556557588251</v>
      </c>
      <c r="AG10" s="307"/>
      <c r="AH10" s="307" t="s">
        <v>522</v>
      </c>
      <c r="AI10" s="309">
        <v>62235</v>
      </c>
      <c r="AJ10" s="309">
        <v>62096</v>
      </c>
      <c r="AK10" s="308">
        <f t="shared" ref="AK10:AK18" si="47">((AJ10-AI10)/AI10)*100</f>
        <v>-0.22334699124286977</v>
      </c>
      <c r="AL10" s="309">
        <v>67113</v>
      </c>
      <c r="AM10" s="309">
        <v>62096</v>
      </c>
      <c r="AN10" s="308">
        <f t="shared" ref="AN10:AN14" si="48">((AM10-AL10)/AL10)*100</f>
        <v>-7.475451849865153</v>
      </c>
      <c r="AO10" s="307"/>
      <c r="AP10" s="307" t="s">
        <v>522</v>
      </c>
      <c r="AQ10" s="309">
        <v>71875</v>
      </c>
      <c r="AR10" s="309">
        <v>67113</v>
      </c>
      <c r="AS10" s="308">
        <f t="shared" ref="AS10:AS18" si="49">((AR10-AQ10)/AQ10)*100</f>
        <v>-6.6253913043478256</v>
      </c>
      <c r="AT10" s="309">
        <v>75396</v>
      </c>
      <c r="AU10" s="309">
        <v>67113</v>
      </c>
      <c r="AV10" s="308">
        <f t="shared" si="15"/>
        <v>-10.985993951933789</v>
      </c>
      <c r="AW10" s="307"/>
      <c r="AX10" s="307" t="s">
        <v>522</v>
      </c>
      <c r="AY10" s="309">
        <v>77133</v>
      </c>
      <c r="AZ10" s="309">
        <v>75396</v>
      </c>
      <c r="BA10" s="308">
        <f t="shared" si="16"/>
        <v>-2.251954416397651</v>
      </c>
      <c r="BB10" s="309">
        <v>74859</v>
      </c>
      <c r="BC10" s="309">
        <v>75396</v>
      </c>
      <c r="BD10" s="308">
        <f t="shared" si="17"/>
        <v>0.71734861539694628</v>
      </c>
      <c r="BE10" s="307"/>
      <c r="BF10" s="307" t="s">
        <v>522</v>
      </c>
      <c r="BG10" s="309">
        <v>80691</v>
      </c>
      <c r="BH10" s="309">
        <v>74859</v>
      </c>
      <c r="BI10" s="308">
        <f t="shared" si="18"/>
        <v>-7.2275718481615057</v>
      </c>
      <c r="BJ10" s="309"/>
      <c r="BK10" s="309">
        <v>74859</v>
      </c>
      <c r="BL10" s="308"/>
      <c r="BM10" s="307"/>
      <c r="BN10" s="307" t="s">
        <v>436</v>
      </c>
      <c r="BO10" s="309">
        <v>124960</v>
      </c>
      <c r="BP10" s="309">
        <v>127112</v>
      </c>
      <c r="BQ10" s="308">
        <f t="shared" si="20"/>
        <v>1.7221510883482714</v>
      </c>
      <c r="BR10" s="309">
        <v>112241</v>
      </c>
      <c r="BS10" s="309">
        <v>127112</v>
      </c>
      <c r="BT10" s="308">
        <f t="shared" si="21"/>
        <v>13.249169198421255</v>
      </c>
      <c r="BV10" s="250"/>
      <c r="BW10" s="250" t="s">
        <v>59</v>
      </c>
      <c r="BX10" s="252">
        <f>ม.ค.!BX9</f>
        <v>53920</v>
      </c>
      <c r="BY10" s="252">
        <v>44901</v>
      </c>
      <c r="BZ10" s="249">
        <f t="shared" si="22"/>
        <v>-16.726632047477743</v>
      </c>
      <c r="CA10" s="252">
        <v>55152</v>
      </c>
      <c r="CB10" s="252">
        <f t="shared" si="0"/>
        <v>44901</v>
      </c>
      <c r="CC10" s="249">
        <f t="shared" si="1"/>
        <v>-18.586814621409921</v>
      </c>
      <c r="CD10" s="249"/>
      <c r="CF10" s="250" t="s">
        <v>59</v>
      </c>
      <c r="CG10" s="252">
        <v>50706</v>
      </c>
      <c r="CH10" s="252">
        <v>55143</v>
      </c>
      <c r="CI10" s="249">
        <f t="shared" si="23"/>
        <v>8.7504437344692931</v>
      </c>
      <c r="CJ10" s="252">
        <v>61227</v>
      </c>
      <c r="CK10" s="252">
        <v>55143</v>
      </c>
      <c r="CL10" s="249">
        <f t="shared" si="24"/>
        <v>-9.9367925915037478</v>
      </c>
      <c r="CN10" s="250"/>
      <c r="CO10" s="250" t="s">
        <v>59</v>
      </c>
      <c r="CP10" s="252">
        <v>47253</v>
      </c>
      <c r="CQ10" s="252">
        <v>61227</v>
      </c>
      <c r="CR10" s="249">
        <f t="shared" si="25"/>
        <v>29.572725541235478</v>
      </c>
      <c r="CS10" s="252">
        <v>79026</v>
      </c>
      <c r="CT10" s="252">
        <v>61227</v>
      </c>
      <c r="CU10" s="249">
        <f t="shared" si="26"/>
        <v>-22.522967124743758</v>
      </c>
      <c r="CV10" s="73"/>
      <c r="CW10" s="209"/>
      <c r="CX10" s="209" t="s">
        <v>59</v>
      </c>
      <c r="CY10" s="211">
        <v>84622</v>
      </c>
      <c r="CZ10" s="211">
        <v>79026</v>
      </c>
      <c r="DA10" s="208">
        <f t="shared" si="27"/>
        <v>-6.6129375339746161</v>
      </c>
      <c r="DB10" s="211">
        <v>90194</v>
      </c>
      <c r="DC10" s="211">
        <v>79026</v>
      </c>
      <c r="DD10" s="208">
        <f t="shared" si="28"/>
        <v>-12.382198372397276</v>
      </c>
      <c r="DE10" s="73"/>
      <c r="DF10" s="159"/>
      <c r="DG10" s="159" t="s">
        <v>59</v>
      </c>
      <c r="DH10" s="161">
        <v>76563</v>
      </c>
      <c r="DI10" s="161">
        <v>90022</v>
      </c>
      <c r="DJ10" s="158">
        <f t="shared" si="29"/>
        <v>17.578987239267008</v>
      </c>
      <c r="DK10" s="161">
        <v>83094</v>
      </c>
      <c r="DL10" s="161">
        <v>90022</v>
      </c>
      <c r="DM10" s="158">
        <f t="shared" si="30"/>
        <v>8.3375454304763288</v>
      </c>
      <c r="DN10" s="155"/>
      <c r="DO10" s="103"/>
      <c r="DP10" s="103" t="s">
        <v>59</v>
      </c>
      <c r="DQ10" s="105">
        <v>82380</v>
      </c>
      <c r="DR10" s="105">
        <v>83087</v>
      </c>
      <c r="DS10" s="102">
        <f t="shared" si="31"/>
        <v>0.85821801408108767</v>
      </c>
      <c r="DT10" s="105">
        <v>68995</v>
      </c>
      <c r="DU10" s="105">
        <v>83087</v>
      </c>
      <c r="DV10" s="102">
        <f t="shared" si="32"/>
        <v>20.424668454235814</v>
      </c>
      <c r="DW10" s="73"/>
      <c r="DX10" s="24"/>
      <c r="DY10" s="24" t="s">
        <v>59</v>
      </c>
      <c r="DZ10" s="25">
        <v>70358</v>
      </c>
      <c r="EA10" s="25">
        <v>68995</v>
      </c>
      <c r="EB10" s="122">
        <f t="shared" si="33"/>
        <v>-1.9372352824128032</v>
      </c>
      <c r="EC10" s="25">
        <v>55055</v>
      </c>
      <c r="ED10" s="25">
        <v>68995</v>
      </c>
      <c r="EE10" s="122">
        <f t="shared" si="34"/>
        <v>25.320134411043504</v>
      </c>
      <c r="EF10" s="73"/>
      <c r="EG10" s="103"/>
      <c r="EH10" s="103" t="s">
        <v>58</v>
      </c>
      <c r="EI10" s="105">
        <v>1685</v>
      </c>
      <c r="EJ10" s="105">
        <v>1902</v>
      </c>
      <c r="EK10" s="102">
        <f t="shared" si="35"/>
        <v>12.87833827893175</v>
      </c>
      <c r="EL10" s="109">
        <v>1427</v>
      </c>
      <c r="EM10" s="105">
        <v>1902</v>
      </c>
      <c r="EN10" s="102">
        <f t="shared" si="36"/>
        <v>33.28661527680449</v>
      </c>
      <c r="EO10" s="61"/>
      <c r="EP10" s="77"/>
      <c r="EQ10" s="77" t="s">
        <v>58</v>
      </c>
      <c r="ER10" s="80">
        <v>1530</v>
      </c>
      <c r="ES10" s="80">
        <v>1505</v>
      </c>
      <c r="ET10" s="79">
        <f t="shared" si="2"/>
        <v>-1.6339869281045754</v>
      </c>
      <c r="EU10" s="81">
        <v>1169</v>
      </c>
      <c r="EV10" s="80">
        <v>1505</v>
      </c>
      <c r="EW10" s="79">
        <f t="shared" si="3"/>
        <v>28.742514970059879</v>
      </c>
      <c r="EX10" s="61"/>
      <c r="EY10" s="54"/>
      <c r="EZ10" s="55">
        <v>18264</v>
      </c>
      <c r="FA10" s="55">
        <v>18295</v>
      </c>
      <c r="FB10" s="54" t="s">
        <v>3</v>
      </c>
      <c r="FC10" s="55">
        <v>17930</v>
      </c>
      <c r="FD10" s="55">
        <v>18295</v>
      </c>
      <c r="FE10" s="54" t="s">
        <v>3</v>
      </c>
      <c r="FF10" s="52"/>
      <c r="FG10" s="18"/>
      <c r="FH10" s="19">
        <v>17899</v>
      </c>
      <c r="FI10" s="19">
        <v>17930</v>
      </c>
      <c r="FJ10" s="18" t="s">
        <v>3</v>
      </c>
      <c r="FK10" s="19">
        <v>17564</v>
      </c>
      <c r="FL10" s="19">
        <v>17930</v>
      </c>
      <c r="FM10" s="18" t="s">
        <v>3</v>
      </c>
    </row>
    <row r="11" spans="1:169" x14ac:dyDescent="0.5">
      <c r="A11" s="307"/>
      <c r="B11" s="307" t="s">
        <v>523</v>
      </c>
      <c r="C11" s="266">
        <v>65847</v>
      </c>
      <c r="D11" s="309">
        <v>63886</v>
      </c>
      <c r="E11" s="308">
        <f t="shared" si="39"/>
        <v>-2.9781159354260636</v>
      </c>
      <c r="F11" s="309">
        <v>52545</v>
      </c>
      <c r="G11" s="309">
        <v>63886</v>
      </c>
      <c r="H11" s="308">
        <f t="shared" si="40"/>
        <v>21.583404700732707</v>
      </c>
      <c r="I11" s="307"/>
      <c r="J11" s="307" t="s">
        <v>523</v>
      </c>
      <c r="K11" s="266">
        <v>53790</v>
      </c>
      <c r="L11" s="309">
        <v>52545</v>
      </c>
      <c r="M11" s="308">
        <f t="shared" si="41"/>
        <v>-2.3145566090351366</v>
      </c>
      <c r="N11" s="309">
        <v>50832</v>
      </c>
      <c r="O11" s="309">
        <v>52545</v>
      </c>
      <c r="P11" s="308">
        <f t="shared" si="42"/>
        <v>3.3699244570349389</v>
      </c>
      <c r="Q11" s="307"/>
      <c r="R11" s="307" t="s">
        <v>523</v>
      </c>
      <c r="S11" s="309">
        <v>50529</v>
      </c>
      <c r="T11" s="309">
        <v>50832</v>
      </c>
      <c r="U11" s="308">
        <f t="shared" si="43"/>
        <v>0.59965564329395005</v>
      </c>
      <c r="V11" s="309">
        <v>48361</v>
      </c>
      <c r="W11" s="309">
        <v>50832</v>
      </c>
      <c r="X11" s="308">
        <f t="shared" si="44"/>
        <v>5.1094890510948909</v>
      </c>
      <c r="Y11" s="307"/>
      <c r="Z11" s="307" t="s">
        <v>523</v>
      </c>
      <c r="AA11" s="309">
        <v>42291</v>
      </c>
      <c r="AB11" s="309">
        <v>48361</v>
      </c>
      <c r="AC11" s="308">
        <f t="shared" si="45"/>
        <v>14.352935612778134</v>
      </c>
      <c r="AD11" s="309">
        <v>34886</v>
      </c>
      <c r="AE11" s="309">
        <v>48361</v>
      </c>
      <c r="AF11" s="308">
        <f t="shared" si="46"/>
        <v>38.62580978042768</v>
      </c>
      <c r="AG11" s="307"/>
      <c r="AH11" s="307" t="s">
        <v>523</v>
      </c>
      <c r="AI11" s="309">
        <v>38042</v>
      </c>
      <c r="AJ11" s="309">
        <v>34886</v>
      </c>
      <c r="AK11" s="308">
        <f t="shared" si="47"/>
        <v>-8.2960937910730248</v>
      </c>
      <c r="AL11" s="309">
        <v>36674</v>
      </c>
      <c r="AM11" s="309">
        <v>34886</v>
      </c>
      <c r="AN11" s="308">
        <f t="shared" si="48"/>
        <v>-4.8753885586519061</v>
      </c>
      <c r="AO11" s="307"/>
      <c r="AP11" s="307" t="s">
        <v>523</v>
      </c>
      <c r="AQ11" s="309">
        <v>37302</v>
      </c>
      <c r="AR11" s="309">
        <v>36674</v>
      </c>
      <c r="AS11" s="308">
        <f t="shared" si="49"/>
        <v>-1.6835558415098386</v>
      </c>
      <c r="AT11" s="309">
        <v>37076</v>
      </c>
      <c r="AU11" s="309">
        <v>36674</v>
      </c>
      <c r="AV11" s="308">
        <f t="shared" si="15"/>
        <v>-1.0842593591541698</v>
      </c>
      <c r="AW11" s="307"/>
      <c r="AX11" s="307" t="s">
        <v>523</v>
      </c>
      <c r="AY11" s="309">
        <v>37607</v>
      </c>
      <c r="AZ11" s="309">
        <v>37076</v>
      </c>
      <c r="BA11" s="308">
        <f t="shared" si="16"/>
        <v>-1.4119711755790145</v>
      </c>
      <c r="BB11" s="309">
        <v>42130</v>
      </c>
      <c r="BC11" s="309">
        <v>37076</v>
      </c>
      <c r="BD11" s="308">
        <f t="shared" si="17"/>
        <v>-11.996202231189177</v>
      </c>
      <c r="BE11" s="307"/>
      <c r="BF11" s="307" t="s">
        <v>523</v>
      </c>
      <c r="BG11" s="309">
        <v>45030</v>
      </c>
      <c r="BH11" s="309">
        <v>42130</v>
      </c>
      <c r="BI11" s="308">
        <f t="shared" si="18"/>
        <v>-6.4401510104374866</v>
      </c>
      <c r="BJ11" s="309"/>
      <c r="BK11" s="309">
        <v>42130</v>
      </c>
      <c r="BL11" s="308"/>
      <c r="BM11" s="307"/>
      <c r="BN11" s="307" t="s">
        <v>437</v>
      </c>
      <c r="BO11" s="309">
        <v>13627</v>
      </c>
      <c r="BP11" s="309">
        <v>13199</v>
      </c>
      <c r="BQ11" s="308">
        <f t="shared" si="20"/>
        <v>-3.140823365377559</v>
      </c>
      <c r="BR11" s="309">
        <v>12988</v>
      </c>
      <c r="BS11" s="309">
        <v>13199</v>
      </c>
      <c r="BT11" s="308">
        <f t="shared" si="21"/>
        <v>1.6245765321835539</v>
      </c>
      <c r="BV11" s="250"/>
      <c r="BW11" s="250" t="s">
        <v>58</v>
      </c>
      <c r="BX11" s="252">
        <f>ม.ค.!BX11</f>
        <v>22940</v>
      </c>
      <c r="BY11" s="252">
        <v>20162</v>
      </c>
      <c r="BZ11" s="249">
        <f t="shared" si="22"/>
        <v>-12.109851787271142</v>
      </c>
      <c r="CA11" s="252">
        <v>20859</v>
      </c>
      <c r="CB11" s="252">
        <f t="shared" si="0"/>
        <v>20162</v>
      </c>
      <c r="CC11" s="249">
        <f t="shared" si="1"/>
        <v>-3.3414832925835372</v>
      </c>
      <c r="CD11" s="249"/>
      <c r="CF11" s="250" t="s">
        <v>58</v>
      </c>
      <c r="CG11" s="252">
        <v>19398</v>
      </c>
      <c r="CH11" s="252">
        <v>20904</v>
      </c>
      <c r="CI11" s="249">
        <f t="shared" si="23"/>
        <v>7.7636869780389732</v>
      </c>
      <c r="CJ11" s="252">
        <v>15053</v>
      </c>
      <c r="CK11" s="252">
        <v>20904</v>
      </c>
      <c r="CL11" s="249">
        <f t="shared" si="24"/>
        <v>38.869328373081778</v>
      </c>
      <c r="CN11" s="250"/>
      <c r="CO11" s="250" t="s">
        <v>58</v>
      </c>
      <c r="CP11" s="252">
        <v>11956</v>
      </c>
      <c r="CQ11" s="252">
        <v>16289</v>
      </c>
      <c r="CR11" s="249">
        <f t="shared" si="25"/>
        <v>36.241217798594846</v>
      </c>
      <c r="CS11" s="252">
        <v>11697</v>
      </c>
      <c r="CT11" s="252">
        <v>16289</v>
      </c>
      <c r="CU11" s="249">
        <f t="shared" si="26"/>
        <v>39.257929383602637</v>
      </c>
      <c r="CV11" s="73"/>
      <c r="CW11" s="209"/>
      <c r="CX11" s="209" t="s">
        <v>58</v>
      </c>
      <c r="CY11" s="211">
        <v>8999</v>
      </c>
      <c r="CZ11" s="211">
        <v>11697</v>
      </c>
      <c r="DA11" s="208">
        <f t="shared" si="27"/>
        <v>29.981109012112455</v>
      </c>
      <c r="DB11" s="211">
        <v>4737</v>
      </c>
      <c r="DC11" s="211">
        <v>11697</v>
      </c>
      <c r="DD11" s="208">
        <f t="shared" si="28"/>
        <v>146.92843571880937</v>
      </c>
      <c r="DE11" s="73"/>
      <c r="DF11" s="159"/>
      <c r="DG11" s="159" t="s">
        <v>58</v>
      </c>
      <c r="DH11" s="161">
        <v>5593</v>
      </c>
      <c r="DI11" s="161">
        <v>5582</v>
      </c>
      <c r="DJ11" s="158">
        <f t="shared" si="29"/>
        <v>-0.19667441444662973</v>
      </c>
      <c r="DK11" s="161">
        <v>4979</v>
      </c>
      <c r="DL11" s="161">
        <v>5582</v>
      </c>
      <c r="DM11" s="158">
        <f t="shared" si="30"/>
        <v>12.110865635669814</v>
      </c>
      <c r="DN11" s="155"/>
      <c r="DO11" s="103"/>
      <c r="DP11" s="103" t="s">
        <v>58</v>
      </c>
      <c r="DQ11" s="105">
        <v>5032</v>
      </c>
      <c r="DR11" s="105">
        <v>4979</v>
      </c>
      <c r="DS11" s="102">
        <f t="shared" si="31"/>
        <v>-1.0532591414944357</v>
      </c>
      <c r="DT11" s="105">
        <v>7245</v>
      </c>
      <c r="DU11" s="105">
        <v>4979</v>
      </c>
      <c r="DV11" s="102">
        <f t="shared" si="32"/>
        <v>-31.276742581090407</v>
      </c>
      <c r="DW11" s="73"/>
      <c r="DX11" s="24"/>
      <c r="DY11" s="24" t="s">
        <v>58</v>
      </c>
      <c r="DZ11" s="25">
        <v>7024</v>
      </c>
      <c r="EA11" s="25">
        <v>7245</v>
      </c>
      <c r="EB11" s="122">
        <f t="shared" si="33"/>
        <v>3.1463553530751711</v>
      </c>
      <c r="EC11" s="25">
        <v>1902</v>
      </c>
      <c r="ED11" s="25">
        <v>7245</v>
      </c>
      <c r="EE11" s="122">
        <f t="shared" si="34"/>
        <v>280.91482649842271</v>
      </c>
      <c r="EF11" s="73"/>
      <c r="EG11" s="103"/>
      <c r="EH11" s="103" t="s">
        <v>59</v>
      </c>
      <c r="EI11" s="105">
        <v>50446</v>
      </c>
      <c r="EJ11" s="105">
        <v>55055</v>
      </c>
      <c r="EK11" s="102">
        <f t="shared" si="35"/>
        <v>9.1365023986044491</v>
      </c>
      <c r="EL11" s="109">
        <v>63548</v>
      </c>
      <c r="EM11" s="105">
        <v>55055</v>
      </c>
      <c r="EN11" s="102">
        <f t="shared" si="36"/>
        <v>-13.364700698684459</v>
      </c>
      <c r="EO11" s="61"/>
      <c r="EP11" s="77"/>
      <c r="EQ11" s="77" t="s">
        <v>59</v>
      </c>
      <c r="ER11" s="80">
        <v>66372</v>
      </c>
      <c r="ES11" s="80">
        <v>66660</v>
      </c>
      <c r="ET11" s="79">
        <f t="shared" si="2"/>
        <v>0.43391791719399747</v>
      </c>
      <c r="EU11" s="81">
        <v>62506</v>
      </c>
      <c r="EV11" s="80">
        <v>66660</v>
      </c>
      <c r="EW11" s="79">
        <f t="shared" si="3"/>
        <v>6.6457620068473426</v>
      </c>
      <c r="EX11" s="61"/>
      <c r="EY11" s="42" t="s">
        <v>0</v>
      </c>
      <c r="EZ11" s="43">
        <v>86458</v>
      </c>
      <c r="FA11" s="56">
        <v>95426</v>
      </c>
      <c r="FB11" s="44">
        <f>(FA11-EZ11)/EZ11*100</f>
        <v>10.372666497027458</v>
      </c>
      <c r="FC11" s="57">
        <v>101923</v>
      </c>
      <c r="FD11" s="56">
        <v>95426</v>
      </c>
      <c r="FE11" s="44">
        <f>(FD11-FC11)/FC11*100</f>
        <v>-6.3744199052225694</v>
      </c>
      <c r="FF11" s="53"/>
      <c r="FG11" s="20" t="s">
        <v>0</v>
      </c>
      <c r="FH11" s="21">
        <v>86197</v>
      </c>
      <c r="FI11" s="22">
        <v>101923</v>
      </c>
      <c r="FJ11" s="23">
        <f>(FI11-FH11)/FH11*100</f>
        <v>18.244254440409762</v>
      </c>
      <c r="FK11" s="28">
        <v>78326</v>
      </c>
      <c r="FL11" s="22">
        <v>101923</v>
      </c>
      <c r="FM11" s="23">
        <f>(FL11-FK11)/FK11*100</f>
        <v>30.126650154482547</v>
      </c>
    </row>
    <row r="12" spans="1:169" x14ac:dyDescent="0.5">
      <c r="A12" s="307"/>
      <c r="B12" s="307" t="s">
        <v>524</v>
      </c>
      <c r="C12" s="266">
        <v>25571</v>
      </c>
      <c r="D12" s="309">
        <v>25826</v>
      </c>
      <c r="E12" s="308">
        <f t="shared" si="39"/>
        <v>0.99722341715224283</v>
      </c>
      <c r="F12" s="309">
        <v>28851</v>
      </c>
      <c r="G12" s="309">
        <v>25826</v>
      </c>
      <c r="H12" s="308">
        <f t="shared" si="40"/>
        <v>-10.484905202592632</v>
      </c>
      <c r="I12" s="307"/>
      <c r="J12" s="307" t="s">
        <v>524</v>
      </c>
      <c r="K12" s="266">
        <v>28780</v>
      </c>
      <c r="L12" s="309">
        <v>28851</v>
      </c>
      <c r="M12" s="308">
        <f t="shared" si="41"/>
        <v>0.24669909659485756</v>
      </c>
      <c r="N12" s="309">
        <v>34315</v>
      </c>
      <c r="O12" s="309">
        <v>28851</v>
      </c>
      <c r="P12" s="308">
        <f t="shared" si="42"/>
        <v>-15.923065714702025</v>
      </c>
      <c r="Q12" s="307"/>
      <c r="R12" s="307" t="s">
        <v>524</v>
      </c>
      <c r="S12" s="309">
        <v>31602</v>
      </c>
      <c r="T12" s="309">
        <v>34315</v>
      </c>
      <c r="U12" s="308">
        <f t="shared" si="43"/>
        <v>8.5848996898930441</v>
      </c>
      <c r="V12" s="309">
        <v>30395</v>
      </c>
      <c r="W12" s="309">
        <v>34315</v>
      </c>
      <c r="X12" s="308">
        <f t="shared" si="44"/>
        <v>12.896858035861161</v>
      </c>
      <c r="Y12" s="307"/>
      <c r="Z12" s="307" t="s">
        <v>524</v>
      </c>
      <c r="AA12" s="309">
        <v>28958</v>
      </c>
      <c r="AB12" s="309">
        <v>30395</v>
      </c>
      <c r="AC12" s="308">
        <f t="shared" si="45"/>
        <v>4.9623592789557289</v>
      </c>
      <c r="AD12" s="309">
        <v>26811</v>
      </c>
      <c r="AE12" s="309">
        <v>30395</v>
      </c>
      <c r="AF12" s="308">
        <f t="shared" si="46"/>
        <v>13.367647607325351</v>
      </c>
      <c r="AG12" s="307"/>
      <c r="AH12" s="307" t="s">
        <v>524</v>
      </c>
      <c r="AI12" s="309">
        <v>28275</v>
      </c>
      <c r="AJ12" s="309">
        <v>26811</v>
      </c>
      <c r="AK12" s="308">
        <f t="shared" si="47"/>
        <v>-5.1777188328912471</v>
      </c>
      <c r="AL12" s="309">
        <v>28119</v>
      </c>
      <c r="AM12" s="309">
        <v>26811</v>
      </c>
      <c r="AN12" s="308">
        <f t="shared" si="48"/>
        <v>-4.65165902059106</v>
      </c>
      <c r="AO12" s="307"/>
      <c r="AP12" s="307" t="s">
        <v>524</v>
      </c>
      <c r="AQ12" s="309">
        <v>28184</v>
      </c>
      <c r="AR12" s="309">
        <v>28119</v>
      </c>
      <c r="AS12" s="308">
        <f t="shared" si="49"/>
        <v>-0.23062730627306272</v>
      </c>
      <c r="AT12" s="309">
        <v>26928</v>
      </c>
      <c r="AU12" s="309">
        <v>28119</v>
      </c>
      <c r="AV12" s="308">
        <f t="shared" si="15"/>
        <v>4.4229055258467023</v>
      </c>
      <c r="AW12" s="307"/>
      <c r="AX12" s="307" t="s">
        <v>524</v>
      </c>
      <c r="AY12" s="309">
        <v>26376</v>
      </c>
      <c r="AZ12" s="309">
        <v>26928</v>
      </c>
      <c r="BA12" s="308">
        <f t="shared" si="16"/>
        <v>2.0928116469517746</v>
      </c>
      <c r="BB12" s="309">
        <v>22845</v>
      </c>
      <c r="BC12" s="309">
        <v>26928</v>
      </c>
      <c r="BD12" s="308">
        <f t="shared" si="17"/>
        <v>17.872619829284307</v>
      </c>
      <c r="BE12" s="307"/>
      <c r="BF12" s="307" t="s">
        <v>524</v>
      </c>
      <c r="BG12" s="309">
        <v>23290</v>
      </c>
      <c r="BH12" s="309">
        <v>22845</v>
      </c>
      <c r="BI12" s="308">
        <f t="shared" si="18"/>
        <v>-1.9106912838127952</v>
      </c>
      <c r="BJ12" s="309"/>
      <c r="BK12" s="309">
        <v>22845</v>
      </c>
      <c r="BL12" s="308"/>
      <c r="BM12" s="307"/>
      <c r="BN12" s="307" t="s">
        <v>489</v>
      </c>
      <c r="BO12" s="309">
        <v>8627</v>
      </c>
      <c r="BP12" s="309">
        <v>10207</v>
      </c>
      <c r="BQ12" s="308">
        <f t="shared" si="20"/>
        <v>18.314593717398864</v>
      </c>
      <c r="BR12" s="309">
        <v>6503</v>
      </c>
      <c r="BS12" s="309">
        <v>10207</v>
      </c>
      <c r="BT12" s="308">
        <f t="shared" si="21"/>
        <v>56.95832692603414</v>
      </c>
      <c r="BV12" s="247" t="s">
        <v>2</v>
      </c>
      <c r="BW12" s="247" t="s">
        <v>60</v>
      </c>
      <c r="BX12" s="248">
        <v>72055</v>
      </c>
      <c r="BY12" s="248">
        <v>85893</v>
      </c>
      <c r="BZ12" s="249">
        <f t="shared" si="22"/>
        <v>19.204774130872252</v>
      </c>
      <c r="CA12" s="248">
        <v>101346</v>
      </c>
      <c r="CB12" s="248">
        <f t="shared" si="0"/>
        <v>85893</v>
      </c>
      <c r="CC12" s="249">
        <f t="shared" si="1"/>
        <v>-15.247765081996329</v>
      </c>
      <c r="CD12" s="249"/>
      <c r="CF12" s="247" t="s">
        <v>60</v>
      </c>
      <c r="CG12" s="248">
        <v>72431</v>
      </c>
      <c r="CH12" s="248">
        <v>100443</v>
      </c>
      <c r="CI12" s="249">
        <f t="shared" si="23"/>
        <v>38.674048404688598</v>
      </c>
      <c r="CJ12" s="248">
        <v>67594</v>
      </c>
      <c r="CK12" s="248">
        <v>100443</v>
      </c>
      <c r="CL12" s="249">
        <f t="shared" si="24"/>
        <v>48.597508654614316</v>
      </c>
      <c r="CN12" s="247" t="s">
        <v>2</v>
      </c>
      <c r="CO12" s="247" t="s">
        <v>60</v>
      </c>
      <c r="CP12" s="248">
        <f>SUM(CP15:CP16)</f>
        <v>78147</v>
      </c>
      <c r="CQ12" s="248">
        <f>SUM(CQ15:CQ16)</f>
        <v>67594</v>
      </c>
      <c r="CR12" s="249">
        <f t="shared" si="25"/>
        <v>-13.504037263106708</v>
      </c>
      <c r="CS12" s="248">
        <f>SUM(CS15:CS16)</f>
        <v>72938</v>
      </c>
      <c r="CT12" s="248">
        <f>SUM(CT15:CT16)</f>
        <v>67594</v>
      </c>
      <c r="CU12" s="249">
        <f t="shared" si="26"/>
        <v>-7.3267706819490535</v>
      </c>
      <c r="CV12" s="73"/>
      <c r="CW12" s="206" t="s">
        <v>2</v>
      </c>
      <c r="CX12" s="206" t="s">
        <v>60</v>
      </c>
      <c r="CY12" s="207">
        <f>SUM(CY15:CY16)</f>
        <v>69449</v>
      </c>
      <c r="CZ12" s="207">
        <f>SUM(CZ15:CZ16)</f>
        <v>72938</v>
      </c>
      <c r="DA12" s="208">
        <f t="shared" si="27"/>
        <v>5.0238304367233511</v>
      </c>
      <c r="DB12" s="207">
        <v>75425</v>
      </c>
      <c r="DC12" s="207">
        <f>SUM(DC15:DC16)</f>
        <v>72938</v>
      </c>
      <c r="DD12" s="208">
        <f t="shared" si="28"/>
        <v>-3.297315213788532</v>
      </c>
      <c r="DE12" s="73"/>
      <c r="DF12" s="156" t="s">
        <v>2</v>
      </c>
      <c r="DG12" s="156" t="s">
        <v>60</v>
      </c>
      <c r="DH12" s="157">
        <f>SUM(DH15:DH16)</f>
        <v>84705</v>
      </c>
      <c r="DI12" s="157">
        <f>SUM(DI15:DI16)</f>
        <v>75425</v>
      </c>
      <c r="DJ12" s="158">
        <f t="shared" si="29"/>
        <v>-10.955669677114692</v>
      </c>
      <c r="DK12" s="157">
        <f>SUM(DK15:DK17)</f>
        <v>86780.63</v>
      </c>
      <c r="DL12" s="157">
        <f>SUM(DL15:DL16)</f>
        <v>75425</v>
      </c>
      <c r="DM12" s="158">
        <f t="shared" si="30"/>
        <v>-13.085443145549883</v>
      </c>
      <c r="DN12" s="155"/>
      <c r="DO12" s="100" t="s">
        <v>2</v>
      </c>
      <c r="DP12" s="100" t="s">
        <v>60</v>
      </c>
      <c r="DQ12" s="101">
        <v>83832</v>
      </c>
      <c r="DR12" s="101">
        <f>SUM(DR15:DR16)</f>
        <v>84051</v>
      </c>
      <c r="DS12" s="102">
        <f t="shared" si="31"/>
        <v>0.26123675923275119</v>
      </c>
      <c r="DT12" s="101">
        <v>58732</v>
      </c>
      <c r="DU12" s="101">
        <v>84051</v>
      </c>
      <c r="DV12" s="102">
        <f t="shared" si="32"/>
        <v>43.109378192467481</v>
      </c>
      <c r="DW12" s="73"/>
      <c r="DX12" s="120" t="s">
        <v>2</v>
      </c>
      <c r="DY12" s="120" t="s">
        <v>60</v>
      </c>
      <c r="DZ12" s="121">
        <f>SUM(DZ15:DZ16)</f>
        <v>50063</v>
      </c>
      <c r="EA12" s="121">
        <f>SUM(EA15:EA16)</f>
        <v>58732</v>
      </c>
      <c r="EB12" s="122">
        <f t="shared" si="33"/>
        <v>17.316181611169927</v>
      </c>
      <c r="EC12" s="121">
        <v>39776</v>
      </c>
      <c r="ED12" s="121">
        <v>58732</v>
      </c>
      <c r="EE12" s="122">
        <f t="shared" si="34"/>
        <v>47.656878519710375</v>
      </c>
      <c r="EF12" s="73"/>
      <c r="EG12" s="100" t="s">
        <v>2</v>
      </c>
      <c r="EH12" s="100" t="s">
        <v>60</v>
      </c>
      <c r="EI12" s="101">
        <f>SUM(EI15:EI16)</f>
        <v>39474</v>
      </c>
      <c r="EJ12" s="101">
        <f>SUM(EJ15:EJ16)</f>
        <v>39776</v>
      </c>
      <c r="EK12" s="102">
        <f t="shared" si="35"/>
        <v>0.76506054618229713</v>
      </c>
      <c r="EL12" s="101">
        <v>134223</v>
      </c>
      <c r="EM12" s="101">
        <v>39776</v>
      </c>
      <c r="EN12" s="102">
        <f t="shared" si="36"/>
        <v>-70.365734635643676</v>
      </c>
      <c r="EO12" s="73"/>
      <c r="EP12" s="74" t="s">
        <v>2</v>
      </c>
      <c r="EQ12" s="74" t="s">
        <v>60</v>
      </c>
      <c r="ER12" s="75">
        <f>SUM(ER15:ER16)</f>
        <v>130317</v>
      </c>
      <c r="ES12" s="75">
        <f>SUM(ES15:ES16)</f>
        <v>134223</v>
      </c>
      <c r="ET12" s="76">
        <f t="shared" si="2"/>
        <v>2.9973065678307509</v>
      </c>
      <c r="EU12" s="75">
        <f>SUM(EU15:EU16)</f>
        <v>133872</v>
      </c>
      <c r="EV12" s="75">
        <f>SUM(EV15:EV16)</f>
        <v>134223</v>
      </c>
      <c r="EW12" s="76">
        <f t="shared" si="3"/>
        <v>0.26219074937253495</v>
      </c>
      <c r="EX12" s="73"/>
      <c r="EY12" s="42" t="s">
        <v>1</v>
      </c>
      <c r="EZ12" s="43">
        <v>38643</v>
      </c>
      <c r="FA12" s="56">
        <v>43606</v>
      </c>
      <c r="FB12" s="44">
        <f>(FA12-EZ12)/EZ12*100</f>
        <v>12.843205755246744</v>
      </c>
      <c r="FC12" s="57">
        <v>53429</v>
      </c>
      <c r="FD12" s="56">
        <v>43606</v>
      </c>
      <c r="FE12" s="44">
        <f>(FD12-FC12)/FC12*100</f>
        <v>-18.385146643208746</v>
      </c>
      <c r="FF12" s="53"/>
      <c r="FG12" s="20" t="s">
        <v>1</v>
      </c>
      <c r="FH12" s="21">
        <v>50454</v>
      </c>
      <c r="FI12" s="22">
        <v>53429</v>
      </c>
      <c r="FJ12" s="23">
        <f>(FI12-FH12)/FH12*100</f>
        <v>5.8964601419114446</v>
      </c>
      <c r="FK12" s="28">
        <v>47038</v>
      </c>
      <c r="FL12" s="22">
        <v>53429</v>
      </c>
      <c r="FM12" s="23">
        <f>(FL12-FK12)/FK12*100</f>
        <v>13.586887197584932</v>
      </c>
    </row>
    <row r="13" spans="1:169" x14ac:dyDescent="0.5">
      <c r="A13" s="307"/>
      <c r="B13" s="307" t="s">
        <v>525</v>
      </c>
      <c r="C13" s="266">
        <v>7880</v>
      </c>
      <c r="D13" s="309">
        <v>8273</v>
      </c>
      <c r="E13" s="308">
        <f t="shared" si="39"/>
        <v>4.9873096446700504</v>
      </c>
      <c r="F13" s="309">
        <v>7847</v>
      </c>
      <c r="G13" s="309">
        <v>8273</v>
      </c>
      <c r="H13" s="308">
        <f t="shared" si="40"/>
        <v>5.4288263030457502</v>
      </c>
      <c r="I13" s="307"/>
      <c r="J13" s="307" t="s">
        <v>525</v>
      </c>
      <c r="K13" s="266">
        <v>8383</v>
      </c>
      <c r="L13" s="309">
        <v>7847</v>
      </c>
      <c r="M13" s="308">
        <f t="shared" si="41"/>
        <v>-6.3938924012883218</v>
      </c>
      <c r="N13" s="309">
        <v>6194</v>
      </c>
      <c r="O13" s="309">
        <v>7847</v>
      </c>
      <c r="P13" s="308">
        <f t="shared" si="42"/>
        <v>26.687116564417181</v>
      </c>
      <c r="Q13" s="307"/>
      <c r="R13" s="307" t="s">
        <v>525</v>
      </c>
      <c r="S13" s="309">
        <v>5642</v>
      </c>
      <c r="T13" s="309">
        <v>6194</v>
      </c>
      <c r="U13" s="308">
        <f t="shared" si="43"/>
        <v>9.7837646224743011</v>
      </c>
      <c r="V13" s="309">
        <v>3984</v>
      </c>
      <c r="W13" s="309">
        <v>6194</v>
      </c>
      <c r="X13" s="308">
        <f t="shared" si="44"/>
        <v>55.471887550200805</v>
      </c>
      <c r="Y13" s="307"/>
      <c r="Z13" s="307" t="s">
        <v>525</v>
      </c>
      <c r="AA13" s="309">
        <v>4912</v>
      </c>
      <c r="AB13" s="309">
        <v>3984</v>
      </c>
      <c r="AC13" s="308">
        <f t="shared" si="45"/>
        <v>-18.892508143322477</v>
      </c>
      <c r="AD13" s="309">
        <v>5022</v>
      </c>
      <c r="AE13" s="309">
        <v>3984</v>
      </c>
      <c r="AF13" s="308">
        <f t="shared" si="46"/>
        <v>-20.669056152927119</v>
      </c>
      <c r="AG13" s="307"/>
      <c r="AH13" s="307" t="s">
        <v>525</v>
      </c>
      <c r="AI13" s="309">
        <v>5505</v>
      </c>
      <c r="AJ13" s="309">
        <v>5022</v>
      </c>
      <c r="AK13" s="308">
        <f t="shared" si="47"/>
        <v>-8.7738419618528614</v>
      </c>
      <c r="AL13" s="309">
        <v>4343</v>
      </c>
      <c r="AM13" s="309">
        <v>5022</v>
      </c>
      <c r="AN13" s="308">
        <f t="shared" si="48"/>
        <v>15.634354133087728</v>
      </c>
      <c r="AO13" s="307"/>
      <c r="AP13" s="307" t="s">
        <v>525</v>
      </c>
      <c r="AQ13" s="309">
        <v>4869</v>
      </c>
      <c r="AR13" s="309">
        <v>4343</v>
      </c>
      <c r="AS13" s="308">
        <f t="shared" si="49"/>
        <v>-10.803039638529473</v>
      </c>
      <c r="AT13" s="309">
        <v>3341</v>
      </c>
      <c r="AU13" s="309">
        <v>4343</v>
      </c>
      <c r="AV13" s="308">
        <f t="shared" si="15"/>
        <v>29.991020652499252</v>
      </c>
      <c r="AW13" s="307"/>
      <c r="AX13" s="307" t="s">
        <v>525</v>
      </c>
      <c r="AY13" s="309">
        <v>4404</v>
      </c>
      <c r="AZ13" s="309">
        <v>3341</v>
      </c>
      <c r="BA13" s="308">
        <f t="shared" si="16"/>
        <v>-24.137148047229793</v>
      </c>
      <c r="BB13" s="309">
        <v>2689</v>
      </c>
      <c r="BC13" s="309">
        <v>3341</v>
      </c>
      <c r="BD13" s="308">
        <f t="shared" si="17"/>
        <v>24.246931944960952</v>
      </c>
      <c r="BE13" s="307"/>
      <c r="BF13" s="307" t="s">
        <v>525</v>
      </c>
      <c r="BG13" s="309">
        <v>2768</v>
      </c>
      <c r="BH13" s="309">
        <v>2689</v>
      </c>
      <c r="BI13" s="308">
        <f t="shared" si="18"/>
        <v>-2.8540462427745665</v>
      </c>
      <c r="BJ13" s="309"/>
      <c r="BK13" s="309">
        <v>2689</v>
      </c>
      <c r="BL13" s="308"/>
      <c r="BM13" s="307"/>
      <c r="BN13" s="307"/>
      <c r="BO13" s="309"/>
      <c r="BP13" s="309"/>
      <c r="BQ13" s="308"/>
      <c r="BR13" s="309"/>
      <c r="BS13" s="309"/>
      <c r="BT13" s="308"/>
      <c r="BV13" s="247"/>
      <c r="BW13" s="247"/>
      <c r="BX13" s="248"/>
      <c r="BY13" s="248"/>
      <c r="BZ13" s="249"/>
      <c r="CA13" s="248"/>
      <c r="CB13" s="248"/>
      <c r="CC13" s="249"/>
      <c r="CD13" s="249"/>
      <c r="CF13" s="247"/>
      <c r="CG13" s="248"/>
      <c r="CH13" s="248"/>
      <c r="CI13" s="249"/>
      <c r="CJ13" s="248"/>
      <c r="CK13" s="248"/>
      <c r="CL13" s="249"/>
      <c r="CN13" s="247"/>
      <c r="CO13" s="247"/>
      <c r="CP13" s="248"/>
      <c r="CQ13" s="248"/>
      <c r="CR13" s="249"/>
      <c r="CS13" s="248"/>
      <c r="CT13" s="248"/>
      <c r="CU13" s="249"/>
      <c r="CV13" s="73"/>
      <c r="CW13" s="206"/>
      <c r="CX13" s="206"/>
      <c r="CY13" s="207"/>
      <c r="CZ13" s="207"/>
      <c r="DA13" s="208"/>
      <c r="DB13" s="207"/>
      <c r="DC13" s="207"/>
      <c r="DD13" s="208"/>
      <c r="DE13" s="73"/>
      <c r="DF13" s="156"/>
      <c r="DG13" s="156"/>
      <c r="DH13" s="157"/>
      <c r="DI13" s="157"/>
      <c r="DJ13" s="158"/>
      <c r="DK13" s="157"/>
      <c r="DL13" s="157"/>
      <c r="DM13" s="158"/>
      <c r="DN13" s="155"/>
      <c r="DO13" s="100"/>
      <c r="DP13" s="100"/>
      <c r="DQ13" s="101"/>
      <c r="DR13" s="101"/>
      <c r="DS13" s="102"/>
      <c r="DT13" s="101"/>
      <c r="DU13" s="101"/>
      <c r="DV13" s="102"/>
      <c r="DW13" s="73"/>
      <c r="DX13" s="120"/>
      <c r="DY13" s="120"/>
      <c r="DZ13" s="121"/>
      <c r="EA13" s="121"/>
      <c r="EB13" s="122"/>
      <c r="EC13" s="121"/>
      <c r="ED13" s="121"/>
      <c r="EE13" s="122"/>
      <c r="EF13" s="73"/>
      <c r="EG13" s="100"/>
      <c r="EH13" s="100"/>
      <c r="EI13" s="101"/>
      <c r="EJ13" s="101"/>
      <c r="EK13" s="102"/>
      <c r="EL13" s="101"/>
      <c r="EM13" s="101"/>
      <c r="EN13" s="102"/>
      <c r="EO13" s="73"/>
      <c r="EP13" s="74"/>
      <c r="EQ13" s="74"/>
      <c r="ER13" s="75"/>
      <c r="ES13" s="75"/>
      <c r="ET13" s="76"/>
      <c r="EU13" s="75"/>
      <c r="EV13" s="75"/>
      <c r="EW13" s="76"/>
      <c r="EX13" s="73"/>
      <c r="EY13" s="42"/>
      <c r="EZ13" s="43"/>
      <c r="FA13" s="56"/>
      <c r="FB13" s="44"/>
      <c r="FC13" s="57"/>
      <c r="FD13" s="56"/>
      <c r="FE13" s="44"/>
      <c r="FF13" s="53"/>
      <c r="FG13" s="20"/>
      <c r="FH13" s="21"/>
      <c r="FI13" s="22"/>
      <c r="FJ13" s="23"/>
      <c r="FK13" s="28"/>
      <c r="FL13" s="22"/>
      <c r="FM13" s="23"/>
    </row>
    <row r="14" spans="1:169" x14ac:dyDescent="0.5">
      <c r="A14" s="307"/>
      <c r="B14" s="307" t="s">
        <v>526</v>
      </c>
      <c r="C14" s="266">
        <v>1234</v>
      </c>
      <c r="D14" s="309">
        <v>997</v>
      </c>
      <c r="E14" s="308">
        <f t="shared" si="39"/>
        <v>-19.20583468395462</v>
      </c>
      <c r="F14" s="309">
        <v>1274</v>
      </c>
      <c r="G14" s="309">
        <v>997</v>
      </c>
      <c r="H14" s="308">
        <f t="shared" si="40"/>
        <v>-21.742543171114601</v>
      </c>
      <c r="I14" s="307"/>
      <c r="J14" s="307" t="s">
        <v>526</v>
      </c>
      <c r="K14" s="266">
        <v>1449</v>
      </c>
      <c r="L14" s="309">
        <v>1274</v>
      </c>
      <c r="M14" s="308">
        <f t="shared" si="41"/>
        <v>-12.077294685990339</v>
      </c>
      <c r="N14" s="309">
        <v>1575</v>
      </c>
      <c r="O14" s="309">
        <v>1274</v>
      </c>
      <c r="P14" s="308">
        <f t="shared" si="42"/>
        <v>-19.111111111111111</v>
      </c>
      <c r="Q14" s="307"/>
      <c r="R14" s="307" t="s">
        <v>526</v>
      </c>
      <c r="S14" s="309">
        <v>1448</v>
      </c>
      <c r="T14" s="309">
        <v>1575</v>
      </c>
      <c r="U14" s="308">
        <f t="shared" si="43"/>
        <v>8.7707182320441994</v>
      </c>
      <c r="V14" s="309">
        <v>1516</v>
      </c>
      <c r="W14" s="309">
        <v>1575</v>
      </c>
      <c r="X14" s="308">
        <f t="shared" si="44"/>
        <v>3.891820580474934</v>
      </c>
      <c r="Y14" s="307"/>
      <c r="Z14" s="307" t="s">
        <v>526</v>
      </c>
      <c r="AA14" s="309">
        <v>1689</v>
      </c>
      <c r="AB14" s="309">
        <v>1516</v>
      </c>
      <c r="AC14" s="308">
        <f t="shared" si="45"/>
        <v>-10.242747187685021</v>
      </c>
      <c r="AD14" s="309">
        <v>1315</v>
      </c>
      <c r="AE14" s="309">
        <v>1516</v>
      </c>
      <c r="AF14" s="308">
        <f t="shared" si="46"/>
        <v>15.285171102661597</v>
      </c>
      <c r="AG14" s="307"/>
      <c r="AH14" s="307" t="s">
        <v>526</v>
      </c>
      <c r="AI14" s="309">
        <v>1584</v>
      </c>
      <c r="AJ14" s="309">
        <v>1315</v>
      </c>
      <c r="AK14" s="308">
        <f t="shared" si="47"/>
        <v>-16.982323232323232</v>
      </c>
      <c r="AL14" s="309">
        <v>2749</v>
      </c>
      <c r="AM14" s="309">
        <v>1315</v>
      </c>
      <c r="AN14" s="308">
        <f t="shared" si="48"/>
        <v>-52.164423426700623</v>
      </c>
      <c r="AO14" s="307"/>
      <c r="AP14" s="307" t="s">
        <v>526</v>
      </c>
      <c r="AQ14" s="309">
        <v>2762</v>
      </c>
      <c r="AR14" s="309">
        <v>2749</v>
      </c>
      <c r="AS14" s="308">
        <f t="shared" si="49"/>
        <v>-0.47067342505430854</v>
      </c>
      <c r="AT14" s="309">
        <v>2614</v>
      </c>
      <c r="AU14" s="309">
        <v>2749</v>
      </c>
      <c r="AV14" s="308">
        <f t="shared" si="15"/>
        <v>5.1644988523335886</v>
      </c>
      <c r="AW14" s="307"/>
      <c r="AX14" s="307" t="s">
        <v>526</v>
      </c>
      <c r="AY14" s="309">
        <v>3397</v>
      </c>
      <c r="AZ14" s="309">
        <v>2614</v>
      </c>
      <c r="BA14" s="308">
        <f t="shared" si="16"/>
        <v>-23.049749779216956</v>
      </c>
      <c r="BB14" s="309">
        <v>2887</v>
      </c>
      <c r="BC14" s="309">
        <v>2614</v>
      </c>
      <c r="BD14" s="308">
        <f t="shared" si="17"/>
        <v>-9.4561828888119148</v>
      </c>
      <c r="BE14" s="307"/>
      <c r="BF14" s="307" t="s">
        <v>526</v>
      </c>
      <c r="BG14" s="309">
        <v>3308</v>
      </c>
      <c r="BH14" s="309">
        <v>2887</v>
      </c>
      <c r="BI14" s="308">
        <f t="shared" si="18"/>
        <v>-12.726723095525996</v>
      </c>
      <c r="BJ14" s="309"/>
      <c r="BK14" s="309">
        <v>2887</v>
      </c>
      <c r="BL14" s="308"/>
      <c r="BM14" s="307"/>
      <c r="BN14" s="307"/>
      <c r="BO14" s="309"/>
      <c r="BP14" s="309"/>
      <c r="BQ14" s="308"/>
      <c r="BR14" s="309"/>
      <c r="BS14" s="309"/>
      <c r="BT14" s="308"/>
      <c r="BV14" s="247"/>
      <c r="BW14" s="247"/>
      <c r="BX14" s="248"/>
      <c r="BY14" s="248"/>
      <c r="BZ14" s="249"/>
      <c r="CA14" s="248"/>
      <c r="CB14" s="248"/>
      <c r="CC14" s="249"/>
      <c r="CD14" s="249"/>
      <c r="CF14" s="247"/>
      <c r="CG14" s="248"/>
      <c r="CH14" s="248"/>
      <c r="CI14" s="249"/>
      <c r="CJ14" s="248"/>
      <c r="CK14" s="248"/>
      <c r="CL14" s="249"/>
      <c r="CN14" s="247"/>
      <c r="CO14" s="247"/>
      <c r="CP14" s="248"/>
      <c r="CQ14" s="248"/>
      <c r="CR14" s="249"/>
      <c r="CS14" s="248"/>
      <c r="CT14" s="248"/>
      <c r="CU14" s="249"/>
      <c r="CV14" s="73"/>
      <c r="CW14" s="206"/>
      <c r="CX14" s="206"/>
      <c r="CY14" s="207"/>
      <c r="CZ14" s="207"/>
      <c r="DA14" s="208"/>
      <c r="DB14" s="207"/>
      <c r="DC14" s="207"/>
      <c r="DD14" s="208"/>
      <c r="DE14" s="73"/>
      <c r="DF14" s="156"/>
      <c r="DG14" s="156"/>
      <c r="DH14" s="157"/>
      <c r="DI14" s="157"/>
      <c r="DJ14" s="158"/>
      <c r="DK14" s="157"/>
      <c r="DL14" s="157"/>
      <c r="DM14" s="158"/>
      <c r="DN14" s="155"/>
      <c r="DO14" s="100"/>
      <c r="DP14" s="100"/>
      <c r="DQ14" s="101"/>
      <c r="DR14" s="101"/>
      <c r="DS14" s="102"/>
      <c r="DT14" s="101"/>
      <c r="DU14" s="101"/>
      <c r="DV14" s="102"/>
      <c r="DW14" s="73"/>
      <c r="DX14" s="120"/>
      <c r="DY14" s="120"/>
      <c r="DZ14" s="121"/>
      <c r="EA14" s="121"/>
      <c r="EB14" s="122"/>
      <c r="EC14" s="121"/>
      <c r="ED14" s="121"/>
      <c r="EE14" s="122"/>
      <c r="EF14" s="73"/>
      <c r="EG14" s="100"/>
      <c r="EH14" s="100"/>
      <c r="EI14" s="101"/>
      <c r="EJ14" s="101"/>
      <c r="EK14" s="102"/>
      <c r="EL14" s="101"/>
      <c r="EM14" s="101"/>
      <c r="EN14" s="102"/>
      <c r="EO14" s="73"/>
      <c r="EP14" s="74"/>
      <c r="EQ14" s="74"/>
      <c r="ER14" s="75"/>
      <c r="ES14" s="75"/>
      <c r="ET14" s="76"/>
      <c r="EU14" s="75"/>
      <c r="EV14" s="75"/>
      <c r="EW14" s="76"/>
      <c r="EX14" s="73"/>
      <c r="EY14" s="42"/>
      <c r="EZ14" s="43"/>
      <c r="FA14" s="56"/>
      <c r="FB14" s="44"/>
      <c r="FC14" s="57"/>
      <c r="FD14" s="56"/>
      <c r="FE14" s="44"/>
      <c r="FF14" s="53"/>
      <c r="FG14" s="20"/>
      <c r="FH14" s="21"/>
      <c r="FI14" s="22"/>
      <c r="FJ14" s="23"/>
      <c r="FK14" s="28"/>
      <c r="FL14" s="22"/>
      <c r="FM14" s="23"/>
    </row>
    <row r="15" spans="1:169" x14ac:dyDescent="0.5">
      <c r="A15" s="307" t="s">
        <v>2</v>
      </c>
      <c r="B15" s="307" t="s">
        <v>60</v>
      </c>
      <c r="C15" s="267">
        <v>72893</v>
      </c>
      <c r="D15" s="267">
        <v>77252</v>
      </c>
      <c r="E15" s="308">
        <f t="shared" si="39"/>
        <v>5.979998079376621</v>
      </c>
      <c r="F15" s="267">
        <v>84636</v>
      </c>
      <c r="G15" s="267">
        <v>77252</v>
      </c>
      <c r="H15" s="308">
        <f>((G15-F15)/F15)*100</f>
        <v>-8.7244198686138272</v>
      </c>
      <c r="I15" s="307" t="s">
        <v>2</v>
      </c>
      <c r="J15" s="307" t="s">
        <v>60</v>
      </c>
      <c r="K15" s="267">
        <v>82853</v>
      </c>
      <c r="L15" s="267">
        <v>84636</v>
      </c>
      <c r="M15" s="308">
        <f t="shared" si="41"/>
        <v>2.1520041519317346</v>
      </c>
      <c r="N15" s="267">
        <v>77584</v>
      </c>
      <c r="O15" s="267">
        <v>84636</v>
      </c>
      <c r="P15" s="308">
        <f>((O15-N15)/N15)*100</f>
        <v>9.0895029903072793</v>
      </c>
      <c r="Q15" s="307" t="s">
        <v>2</v>
      </c>
      <c r="R15" s="307" t="s">
        <v>60</v>
      </c>
      <c r="S15" s="267">
        <v>87574</v>
      </c>
      <c r="T15" s="267">
        <v>77584</v>
      </c>
      <c r="U15" s="308">
        <f t="shared" si="43"/>
        <v>-11.407495375339712</v>
      </c>
      <c r="V15" s="267">
        <v>91183</v>
      </c>
      <c r="W15" s="267">
        <v>77584</v>
      </c>
      <c r="X15" s="308">
        <f>((W15-V15)/V15)*100</f>
        <v>-14.913964225787701</v>
      </c>
      <c r="Y15" s="307" t="s">
        <v>2</v>
      </c>
      <c r="Z15" s="307" t="s">
        <v>60</v>
      </c>
      <c r="AA15" s="267">
        <v>85864</v>
      </c>
      <c r="AB15" s="267">
        <v>91183</v>
      </c>
      <c r="AC15" s="308">
        <f t="shared" si="45"/>
        <v>6.1946799590049384</v>
      </c>
      <c r="AD15" s="267">
        <v>88027</v>
      </c>
      <c r="AE15" s="267">
        <v>91183</v>
      </c>
      <c r="AF15" s="308">
        <f>((AE15-AD15)/AD15)*100</f>
        <v>3.5852636123007717</v>
      </c>
      <c r="AG15" s="307" t="s">
        <v>2</v>
      </c>
      <c r="AH15" s="307" t="s">
        <v>60</v>
      </c>
      <c r="AI15" s="267">
        <v>79811</v>
      </c>
      <c r="AJ15" s="267">
        <v>88027</v>
      </c>
      <c r="AK15" s="308">
        <f t="shared" si="47"/>
        <v>10.294320331783839</v>
      </c>
      <c r="AL15" s="267">
        <v>89677</v>
      </c>
      <c r="AM15" s="267">
        <v>88027</v>
      </c>
      <c r="AN15" s="308">
        <f>((AM15-AL15)/AL15)*100</f>
        <v>-1.8399366615743169</v>
      </c>
      <c r="AO15" s="307" t="s">
        <v>2</v>
      </c>
      <c r="AP15" s="307" t="s">
        <v>60</v>
      </c>
      <c r="AQ15" s="267">
        <v>78033</v>
      </c>
      <c r="AR15" s="267">
        <v>89677</v>
      </c>
      <c r="AS15" s="308">
        <f t="shared" si="49"/>
        <v>14.921892020042801</v>
      </c>
      <c r="AT15" s="267">
        <v>93459</v>
      </c>
      <c r="AU15" s="267">
        <v>89677</v>
      </c>
      <c r="AV15" s="308">
        <f>((AU15-AT15)/AT15)*100</f>
        <v>-4.0466942723547223</v>
      </c>
      <c r="AW15" s="307" t="s">
        <v>2</v>
      </c>
      <c r="AX15" s="307" t="s">
        <v>60</v>
      </c>
      <c r="AY15" s="267">
        <v>79799</v>
      </c>
      <c r="AZ15" s="267">
        <v>96483</v>
      </c>
      <c r="BA15" s="308">
        <f t="shared" si="16"/>
        <v>20.907530169550999</v>
      </c>
      <c r="BB15" s="267">
        <v>85582</v>
      </c>
      <c r="BC15" s="267">
        <v>96483</v>
      </c>
      <c r="BD15" s="308">
        <f>((BC15-BB15)/BB15)*100</f>
        <v>12.737491528592463</v>
      </c>
      <c r="BE15" s="307" t="s">
        <v>2</v>
      </c>
      <c r="BF15" s="307" t="s">
        <v>60</v>
      </c>
      <c r="BG15" s="267">
        <v>84003</v>
      </c>
      <c r="BH15" s="267">
        <v>85582</v>
      </c>
      <c r="BI15" s="308">
        <f t="shared" si="18"/>
        <v>1.8796947728057332</v>
      </c>
      <c r="BJ15" s="248">
        <v>85202</v>
      </c>
      <c r="BK15" s="267">
        <v>85582</v>
      </c>
      <c r="BL15" s="308">
        <f t="shared" si="19"/>
        <v>0.44599892021314053</v>
      </c>
      <c r="BM15" s="307" t="s">
        <v>2</v>
      </c>
      <c r="BN15" s="307" t="s">
        <v>60</v>
      </c>
      <c r="BO15" s="267">
        <v>85637</v>
      </c>
      <c r="BP15" s="267">
        <v>85202</v>
      </c>
      <c r="BQ15" s="308">
        <f t="shared" si="20"/>
        <v>-0.50795800880460551</v>
      </c>
      <c r="BR15" s="248">
        <v>85893</v>
      </c>
      <c r="BS15" s="267">
        <v>85202</v>
      </c>
      <c r="BT15" s="308">
        <f t="shared" si="21"/>
        <v>-0.8044893064626919</v>
      </c>
      <c r="BV15" s="250"/>
      <c r="BW15" s="250" t="s">
        <v>61</v>
      </c>
      <c r="BX15" s="252">
        <v>25101</v>
      </c>
      <c r="BY15" s="252">
        <v>30028</v>
      </c>
      <c r="BZ15" s="249">
        <f t="shared" si="22"/>
        <v>19.628700051790766</v>
      </c>
      <c r="CA15" s="252">
        <v>40704</v>
      </c>
      <c r="CB15" s="252">
        <f t="shared" si="0"/>
        <v>30028</v>
      </c>
      <c r="CC15" s="249">
        <f t="shared" si="1"/>
        <v>-26.228380503144656</v>
      </c>
      <c r="CD15" s="249"/>
      <c r="CF15" s="250" t="s">
        <v>61</v>
      </c>
      <c r="CG15" s="252">
        <v>27357</v>
      </c>
      <c r="CH15" s="252">
        <v>39801</v>
      </c>
      <c r="CI15" s="249">
        <f t="shared" si="23"/>
        <v>45.487443798662134</v>
      </c>
      <c r="CJ15" s="252">
        <v>25670</v>
      </c>
      <c r="CK15" s="252">
        <v>39801</v>
      </c>
      <c r="CL15" s="249">
        <f t="shared" si="24"/>
        <v>55.048694974678611</v>
      </c>
      <c r="CN15" s="250"/>
      <c r="CO15" s="250" t="s">
        <v>61</v>
      </c>
      <c r="CP15" s="252">
        <v>25063</v>
      </c>
      <c r="CQ15" s="252">
        <v>25670</v>
      </c>
      <c r="CR15" s="249">
        <f t="shared" si="25"/>
        <v>2.4218968200135658</v>
      </c>
      <c r="CS15" s="252">
        <v>28336</v>
      </c>
      <c r="CT15" s="252">
        <v>25670</v>
      </c>
      <c r="CU15" s="249">
        <f t="shared" si="26"/>
        <v>-9.408526256352344</v>
      </c>
      <c r="CV15" s="73"/>
      <c r="CW15" s="209"/>
      <c r="CX15" s="209" t="s">
        <v>61</v>
      </c>
      <c r="CY15" s="211">
        <v>23445</v>
      </c>
      <c r="CZ15" s="211">
        <v>28336</v>
      </c>
      <c r="DA15" s="208">
        <f t="shared" si="27"/>
        <v>20.861590957560246</v>
      </c>
      <c r="DB15" s="211">
        <v>36618</v>
      </c>
      <c r="DC15" s="211">
        <v>28336</v>
      </c>
      <c r="DD15" s="208">
        <f t="shared" si="28"/>
        <v>-22.617292042165055</v>
      </c>
      <c r="DE15" s="73"/>
      <c r="DF15" s="159"/>
      <c r="DG15" s="159" t="s">
        <v>61</v>
      </c>
      <c r="DH15" s="161">
        <v>25682</v>
      </c>
      <c r="DI15" s="161">
        <v>36618</v>
      </c>
      <c r="DJ15" s="158">
        <f t="shared" si="29"/>
        <v>42.582353399267973</v>
      </c>
      <c r="DK15" s="161">
        <v>16504</v>
      </c>
      <c r="DL15" s="161">
        <v>36618</v>
      </c>
      <c r="DM15" s="158">
        <f t="shared" si="30"/>
        <v>121.87348521570529</v>
      </c>
      <c r="DN15" s="155"/>
      <c r="DO15" s="103"/>
      <c r="DP15" s="103" t="s">
        <v>61</v>
      </c>
      <c r="DQ15" s="105">
        <v>15648</v>
      </c>
      <c r="DR15" s="105">
        <v>16500</v>
      </c>
      <c r="DS15" s="102">
        <f t="shared" si="31"/>
        <v>5.4447852760736195</v>
      </c>
      <c r="DT15" s="105">
        <v>6636</v>
      </c>
      <c r="DU15" s="105">
        <v>16500</v>
      </c>
      <c r="DV15" s="102">
        <f t="shared" si="32"/>
        <v>148.64376130198914</v>
      </c>
      <c r="DW15" s="73"/>
      <c r="DX15" s="24"/>
      <c r="DY15" s="24" t="s">
        <v>61</v>
      </c>
      <c r="DZ15" s="25">
        <v>6434</v>
      </c>
      <c r="EA15" s="25">
        <v>6636</v>
      </c>
      <c r="EB15" s="122">
        <f t="shared" si="33"/>
        <v>3.1395710289089211</v>
      </c>
      <c r="EC15" s="25">
        <v>14096</v>
      </c>
      <c r="ED15" s="25">
        <v>6636</v>
      </c>
      <c r="EE15" s="122">
        <f t="shared" si="34"/>
        <v>-52.922814982973897</v>
      </c>
      <c r="EF15" s="73"/>
      <c r="EG15" s="103"/>
      <c r="EH15" s="103" t="s">
        <v>61</v>
      </c>
      <c r="EI15" s="105">
        <v>11237</v>
      </c>
      <c r="EJ15" s="105">
        <v>14096</v>
      </c>
      <c r="EK15" s="102">
        <f t="shared" si="35"/>
        <v>25.442733825754203</v>
      </c>
      <c r="EL15" s="109">
        <v>14383</v>
      </c>
      <c r="EM15" s="105">
        <v>14096</v>
      </c>
      <c r="EN15" s="102">
        <f t="shared" si="36"/>
        <v>-1.9954112493916427</v>
      </c>
      <c r="EO15" s="61"/>
      <c r="EP15" s="77"/>
      <c r="EQ15" s="77" t="s">
        <v>61</v>
      </c>
      <c r="ER15" s="80">
        <v>9423</v>
      </c>
      <c r="ES15" s="80">
        <v>14383</v>
      </c>
      <c r="ET15" s="79">
        <f t="shared" si="2"/>
        <v>52.637164385015389</v>
      </c>
      <c r="EU15" s="81">
        <v>5872</v>
      </c>
      <c r="EV15" s="80">
        <v>14383</v>
      </c>
      <c r="EW15" s="79">
        <f t="shared" si="3"/>
        <v>144.94209809264305</v>
      </c>
      <c r="EX15" s="61"/>
      <c r="EY15" s="42" t="s">
        <v>2</v>
      </c>
      <c r="EZ15" s="43">
        <v>40708</v>
      </c>
      <c r="FA15" s="56">
        <v>53595</v>
      </c>
      <c r="FB15" s="44">
        <f>(FA15-EZ15)/EZ15*100</f>
        <v>31.657168124201629</v>
      </c>
      <c r="FC15" s="57">
        <v>52282</v>
      </c>
      <c r="FD15" s="56">
        <v>53595</v>
      </c>
      <c r="FE15" s="44">
        <f>(FD15-FC15)/FC15*100</f>
        <v>2.5113805898779695</v>
      </c>
      <c r="FF15" s="53"/>
      <c r="FG15" s="20" t="s">
        <v>2</v>
      </c>
      <c r="FH15" s="21">
        <v>32838</v>
      </c>
      <c r="FI15" s="22">
        <v>52282</v>
      </c>
      <c r="FJ15" s="23">
        <f>(FI15-FH15)/FH15*100</f>
        <v>59.211888665570378</v>
      </c>
      <c r="FK15" s="28">
        <v>27708</v>
      </c>
      <c r="FL15" s="22">
        <v>52282</v>
      </c>
      <c r="FM15" s="23">
        <f>(FL15-FK15)/FK15*100</f>
        <v>88.689187238342711</v>
      </c>
    </row>
    <row r="16" spans="1:169" x14ac:dyDescent="0.5">
      <c r="A16" s="307"/>
      <c r="B16" s="307" t="s">
        <v>61</v>
      </c>
      <c r="C16" s="266">
        <v>34678</v>
      </c>
      <c r="D16" s="309">
        <v>30291</v>
      </c>
      <c r="E16" s="308">
        <f t="shared" si="39"/>
        <v>-12.650671895726399</v>
      </c>
      <c r="F16" s="309">
        <v>44646</v>
      </c>
      <c r="G16" s="309">
        <v>30291</v>
      </c>
      <c r="H16" s="308">
        <f>((G16-F16)/F16)*100</f>
        <v>-32.152936433275094</v>
      </c>
      <c r="I16" s="307"/>
      <c r="J16" s="307" t="s">
        <v>61</v>
      </c>
      <c r="K16" s="266">
        <v>36086</v>
      </c>
      <c r="L16" s="309">
        <v>44646</v>
      </c>
      <c r="M16" s="308">
        <f t="shared" si="41"/>
        <v>23.72111068004212</v>
      </c>
      <c r="N16" s="309">
        <v>46276</v>
      </c>
      <c r="O16" s="309">
        <v>44646</v>
      </c>
      <c r="P16" s="308">
        <f>((O16-N16)/N16)*100</f>
        <v>-3.5223441956953927</v>
      </c>
      <c r="Q16" s="307"/>
      <c r="R16" s="307" t="s">
        <v>61</v>
      </c>
      <c r="S16" s="309">
        <v>43663</v>
      </c>
      <c r="T16" s="309">
        <v>46276</v>
      </c>
      <c r="U16" s="308">
        <f t="shared" si="43"/>
        <v>5.9844719785630858</v>
      </c>
      <c r="V16" s="309">
        <v>35660</v>
      </c>
      <c r="W16" s="309">
        <v>46276</v>
      </c>
      <c r="X16" s="308">
        <f>((W16-V16)/V16)*100</f>
        <v>29.77005047672462</v>
      </c>
      <c r="Y16" s="307"/>
      <c r="Z16" s="307" t="s">
        <v>61</v>
      </c>
      <c r="AA16" s="309">
        <v>43626</v>
      </c>
      <c r="AB16" s="309">
        <v>35660</v>
      </c>
      <c r="AC16" s="308">
        <f t="shared" si="45"/>
        <v>-18.259753358089213</v>
      </c>
      <c r="AD16" s="309">
        <v>37624</v>
      </c>
      <c r="AE16" s="309">
        <v>35660</v>
      </c>
      <c r="AF16" s="308">
        <f>((AE16-AD16)/AD16)*100</f>
        <v>-5.2200722942802464</v>
      </c>
      <c r="AG16" s="307"/>
      <c r="AH16" s="307" t="s">
        <v>61</v>
      </c>
      <c r="AI16" s="309">
        <v>25708</v>
      </c>
      <c r="AJ16" s="309">
        <v>37624</v>
      </c>
      <c r="AK16" s="308">
        <f t="shared" si="47"/>
        <v>46.351330325190602</v>
      </c>
      <c r="AL16" s="309">
        <v>35588</v>
      </c>
      <c r="AM16" s="309">
        <v>37624</v>
      </c>
      <c r="AN16" s="308">
        <f>((AM16-AL16)/AL16)*100</f>
        <v>5.72102956052602</v>
      </c>
      <c r="AO16" s="307"/>
      <c r="AP16" s="307" t="s">
        <v>61</v>
      </c>
      <c r="AQ16" s="309">
        <v>31590</v>
      </c>
      <c r="AR16" s="309">
        <v>35588</v>
      </c>
      <c r="AS16" s="308">
        <f t="shared" si="49"/>
        <v>12.655903767014879</v>
      </c>
      <c r="AT16" s="309">
        <v>37514</v>
      </c>
      <c r="AU16" s="309">
        <v>35588</v>
      </c>
      <c r="AV16" s="308">
        <f>((AU16-AT16)/AT16)*100</f>
        <v>-5.134083275577118</v>
      </c>
      <c r="AW16" s="307"/>
      <c r="AX16" s="307" t="s">
        <v>61</v>
      </c>
      <c r="AY16" s="309">
        <v>28213</v>
      </c>
      <c r="AZ16" s="309">
        <v>40538</v>
      </c>
      <c r="BA16" s="308">
        <f t="shared" si="16"/>
        <v>43.685535037039664</v>
      </c>
      <c r="BB16" s="309">
        <v>36872</v>
      </c>
      <c r="BC16" s="309">
        <v>40538</v>
      </c>
      <c r="BD16" s="308">
        <f>((BC16-BB16)/BB16)*100</f>
        <v>9.9425037969190715</v>
      </c>
      <c r="BE16" s="307"/>
      <c r="BF16" s="307" t="s">
        <v>61</v>
      </c>
      <c r="BG16" s="309">
        <v>34773</v>
      </c>
      <c r="BH16" s="309">
        <v>36872</v>
      </c>
      <c r="BI16" s="308">
        <f t="shared" si="18"/>
        <v>6.0362925258102553</v>
      </c>
      <c r="BJ16" s="252">
        <v>37203</v>
      </c>
      <c r="BK16" s="309">
        <v>36872</v>
      </c>
      <c r="BL16" s="308">
        <f t="shared" si="19"/>
        <v>-0.8897131951724323</v>
      </c>
      <c r="BM16" s="307"/>
      <c r="BN16" s="307" t="s">
        <v>61</v>
      </c>
      <c r="BO16" s="309">
        <v>33848</v>
      </c>
      <c r="BP16" s="309">
        <v>37203</v>
      </c>
      <c r="BQ16" s="308">
        <f t="shared" si="20"/>
        <v>9.9119593476719441</v>
      </c>
      <c r="BR16" s="252">
        <v>30028</v>
      </c>
      <c r="BS16" s="309">
        <v>37203</v>
      </c>
      <c r="BT16" s="308">
        <f t="shared" si="21"/>
        <v>23.894365259091515</v>
      </c>
      <c r="BV16" s="250"/>
      <c r="BW16" s="250" t="s">
        <v>62</v>
      </c>
      <c r="BX16" s="252">
        <v>46954</v>
      </c>
      <c r="BY16" s="252">
        <v>55865</v>
      </c>
      <c r="BZ16" s="249">
        <f t="shared" si="22"/>
        <v>18.978148826511053</v>
      </c>
      <c r="CA16" s="252">
        <v>60642</v>
      </c>
      <c r="CB16" s="252">
        <f t="shared" si="0"/>
        <v>55865</v>
      </c>
      <c r="CC16" s="249">
        <f t="shared" si="1"/>
        <v>-7.8773787144223482</v>
      </c>
      <c r="CD16" s="249"/>
      <c r="CF16" s="250" t="s">
        <v>62</v>
      </c>
      <c r="CG16" s="252">
        <v>45074</v>
      </c>
      <c r="CH16" s="252">
        <v>60642</v>
      </c>
      <c r="CI16" s="249">
        <f t="shared" si="23"/>
        <v>34.538758486045168</v>
      </c>
      <c r="CJ16" s="252">
        <v>41924</v>
      </c>
      <c r="CK16" s="252">
        <v>60642</v>
      </c>
      <c r="CL16" s="249">
        <f t="shared" si="24"/>
        <v>44.647457303692391</v>
      </c>
      <c r="CN16" s="250"/>
      <c r="CO16" s="250" t="s">
        <v>62</v>
      </c>
      <c r="CP16" s="252">
        <v>53084</v>
      </c>
      <c r="CQ16" s="252">
        <v>41924</v>
      </c>
      <c r="CR16" s="249">
        <f t="shared" si="25"/>
        <v>-21.023283852008138</v>
      </c>
      <c r="CS16" s="252">
        <v>44602</v>
      </c>
      <c r="CT16" s="252">
        <v>41924</v>
      </c>
      <c r="CU16" s="249">
        <f t="shared" si="26"/>
        <v>-6.0042150576207352</v>
      </c>
      <c r="CV16" s="73"/>
      <c r="CW16" s="209"/>
      <c r="CX16" s="209" t="s">
        <v>62</v>
      </c>
      <c r="CY16" s="211">
        <v>46004</v>
      </c>
      <c r="CZ16" s="211">
        <v>44602</v>
      </c>
      <c r="DA16" s="208">
        <f t="shared" si="27"/>
        <v>-3.0475610816450742</v>
      </c>
      <c r="DB16" s="211">
        <v>38807</v>
      </c>
      <c r="DC16" s="211">
        <v>44602</v>
      </c>
      <c r="DD16" s="208">
        <f t="shared" si="28"/>
        <v>14.93287293529518</v>
      </c>
      <c r="DE16" s="73"/>
      <c r="DF16" s="159"/>
      <c r="DG16" s="159" t="s">
        <v>62</v>
      </c>
      <c r="DH16" s="161">
        <v>59023</v>
      </c>
      <c r="DI16" s="161">
        <v>38807</v>
      </c>
      <c r="DJ16" s="158">
        <f t="shared" si="29"/>
        <v>-34.251054673601814</v>
      </c>
      <c r="DK16" s="161">
        <v>67551</v>
      </c>
      <c r="DL16" s="161">
        <v>38807</v>
      </c>
      <c r="DM16" s="158">
        <f t="shared" si="30"/>
        <v>-42.551553640952761</v>
      </c>
      <c r="DN16" s="155"/>
      <c r="DO16" s="103"/>
      <c r="DP16" s="103" t="s">
        <v>62</v>
      </c>
      <c r="DQ16" s="105">
        <v>68184</v>
      </c>
      <c r="DR16" s="105">
        <v>67551</v>
      </c>
      <c r="DS16" s="102">
        <f t="shared" si="31"/>
        <v>-0.92837029215065114</v>
      </c>
      <c r="DT16" s="105">
        <v>52096</v>
      </c>
      <c r="DU16" s="105">
        <v>67551</v>
      </c>
      <c r="DV16" s="102">
        <f t="shared" si="32"/>
        <v>29.666385135135137</v>
      </c>
      <c r="DW16" s="73"/>
      <c r="DX16" s="24"/>
      <c r="DY16" s="24" t="s">
        <v>62</v>
      </c>
      <c r="DZ16" s="25">
        <v>43629</v>
      </c>
      <c r="EA16" s="25">
        <v>52096</v>
      </c>
      <c r="EB16" s="122">
        <f t="shared" si="33"/>
        <v>19.406816566962341</v>
      </c>
      <c r="EC16" s="25">
        <v>25680</v>
      </c>
      <c r="ED16" s="25">
        <v>52096</v>
      </c>
      <c r="EE16" s="122">
        <f t="shared" si="34"/>
        <v>102.86604361370718</v>
      </c>
      <c r="EF16" s="73"/>
      <c r="EG16" s="103"/>
      <c r="EH16" s="103" t="s">
        <v>62</v>
      </c>
      <c r="EI16" s="105">
        <v>28237</v>
      </c>
      <c r="EJ16" s="105">
        <v>25680</v>
      </c>
      <c r="EK16" s="102">
        <f t="shared" si="35"/>
        <v>-9.0554945638700985</v>
      </c>
      <c r="EL16" s="109">
        <v>119840</v>
      </c>
      <c r="EM16" s="105">
        <v>25680</v>
      </c>
      <c r="EN16" s="102">
        <f t="shared" si="36"/>
        <v>-78.571428571428569</v>
      </c>
      <c r="EO16" s="61"/>
      <c r="EP16" s="77"/>
      <c r="EQ16" s="77" t="s">
        <v>62</v>
      </c>
      <c r="ER16" s="80">
        <v>120894</v>
      </c>
      <c r="ES16" s="80">
        <v>119840</v>
      </c>
      <c r="ET16" s="79">
        <f t="shared" si="2"/>
        <v>-0.87183813919632069</v>
      </c>
      <c r="EU16" s="81">
        <v>128000</v>
      </c>
      <c r="EV16" s="80">
        <v>119840</v>
      </c>
      <c r="EW16" s="79">
        <f t="shared" si="3"/>
        <v>-6.375</v>
      </c>
      <c r="EX16" s="61"/>
    </row>
    <row r="17" spans="1:154" x14ac:dyDescent="0.5">
      <c r="A17" s="307"/>
      <c r="B17" s="307" t="s">
        <v>62</v>
      </c>
      <c r="C17" s="266">
        <v>38215</v>
      </c>
      <c r="D17" s="309">
        <v>46961</v>
      </c>
      <c r="E17" s="308">
        <f t="shared" si="39"/>
        <v>22.886301190631951</v>
      </c>
      <c r="F17" s="309">
        <v>39990</v>
      </c>
      <c r="G17" s="309">
        <v>46961</v>
      </c>
      <c r="H17" s="308">
        <f>((G17-F17)/F17)*100</f>
        <v>17.431857964491122</v>
      </c>
      <c r="I17" s="307"/>
      <c r="J17" s="307" t="s">
        <v>62</v>
      </c>
      <c r="K17" s="266">
        <v>46767</v>
      </c>
      <c r="L17" s="309">
        <v>39990</v>
      </c>
      <c r="M17" s="308">
        <f t="shared" si="41"/>
        <v>-14.490987234588493</v>
      </c>
      <c r="N17" s="309">
        <v>31308</v>
      </c>
      <c r="O17" s="309">
        <v>39990</v>
      </c>
      <c r="P17" s="308">
        <f>((O17-N17)/N17)*100</f>
        <v>27.730931391337677</v>
      </c>
      <c r="Q17" s="307"/>
      <c r="R17" s="307" t="s">
        <v>62</v>
      </c>
      <c r="S17" s="309">
        <v>43911</v>
      </c>
      <c r="T17" s="309">
        <v>31308</v>
      </c>
      <c r="U17" s="308">
        <f t="shared" si="43"/>
        <v>-28.701236592197855</v>
      </c>
      <c r="V17" s="309">
        <v>55523</v>
      </c>
      <c r="W17" s="309">
        <v>31308</v>
      </c>
      <c r="X17" s="308">
        <f>((W17-V17)/V17)*100</f>
        <v>-43.61255695837761</v>
      </c>
      <c r="Y17" s="307"/>
      <c r="Z17" s="307" t="s">
        <v>62</v>
      </c>
      <c r="AA17" s="309">
        <v>42238</v>
      </c>
      <c r="AB17" s="309">
        <v>55523</v>
      </c>
      <c r="AC17" s="308">
        <f t="shared" si="45"/>
        <v>31.452720299256594</v>
      </c>
      <c r="AD17" s="309">
        <v>50403</v>
      </c>
      <c r="AE17" s="309">
        <v>55523</v>
      </c>
      <c r="AF17" s="308">
        <f>((AE17-AD17)/AD17)*100</f>
        <v>10.158125508402277</v>
      </c>
      <c r="AG17" s="307"/>
      <c r="AH17" s="307" t="s">
        <v>62</v>
      </c>
      <c r="AI17" s="309">
        <v>54103</v>
      </c>
      <c r="AJ17" s="309">
        <v>50403</v>
      </c>
      <c r="AK17" s="308">
        <f t="shared" si="47"/>
        <v>-6.8388074598451105</v>
      </c>
      <c r="AL17" s="309">
        <v>54089</v>
      </c>
      <c r="AM17" s="309">
        <v>50403</v>
      </c>
      <c r="AN17" s="308">
        <f>((AM17-AL17)/AL17)*100</f>
        <v>-6.8146943001349634</v>
      </c>
      <c r="AO17" s="307"/>
      <c r="AP17" s="307" t="s">
        <v>62</v>
      </c>
      <c r="AQ17" s="309">
        <v>46443</v>
      </c>
      <c r="AR17" s="309">
        <v>54089</v>
      </c>
      <c r="AS17" s="308">
        <f t="shared" si="49"/>
        <v>16.463191438968199</v>
      </c>
      <c r="AT17" s="309">
        <v>55945</v>
      </c>
      <c r="AU17" s="309">
        <v>54089</v>
      </c>
      <c r="AV17" s="308">
        <f>((AU17-AT17)/AT17)*100</f>
        <v>-3.3175440164447227</v>
      </c>
      <c r="AW17" s="307"/>
      <c r="AX17" s="307" t="s">
        <v>62</v>
      </c>
      <c r="AY17" s="309">
        <v>51586</v>
      </c>
      <c r="AZ17" s="309">
        <v>55945</v>
      </c>
      <c r="BA17" s="308">
        <f t="shared" si="16"/>
        <v>8.4499670453223743</v>
      </c>
      <c r="BB17" s="309">
        <v>48710</v>
      </c>
      <c r="BC17" s="309">
        <v>55945</v>
      </c>
      <c r="BD17" s="308">
        <f>((BC17-BB17)/BB17)*100</f>
        <v>14.85321289262985</v>
      </c>
      <c r="BE17" s="307"/>
      <c r="BF17" s="307" t="s">
        <v>62</v>
      </c>
      <c r="BG17" s="309">
        <v>49230</v>
      </c>
      <c r="BH17" s="309">
        <v>48710</v>
      </c>
      <c r="BI17" s="308">
        <f t="shared" si="18"/>
        <v>-1.0562665041641277</v>
      </c>
      <c r="BJ17" s="252">
        <v>47999</v>
      </c>
      <c r="BK17" s="309">
        <v>48710</v>
      </c>
      <c r="BL17" s="308">
        <f t="shared" si="19"/>
        <v>1.481280860017917</v>
      </c>
      <c r="BM17" s="307"/>
      <c r="BN17" s="307" t="s">
        <v>62</v>
      </c>
      <c r="BO17" s="309">
        <v>51789</v>
      </c>
      <c r="BP17" s="309">
        <v>47999</v>
      </c>
      <c r="BQ17" s="308">
        <f t="shared" si="20"/>
        <v>-7.3181563652513075</v>
      </c>
      <c r="BR17" s="252">
        <v>55865</v>
      </c>
      <c r="BS17" s="309">
        <v>47999</v>
      </c>
      <c r="BT17" s="308">
        <f t="shared" si="21"/>
        <v>-14.080372326143381</v>
      </c>
      <c r="BV17" s="250"/>
      <c r="BW17" s="250" t="s">
        <v>63</v>
      </c>
      <c r="BX17" s="256">
        <v>7236.74</v>
      </c>
      <c r="BY17" s="256">
        <v>5156.5200000000004</v>
      </c>
      <c r="BZ17" s="249">
        <f t="shared" si="22"/>
        <v>-28.745263751357648</v>
      </c>
      <c r="CA17" s="256">
        <v>5527.63</v>
      </c>
      <c r="CB17" s="256">
        <f t="shared" si="0"/>
        <v>5156.5200000000004</v>
      </c>
      <c r="CC17" s="249">
        <f t="shared" si="1"/>
        <v>-6.7137272212503305</v>
      </c>
      <c r="CD17" s="249"/>
      <c r="CF17" s="250" t="s">
        <v>63</v>
      </c>
      <c r="CG17" s="256">
        <v>3738.22</v>
      </c>
      <c r="CH17" s="256">
        <v>5292.44</v>
      </c>
      <c r="CI17" s="249">
        <f t="shared" si="23"/>
        <v>41.57647222474867</v>
      </c>
      <c r="CJ17" s="256">
        <v>4004.92</v>
      </c>
      <c r="CK17" s="256">
        <v>5292.44</v>
      </c>
      <c r="CL17" s="249">
        <f t="shared" si="24"/>
        <v>32.148457397401188</v>
      </c>
      <c r="CN17" s="250"/>
      <c r="CO17" s="250" t="s">
        <v>63</v>
      </c>
      <c r="CP17" s="256">
        <v>3921.17</v>
      </c>
      <c r="CQ17" s="256">
        <v>4004.92</v>
      </c>
      <c r="CR17" s="249">
        <f t="shared" si="25"/>
        <v>2.1358421083503139</v>
      </c>
      <c r="CS17" s="256">
        <v>4029.51</v>
      </c>
      <c r="CT17" s="256">
        <v>4004.92</v>
      </c>
      <c r="CU17" s="249">
        <f t="shared" si="26"/>
        <v>-0.61024789614618513</v>
      </c>
      <c r="CV17" s="73"/>
      <c r="CW17" s="209"/>
      <c r="CX17" s="209" t="s">
        <v>63</v>
      </c>
      <c r="CY17" s="212">
        <v>2733.04</v>
      </c>
      <c r="CZ17" s="212">
        <v>3096.9</v>
      </c>
      <c r="DA17" s="208">
        <f t="shared" si="27"/>
        <v>13.313379972484856</v>
      </c>
      <c r="DB17" s="212">
        <v>3088.1</v>
      </c>
      <c r="DC17" s="212">
        <v>3096.9</v>
      </c>
      <c r="DD17" s="208">
        <f t="shared" si="28"/>
        <v>0.28496486512743052</v>
      </c>
      <c r="DE17" s="73"/>
      <c r="DF17" s="159"/>
      <c r="DG17" s="159" t="s">
        <v>63</v>
      </c>
      <c r="DH17" s="162">
        <v>2156.02</v>
      </c>
      <c r="DI17" s="162">
        <v>3088.1</v>
      </c>
      <c r="DJ17" s="158">
        <f t="shared" si="29"/>
        <v>43.231509911781892</v>
      </c>
      <c r="DK17" s="162">
        <v>2725.63</v>
      </c>
      <c r="DL17" s="162">
        <v>3088.1</v>
      </c>
      <c r="DM17" s="158">
        <f t="shared" si="30"/>
        <v>13.298576842784962</v>
      </c>
      <c r="DN17" s="155"/>
      <c r="DO17" s="103"/>
      <c r="DP17" s="103" t="s">
        <v>63</v>
      </c>
      <c r="DQ17" s="106">
        <v>2663.41</v>
      </c>
      <c r="DR17" s="106">
        <v>2724.5</v>
      </c>
      <c r="DS17" s="102">
        <f t="shared" si="31"/>
        <v>2.2936761520006366</v>
      </c>
      <c r="DT17" s="106">
        <v>1712.42</v>
      </c>
      <c r="DU17" s="106">
        <v>2724.5</v>
      </c>
      <c r="DV17" s="102">
        <f t="shared" si="32"/>
        <v>59.102323028229051</v>
      </c>
      <c r="DW17" s="73"/>
      <c r="DX17" s="24"/>
      <c r="DY17" s="24" t="s">
        <v>63</v>
      </c>
      <c r="DZ17" s="124">
        <v>1499.73</v>
      </c>
      <c r="EA17" s="124">
        <v>1712.42</v>
      </c>
      <c r="EB17" s="122">
        <f t="shared" si="33"/>
        <v>14.181886072826448</v>
      </c>
      <c r="EC17" s="124">
        <v>1848.33</v>
      </c>
      <c r="ED17" s="124">
        <v>1712.42</v>
      </c>
      <c r="EE17" s="122">
        <f t="shared" si="34"/>
        <v>-7.3531241715494451</v>
      </c>
      <c r="EF17" s="73"/>
      <c r="EG17" s="103"/>
      <c r="EH17" s="103" t="s">
        <v>63</v>
      </c>
      <c r="EI17" s="106">
        <v>1578.17</v>
      </c>
      <c r="EJ17" s="106">
        <v>1848.33</v>
      </c>
      <c r="EK17" s="102">
        <f t="shared" si="35"/>
        <v>17.118561371715334</v>
      </c>
      <c r="EL17" s="110">
        <v>2213.5100000000002</v>
      </c>
      <c r="EM17" s="106">
        <v>1848.33</v>
      </c>
      <c r="EN17" s="102">
        <f t="shared" si="36"/>
        <v>-16.497779544705026</v>
      </c>
      <c r="EO17" s="61"/>
      <c r="EP17" s="77"/>
      <c r="EQ17" s="77" t="s">
        <v>63</v>
      </c>
      <c r="ER17" s="82">
        <v>1965.3</v>
      </c>
      <c r="ES17" s="82">
        <v>2213.5100000000002</v>
      </c>
      <c r="ET17" s="79">
        <f t="shared" si="2"/>
        <v>12.629623975983323</v>
      </c>
      <c r="EU17" s="83">
        <v>1778.93</v>
      </c>
      <c r="EV17" s="82">
        <v>2213.5100000000002</v>
      </c>
      <c r="EW17" s="79">
        <f t="shared" si="3"/>
        <v>24.429291765274638</v>
      </c>
      <c r="EX17" s="61"/>
    </row>
    <row r="18" spans="1:154" x14ac:dyDescent="0.5">
      <c r="A18" s="307"/>
      <c r="B18" s="307" t="s">
        <v>63</v>
      </c>
      <c r="C18" s="269">
        <v>6147.5008058798903</v>
      </c>
      <c r="D18" s="310">
        <v>4646.2722930189402</v>
      </c>
      <c r="E18" s="308">
        <f t="shared" si="39"/>
        <v>-24.420143408929242</v>
      </c>
      <c r="F18" s="310">
        <v>6744.073273895282</v>
      </c>
      <c r="G18" s="310">
        <v>4646.2722930189402</v>
      </c>
      <c r="H18" s="308">
        <f>((G18-F18)/F18)*100</f>
        <v>-31.105845023903207</v>
      </c>
      <c r="I18" s="307"/>
      <c r="J18" s="307" t="s">
        <v>63</v>
      </c>
      <c r="K18" s="269">
        <v>6124.8280227099995</v>
      </c>
      <c r="L18" s="310">
        <v>6744.073273895282</v>
      </c>
      <c r="M18" s="308">
        <f t="shared" si="41"/>
        <v>10.110410429308519</v>
      </c>
      <c r="N18" s="310">
        <v>6560.7283461063189</v>
      </c>
      <c r="O18" s="310">
        <v>6744.073273895282</v>
      </c>
      <c r="P18" s="308">
        <f>((O18-N18)/N18)*100</f>
        <v>2.7945819140305543</v>
      </c>
      <c r="Q18" s="307"/>
      <c r="R18" s="307" t="s">
        <v>63</v>
      </c>
      <c r="S18" s="310">
        <v>6334.4972631418004</v>
      </c>
      <c r="T18" s="310">
        <v>6560.7283461063189</v>
      </c>
      <c r="U18" s="308">
        <f t="shared" si="43"/>
        <v>3.5714133824143728</v>
      </c>
      <c r="V18" s="310">
        <v>6176.5157830899998</v>
      </c>
      <c r="W18" s="310">
        <v>6560.7283461063189</v>
      </c>
      <c r="X18" s="308">
        <f>((W18-V18)/V18)*100</f>
        <v>6.2205388362839171</v>
      </c>
      <c r="Y18" s="307"/>
      <c r="Z18" s="307" t="s">
        <v>63</v>
      </c>
      <c r="AA18" s="310">
        <v>6562.900650919395</v>
      </c>
      <c r="AB18" s="310">
        <v>6176.5157830899998</v>
      </c>
      <c r="AC18" s="308">
        <f t="shared" si="45"/>
        <v>-5.8874099789285506</v>
      </c>
      <c r="AD18" s="310">
        <v>9124.7298962641089</v>
      </c>
      <c r="AE18" s="310">
        <v>6176.5157830899998</v>
      </c>
      <c r="AF18" s="308">
        <f>((AE18-AD18)/AD18)*100</f>
        <v>-32.310152154544113</v>
      </c>
      <c r="AG18" s="307"/>
      <c r="AH18" s="307" t="s">
        <v>63</v>
      </c>
      <c r="AI18" s="310">
        <v>7535.9606545811293</v>
      </c>
      <c r="AJ18" s="310">
        <v>9124.7298962641089</v>
      </c>
      <c r="AK18" s="308">
        <f t="shared" si="47"/>
        <v>21.082504467657522</v>
      </c>
      <c r="AL18" s="310">
        <v>7997.59</v>
      </c>
      <c r="AM18" s="310">
        <v>9124.7298962641089</v>
      </c>
      <c r="AN18" s="308">
        <f>((AM18-AL18)/AL18)*100</f>
        <v>14.093494368479863</v>
      </c>
      <c r="AO18" s="307"/>
      <c r="AP18" s="307" t="s">
        <v>63</v>
      </c>
      <c r="AQ18" s="310">
        <v>6216.5</v>
      </c>
      <c r="AR18" s="310">
        <v>7997.59</v>
      </c>
      <c r="AS18" s="308">
        <f t="shared" si="49"/>
        <v>28.651009410439958</v>
      </c>
      <c r="AT18" s="310">
        <v>6781.3267454915285</v>
      </c>
      <c r="AU18" s="310">
        <v>7997.59</v>
      </c>
      <c r="AV18" s="308">
        <f>((AU18-AT18)/AT18)*100</f>
        <v>17.935476347856081</v>
      </c>
      <c r="AW18" s="307"/>
      <c r="AX18" s="307" t="s">
        <v>63</v>
      </c>
      <c r="AY18" s="310">
        <v>5866.69</v>
      </c>
      <c r="AZ18" s="310">
        <v>7120.42</v>
      </c>
      <c r="BA18" s="308">
        <f t="shared" si="16"/>
        <v>21.370312731710737</v>
      </c>
      <c r="BB18" s="310">
        <v>5716.75</v>
      </c>
      <c r="BC18" s="310">
        <v>7120.42</v>
      </c>
      <c r="BD18" s="308">
        <f>((BC18-BB18)/BB18)*100</f>
        <v>24.553636244369617</v>
      </c>
      <c r="BE18" s="307"/>
      <c r="BF18" s="307" t="s">
        <v>63</v>
      </c>
      <c r="BG18" s="310">
        <v>5391.18</v>
      </c>
      <c r="BH18" s="310">
        <v>5716.75</v>
      </c>
      <c r="BI18" s="308">
        <f t="shared" si="18"/>
        <v>6.0389376722721124</v>
      </c>
      <c r="BJ18" s="256">
        <v>5012.04</v>
      </c>
      <c r="BK18" s="310">
        <v>5716.75</v>
      </c>
      <c r="BL18" s="308">
        <f t="shared" si="19"/>
        <v>14.060342694790945</v>
      </c>
      <c r="BM18" s="307"/>
      <c r="BN18" s="307" t="s">
        <v>63</v>
      </c>
      <c r="BO18" s="310">
        <v>4504.4799999999996</v>
      </c>
      <c r="BP18" s="310">
        <v>5012.04</v>
      </c>
      <c r="BQ18" s="308">
        <f t="shared" si="20"/>
        <v>11.267893297339548</v>
      </c>
      <c r="BR18" s="256">
        <v>5156.5200000000004</v>
      </c>
      <c r="BS18" s="310">
        <v>5012.04</v>
      </c>
      <c r="BT18" s="308">
        <f t="shared" si="21"/>
        <v>-2.8018896465057921</v>
      </c>
      <c r="DF18"/>
      <c r="DN18" s="153"/>
    </row>
    <row r="19" spans="1:154" x14ac:dyDescent="0.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X19" t="s">
        <v>379</v>
      </c>
      <c r="CG19" t="s">
        <v>379</v>
      </c>
      <c r="CP19" t="s">
        <v>334</v>
      </c>
      <c r="CY19" t="s">
        <v>291</v>
      </c>
      <c r="DF19"/>
      <c r="DH19" s="171" t="s">
        <v>250</v>
      </c>
      <c r="DN19" s="153"/>
      <c r="DQ19" t="s">
        <v>210</v>
      </c>
      <c r="DZ19" t="s">
        <v>173</v>
      </c>
      <c r="EI19" t="s">
        <v>137</v>
      </c>
      <c r="ER19" t="s">
        <v>86</v>
      </c>
    </row>
    <row r="20" spans="1:154" x14ac:dyDescent="0.5">
      <c r="A20" s="127"/>
      <c r="B20" s="127"/>
      <c r="C20" s="127" t="s">
        <v>861</v>
      </c>
      <c r="D20" s="127"/>
      <c r="E20" s="127"/>
      <c r="F20" s="127"/>
      <c r="G20" s="127"/>
      <c r="H20" s="127"/>
      <c r="I20" s="127"/>
      <c r="J20" s="127"/>
      <c r="K20" s="127" t="s">
        <v>816</v>
      </c>
      <c r="L20" s="127"/>
      <c r="M20" s="127"/>
      <c r="N20" s="127"/>
      <c r="O20" s="127"/>
      <c r="P20" s="127"/>
      <c r="Q20" s="127"/>
      <c r="R20" s="127"/>
      <c r="S20" s="127" t="s">
        <v>767</v>
      </c>
      <c r="T20" s="127"/>
      <c r="U20" s="127"/>
      <c r="V20" s="127"/>
      <c r="W20" s="127"/>
      <c r="X20" s="127"/>
      <c r="Y20" s="127"/>
      <c r="Z20" s="127"/>
      <c r="AA20" s="127" t="s">
        <v>723</v>
      </c>
      <c r="AB20" s="127"/>
      <c r="AC20" s="127"/>
      <c r="AD20" s="127"/>
      <c r="AE20" s="127"/>
      <c r="AF20" s="127"/>
      <c r="AG20" s="127"/>
      <c r="AH20" s="127"/>
      <c r="AI20" s="127" t="s">
        <v>677</v>
      </c>
      <c r="AJ20" s="127"/>
      <c r="AK20" s="127"/>
      <c r="AL20" s="127"/>
      <c r="AM20" s="127"/>
      <c r="AN20" s="127"/>
      <c r="AO20" s="127"/>
      <c r="AP20" s="127"/>
      <c r="AQ20" s="127" t="s">
        <v>673</v>
      </c>
      <c r="AR20" s="127"/>
      <c r="AS20" s="127"/>
      <c r="AT20" s="127"/>
      <c r="AU20" s="127"/>
      <c r="AV20" s="127"/>
      <c r="AW20" s="127"/>
      <c r="AX20" s="127"/>
      <c r="AY20" s="127" t="s">
        <v>583</v>
      </c>
      <c r="AZ20" s="127"/>
      <c r="BA20" s="127"/>
      <c r="BB20" s="127"/>
      <c r="BC20" s="127"/>
      <c r="BD20" s="127"/>
      <c r="BE20" s="127"/>
      <c r="BF20" s="127"/>
      <c r="BG20" s="127" t="s">
        <v>542</v>
      </c>
      <c r="BH20" s="127"/>
      <c r="BI20" s="127"/>
      <c r="BJ20" s="127"/>
      <c r="BK20" s="127"/>
      <c r="BL20" s="127"/>
      <c r="BM20" s="127"/>
      <c r="BN20" s="127"/>
      <c r="BO20" s="127" t="s">
        <v>488</v>
      </c>
      <c r="BP20" s="127"/>
      <c r="BQ20" s="127"/>
      <c r="BR20" s="127"/>
      <c r="BS20" s="127"/>
      <c r="BT20" s="127"/>
      <c r="BV20" s="319"/>
      <c r="BW20" s="319"/>
      <c r="BX20" s="320" t="str">
        <f t="shared" ref="BX20:CC20" si="50">BX2</f>
        <v>มค  59</v>
      </c>
      <c r="BY20" s="320" t="str">
        <f t="shared" si="50"/>
        <v>กพ  59</v>
      </c>
      <c r="BZ20" s="319" t="str">
        <f t="shared" si="50"/>
        <v>ร้อยละ</v>
      </c>
      <c r="CA20" s="320" t="str">
        <f t="shared" si="50"/>
        <v>กพ  58</v>
      </c>
      <c r="CB20" s="320" t="str">
        <f t="shared" si="50"/>
        <v>กพ 59</v>
      </c>
      <c r="CC20" s="319" t="str">
        <f t="shared" si="50"/>
        <v>ร้อยละ</v>
      </c>
      <c r="CD20" s="163"/>
      <c r="CF20" s="163"/>
      <c r="CG20" s="172" t="s">
        <v>375</v>
      </c>
      <c r="CH20" s="172" t="s">
        <v>380</v>
      </c>
      <c r="CI20" s="163" t="s">
        <v>3</v>
      </c>
      <c r="CJ20" s="172" t="s">
        <v>332</v>
      </c>
      <c r="CK20" s="172" t="s">
        <v>382</v>
      </c>
      <c r="CL20" s="163" t="s">
        <v>3</v>
      </c>
      <c r="CN20" s="163"/>
      <c r="CO20" s="163"/>
      <c r="CP20" s="172" t="s">
        <v>329</v>
      </c>
      <c r="CQ20" s="172" t="s">
        <v>332</v>
      </c>
      <c r="CR20" s="163" t="s">
        <v>3</v>
      </c>
      <c r="CS20" s="172" t="s">
        <v>292</v>
      </c>
      <c r="CT20" s="172" t="s">
        <v>335</v>
      </c>
      <c r="CU20" s="163" t="s">
        <v>3</v>
      </c>
      <c r="CV20" s="62"/>
      <c r="CW20" s="213"/>
      <c r="CX20" s="213"/>
      <c r="CY20" s="215" t="s">
        <v>287</v>
      </c>
      <c r="CZ20" s="214" t="s">
        <v>292</v>
      </c>
      <c r="DA20" s="213" t="s">
        <v>3</v>
      </c>
      <c r="DB20" s="214" t="s">
        <v>251</v>
      </c>
      <c r="DC20" s="214" t="s">
        <v>293</v>
      </c>
      <c r="DD20" s="213" t="s">
        <v>3</v>
      </c>
      <c r="DE20" s="62"/>
      <c r="DF20" s="163"/>
      <c r="DG20" s="163"/>
      <c r="DH20" s="175" t="s">
        <v>248</v>
      </c>
      <c r="DI20" s="175" t="s">
        <v>252</v>
      </c>
      <c r="DJ20" s="163" t="s">
        <v>3</v>
      </c>
      <c r="DK20" s="172" t="s">
        <v>211</v>
      </c>
      <c r="DL20" s="175" t="s">
        <v>251</v>
      </c>
      <c r="DM20" s="163" t="s">
        <v>3</v>
      </c>
      <c r="DN20" s="154"/>
      <c r="DO20" s="141"/>
      <c r="DP20" s="141"/>
      <c r="DQ20" s="142" t="s">
        <v>208</v>
      </c>
      <c r="DR20" s="142" t="s">
        <v>211</v>
      </c>
      <c r="DS20" s="141" t="s">
        <v>3</v>
      </c>
      <c r="DT20" s="142" t="s">
        <v>174</v>
      </c>
      <c r="DU20" s="142" t="s">
        <v>211</v>
      </c>
      <c r="DV20" s="141" t="s">
        <v>3</v>
      </c>
      <c r="DW20" s="62"/>
      <c r="DX20" s="95"/>
      <c r="DY20" s="95"/>
      <c r="DZ20" s="96" t="s">
        <v>171</v>
      </c>
      <c r="EA20" s="96" t="s">
        <v>174</v>
      </c>
      <c r="EB20" s="95" t="s">
        <v>3</v>
      </c>
      <c r="EC20" s="96" t="s">
        <v>135</v>
      </c>
      <c r="ED20" s="96" t="s">
        <v>174</v>
      </c>
      <c r="EE20" s="95" t="s">
        <v>3</v>
      </c>
      <c r="EF20" s="62"/>
      <c r="EG20" s="107"/>
      <c r="EH20" s="107"/>
      <c r="EI20" s="108" t="s">
        <v>132</v>
      </c>
      <c r="EJ20" s="108" t="s">
        <v>135</v>
      </c>
      <c r="EK20" s="107" t="s">
        <v>3</v>
      </c>
      <c r="EL20" s="108" t="s">
        <v>87</v>
      </c>
      <c r="EM20" s="108" t="s">
        <v>135</v>
      </c>
      <c r="EN20" s="107" t="s">
        <v>3</v>
      </c>
      <c r="EO20" s="62"/>
      <c r="EP20" s="95"/>
      <c r="EQ20" s="95"/>
      <c r="ER20" s="96" t="s">
        <v>83</v>
      </c>
      <c r="ES20" s="96" t="s">
        <v>87</v>
      </c>
      <c r="ET20" s="95" t="s">
        <v>3</v>
      </c>
      <c r="EU20" s="96" t="s">
        <v>88</v>
      </c>
      <c r="EV20" s="96" t="s">
        <v>87</v>
      </c>
      <c r="EW20" s="95" t="s">
        <v>3</v>
      </c>
      <c r="EX20" s="62"/>
    </row>
    <row r="21" spans="1:154" x14ac:dyDescent="0.5">
      <c r="A21" s="312"/>
      <c r="B21" s="312"/>
      <c r="C21" s="346" t="s">
        <v>856</v>
      </c>
      <c r="D21" s="346" t="s">
        <v>859</v>
      </c>
      <c r="E21" s="331" t="s">
        <v>3</v>
      </c>
      <c r="F21" s="346" t="s">
        <v>813</v>
      </c>
      <c r="G21" s="346" t="s">
        <v>860</v>
      </c>
      <c r="H21" s="331" t="s">
        <v>3</v>
      </c>
      <c r="I21" s="312"/>
      <c r="J21" s="312"/>
      <c r="K21" s="346" t="s">
        <v>815</v>
      </c>
      <c r="L21" s="346" t="s">
        <v>814</v>
      </c>
      <c r="M21" s="331" t="s">
        <v>3</v>
      </c>
      <c r="N21" s="346" t="s">
        <v>766</v>
      </c>
      <c r="O21" s="346" t="s">
        <v>813</v>
      </c>
      <c r="P21" s="331" t="s">
        <v>3</v>
      </c>
      <c r="Q21" s="312"/>
      <c r="R21" s="312"/>
      <c r="S21" s="346" t="s">
        <v>762</v>
      </c>
      <c r="T21" s="346" t="s">
        <v>765</v>
      </c>
      <c r="U21" s="331" t="s">
        <v>3</v>
      </c>
      <c r="V21" s="346" t="s">
        <v>725</v>
      </c>
      <c r="W21" s="346" t="s">
        <v>766</v>
      </c>
      <c r="X21" s="331" t="s">
        <v>3</v>
      </c>
      <c r="Y21" s="312"/>
      <c r="Z21" s="312"/>
      <c r="AA21" s="346" t="s">
        <v>721</v>
      </c>
      <c r="AB21" s="346" t="s">
        <v>724</v>
      </c>
      <c r="AC21" s="331" t="s">
        <v>3</v>
      </c>
      <c r="AD21" s="346" t="s">
        <v>675</v>
      </c>
      <c r="AE21" s="346" t="s">
        <v>725</v>
      </c>
      <c r="AF21" s="331" t="s">
        <v>3</v>
      </c>
      <c r="AG21" s="312"/>
      <c r="AH21" s="312"/>
      <c r="AI21" s="346" t="s">
        <v>669</v>
      </c>
      <c r="AJ21" s="346" t="s">
        <v>674</v>
      </c>
      <c r="AK21" s="331" t="s">
        <v>3</v>
      </c>
      <c r="AL21" s="346" t="s">
        <v>631</v>
      </c>
      <c r="AM21" s="346" t="s">
        <v>675</v>
      </c>
      <c r="AN21" s="331" t="s">
        <v>3</v>
      </c>
      <c r="AO21" s="312"/>
      <c r="AP21" s="312"/>
      <c r="AQ21" s="346" t="s">
        <v>629</v>
      </c>
      <c r="AR21" s="346" t="s">
        <v>630</v>
      </c>
      <c r="AS21" s="331" t="s">
        <v>3</v>
      </c>
      <c r="AT21" s="346" t="s">
        <v>581</v>
      </c>
      <c r="AU21" s="346" t="s">
        <v>631</v>
      </c>
      <c r="AV21" s="331" t="s">
        <v>3</v>
      </c>
      <c r="AW21" s="312"/>
      <c r="AX21" s="312"/>
      <c r="AY21" s="346" t="s">
        <v>579</v>
      </c>
      <c r="AZ21" s="346" t="s">
        <v>580</v>
      </c>
      <c r="BA21" s="331" t="s">
        <v>3</v>
      </c>
      <c r="BB21" s="346" t="s">
        <v>541</v>
      </c>
      <c r="BC21" s="346" t="s">
        <v>581</v>
      </c>
      <c r="BD21" s="331" t="s">
        <v>3</v>
      </c>
      <c r="BE21" s="312"/>
      <c r="BF21" s="312"/>
      <c r="BG21" s="330" t="s">
        <v>538</v>
      </c>
      <c r="BH21" s="330" t="s">
        <v>540</v>
      </c>
      <c r="BI21" s="311" t="s">
        <v>3</v>
      </c>
      <c r="BJ21" s="330" t="s">
        <v>487</v>
      </c>
      <c r="BK21" s="330" t="s">
        <v>541</v>
      </c>
      <c r="BL21" s="311" t="s">
        <v>3</v>
      </c>
      <c r="BM21" s="312"/>
      <c r="BN21" s="312"/>
      <c r="BO21" s="331" t="s">
        <v>482</v>
      </c>
      <c r="BP21" s="331" t="s">
        <v>485</v>
      </c>
      <c r="BQ21" s="331" t="s">
        <v>3</v>
      </c>
      <c r="BR21" s="331" t="s">
        <v>486</v>
      </c>
      <c r="BS21" s="331" t="s">
        <v>487</v>
      </c>
      <c r="BT21" s="331" t="s">
        <v>3</v>
      </c>
      <c r="BV21" s="165" t="s">
        <v>0</v>
      </c>
      <c r="BW21" s="165"/>
      <c r="BX21" s="292">
        <f>ม.ค.!BX21</f>
        <v>147651</v>
      </c>
      <c r="BY21" s="166">
        <v>166412</v>
      </c>
      <c r="BZ21" s="167">
        <f>((BY21-BX21)/BX21)*100</f>
        <v>12.706314213923372</v>
      </c>
      <c r="CA21" s="166">
        <v>179158</v>
      </c>
      <c r="CB21" s="166">
        <f t="shared" ref="CB21:CB31" si="51">BY21</f>
        <v>166412</v>
      </c>
      <c r="CC21" s="167">
        <f t="shared" ref="CC21:CC31" si="52">((CB21-CA21)/CA21)*100</f>
        <v>-7.1143906495942124</v>
      </c>
      <c r="CD21" s="167"/>
      <c r="CF21" s="165"/>
      <c r="CG21" s="292">
        <v>166400</v>
      </c>
      <c r="CH21" s="166">
        <v>178351</v>
      </c>
      <c r="CI21" s="167">
        <f>((CH21-CG21)/CG21)*100</f>
        <v>7.1820913461538458</v>
      </c>
      <c r="CJ21" s="166">
        <v>173506</v>
      </c>
      <c r="CK21" s="166">
        <v>178351</v>
      </c>
      <c r="CL21" s="167">
        <f t="shared" ref="CL21:CL31" si="53">((CK21-CJ21)/CJ21)*100</f>
        <v>2.7924106370961232</v>
      </c>
      <c r="CN21" s="165" t="s">
        <v>0</v>
      </c>
      <c r="CO21" s="165"/>
      <c r="CP21" s="166">
        <f>SUM(CP22:CP24)</f>
        <v>162652</v>
      </c>
      <c r="CQ21" s="166">
        <v>173506</v>
      </c>
      <c r="CR21" s="167">
        <f>((CQ21-CP21)/CP21)*100</f>
        <v>6.6731426604038067</v>
      </c>
      <c r="CS21" s="166">
        <f>SUM(CS22:CS24)</f>
        <v>229204</v>
      </c>
      <c r="CT21" s="166">
        <f>SUM(CT22:CT24)</f>
        <v>173506</v>
      </c>
      <c r="CU21" s="167">
        <f t="shared" ref="CU21:CU31" si="54">((CT21-CS21)/CS21)*100</f>
        <v>-24.300623025776165</v>
      </c>
      <c r="CV21" s="73"/>
      <c r="CW21" s="216" t="s">
        <v>0</v>
      </c>
      <c r="CX21" s="216"/>
      <c r="CY21" s="217">
        <f>SUM(CY22:CY24)</f>
        <v>236025</v>
      </c>
      <c r="CZ21" s="217">
        <f>SUM(CZ22:CZ24)</f>
        <v>229204</v>
      </c>
      <c r="DA21" s="218">
        <f>((CZ21-CY21)/CY21)*100</f>
        <v>-2.8899480987183561</v>
      </c>
      <c r="DB21" s="217">
        <f>SUM(DB22:DB24)</f>
        <v>168096</v>
      </c>
      <c r="DC21" s="217">
        <f>SUM(DC22:DC24)</f>
        <v>229204</v>
      </c>
      <c r="DD21" s="218">
        <f>((DC21-DB21)/DB21)*100</f>
        <v>36.353036360175139</v>
      </c>
      <c r="DE21" s="73"/>
      <c r="DF21" s="165" t="s">
        <v>0</v>
      </c>
      <c r="DG21" s="165"/>
      <c r="DH21" s="166">
        <f>SUM(DH22:DH24)</f>
        <v>140404</v>
      </c>
      <c r="DI21" s="166">
        <f>SUM(DI22:DI24)</f>
        <v>168221</v>
      </c>
      <c r="DJ21" s="167">
        <f>((DI21-DH21)/DH21)*100</f>
        <v>19.812113614996722</v>
      </c>
      <c r="DK21" s="166">
        <f>SUM(DK22:DK24)</f>
        <v>150743</v>
      </c>
      <c r="DL21" s="166">
        <f>SUM(DL22:DL24)</f>
        <v>168221</v>
      </c>
      <c r="DM21" s="167">
        <f>((DL21-DK21)/DK21)*100</f>
        <v>11.594568238657848</v>
      </c>
      <c r="DN21" s="155"/>
      <c r="DO21" s="135" t="s">
        <v>0</v>
      </c>
      <c r="DP21" s="135"/>
      <c r="DQ21" s="136">
        <v>146234</v>
      </c>
      <c r="DR21" s="136">
        <f>SUM(DR22:DR24)</f>
        <v>150743</v>
      </c>
      <c r="DS21" s="137">
        <f>((DR21-DQ21)/DQ21)*100</f>
        <v>3.0834142538670899</v>
      </c>
      <c r="DT21" s="136">
        <v>127849</v>
      </c>
      <c r="DU21" s="136">
        <v>150743</v>
      </c>
      <c r="DV21" s="137">
        <f>((DU21-DT21)/DT21)*100</f>
        <v>17.907062237483281</v>
      </c>
      <c r="DW21" s="73"/>
      <c r="DX21" s="86" t="s">
        <v>0</v>
      </c>
      <c r="DY21" s="86"/>
      <c r="DZ21" s="87">
        <f>SUM(DZ22:DZ24)</f>
        <v>103849</v>
      </c>
      <c r="EA21" s="87">
        <f>SUM(EA22:EA24)</f>
        <v>127849</v>
      </c>
      <c r="EB21" s="88">
        <f>((EA21-DZ21)/DZ21)*100</f>
        <v>23.110477712833056</v>
      </c>
      <c r="EC21" s="87">
        <v>61067</v>
      </c>
      <c r="ED21" s="87">
        <v>127849</v>
      </c>
      <c r="EE21" s="88">
        <f>((ED21-EC21)/EC21)*100</f>
        <v>109.35857337023269</v>
      </c>
      <c r="EF21" s="73"/>
      <c r="EG21" s="63" t="s">
        <v>0</v>
      </c>
      <c r="EH21" s="63"/>
      <c r="EI21" s="68">
        <f>SUM(EI22:EI24)</f>
        <v>72456</v>
      </c>
      <c r="EJ21" s="68">
        <f>SUM(EJ22:EJ24)</f>
        <v>61067</v>
      </c>
      <c r="EK21" s="65">
        <f t="shared" ref="EK21:EK31" si="55">(EJ21-EI21)/EI21*100</f>
        <v>-15.718505023738544</v>
      </c>
      <c r="EL21" s="68">
        <f>SUM(EL22:EL24)</f>
        <v>123551</v>
      </c>
      <c r="EM21" s="68">
        <v>61067</v>
      </c>
      <c r="EN21" s="65">
        <f t="shared" ref="EN21:EN31" si="56">(EM21-EL21)/EL21*100</f>
        <v>-50.573447402287321</v>
      </c>
      <c r="EO21" s="73"/>
      <c r="EP21" s="86" t="s">
        <v>0</v>
      </c>
      <c r="EQ21" s="86"/>
      <c r="ER21" s="87">
        <f>SUM(ER22:ER24)</f>
        <v>108129</v>
      </c>
      <c r="ES21" s="87">
        <f>SUM(ES22:ES24)</f>
        <v>123551</v>
      </c>
      <c r="ET21" s="88">
        <f t="shared" ref="ET21:ET31" si="57">(ES21-ER21)/ER21*100</f>
        <v>14.262593753757086</v>
      </c>
      <c r="EU21" s="87">
        <f>SUM(EU22:EU24)</f>
        <v>95426</v>
      </c>
      <c r="EV21" s="87">
        <f>SUM(EV22:EV24)</f>
        <v>123551</v>
      </c>
      <c r="EW21" s="88">
        <f t="shared" ref="EW21:EW31" si="58">(EV21-EU21)/EU21*100</f>
        <v>29.473099574539436</v>
      </c>
      <c r="EX21" s="73"/>
    </row>
    <row r="22" spans="1:154" x14ac:dyDescent="0.5">
      <c r="A22" s="313" t="s">
        <v>0</v>
      </c>
      <c r="B22" s="313"/>
      <c r="C22" s="292">
        <v>107103</v>
      </c>
      <c r="D22" s="292">
        <v>115487</v>
      </c>
      <c r="E22" s="314">
        <f>((D22-C22)/C22)*100</f>
        <v>7.8279786747336679</v>
      </c>
      <c r="F22" s="292">
        <v>133690</v>
      </c>
      <c r="G22" s="292">
        <v>115487</v>
      </c>
      <c r="H22" s="314">
        <f>((G22-F22)/F22)*100</f>
        <v>-13.615827661006808</v>
      </c>
      <c r="I22" s="313" t="s">
        <v>0</v>
      </c>
      <c r="J22" s="313"/>
      <c r="K22" s="292">
        <v>142102</v>
      </c>
      <c r="L22" s="292">
        <v>133690</v>
      </c>
      <c r="M22" s="314">
        <f>((L22-K22)/K22)*100</f>
        <v>-5.9196914892119743</v>
      </c>
      <c r="N22" s="292">
        <v>165612</v>
      </c>
      <c r="O22" s="292">
        <v>133690</v>
      </c>
      <c r="P22" s="314">
        <f>((O22-N22)/N22)*100</f>
        <v>-19.275173296621016</v>
      </c>
      <c r="Q22" s="313" t="s">
        <v>0</v>
      </c>
      <c r="R22" s="313"/>
      <c r="S22" s="292">
        <v>162327</v>
      </c>
      <c r="T22" s="292">
        <v>165612</v>
      </c>
      <c r="U22" s="314">
        <f>((T22-S22)/S22)*100</f>
        <v>2.0236929161507331</v>
      </c>
      <c r="V22" s="292">
        <v>155660</v>
      </c>
      <c r="W22" s="292">
        <v>165612</v>
      </c>
      <c r="X22" s="314">
        <f>((W22-V22)/V22)*100</f>
        <v>6.3934215598098421</v>
      </c>
      <c r="Y22" s="313" t="s">
        <v>0</v>
      </c>
      <c r="Z22" s="313"/>
      <c r="AA22" s="292">
        <v>151747</v>
      </c>
      <c r="AB22" s="292">
        <v>155660</v>
      </c>
      <c r="AC22" s="314">
        <f>((AB22-AA22)/AA22)*100</f>
        <v>2.5786341739869654</v>
      </c>
      <c r="AD22" s="292">
        <v>155200</v>
      </c>
      <c r="AE22" s="292">
        <v>155660</v>
      </c>
      <c r="AF22" s="314">
        <f>((AE22-AD22)/AD22)*100</f>
        <v>0.29639175257731959</v>
      </c>
      <c r="AG22" s="313" t="s">
        <v>0</v>
      </c>
      <c r="AH22" s="313"/>
      <c r="AI22" s="292">
        <v>148118</v>
      </c>
      <c r="AJ22" s="292">
        <v>155200</v>
      </c>
      <c r="AK22" s="314">
        <f>((AJ22-AI22)/AI22)*100</f>
        <v>4.7813229992303432</v>
      </c>
      <c r="AL22" s="292">
        <v>150604</v>
      </c>
      <c r="AM22" s="292">
        <v>155200</v>
      </c>
      <c r="AN22" s="314">
        <f>((AM22-AL22)/AL22)*100</f>
        <v>3.0517117739236674</v>
      </c>
      <c r="AO22" s="313" t="s">
        <v>0</v>
      </c>
      <c r="AP22" s="313"/>
      <c r="AQ22" s="292">
        <v>156266</v>
      </c>
      <c r="AR22" s="292">
        <v>150604</v>
      </c>
      <c r="AS22" s="314">
        <f>((AR22-AQ22)/AQ22)*100</f>
        <v>-3.6233089731611483</v>
      </c>
      <c r="AT22" s="292">
        <v>183071</v>
      </c>
      <c r="AU22" s="292">
        <v>150604</v>
      </c>
      <c r="AV22" s="314">
        <f>((AU22-AT22)/AT22)*100</f>
        <v>-17.734649398320869</v>
      </c>
      <c r="AW22" s="313" t="s">
        <v>0</v>
      </c>
      <c r="AX22" s="313"/>
      <c r="AY22" s="292">
        <v>179595</v>
      </c>
      <c r="AZ22" s="292">
        <v>183071</v>
      </c>
      <c r="BA22" s="314">
        <f>((AZ22-AY22)/AY22)*100</f>
        <v>1.9354659094072773</v>
      </c>
      <c r="BB22" s="292">
        <v>178237</v>
      </c>
      <c r="BC22" s="292">
        <v>183071</v>
      </c>
      <c r="BD22" s="314">
        <f>((BC22-BB22)/BB22)*100</f>
        <v>2.7121192569444053</v>
      </c>
      <c r="BE22" s="313" t="s">
        <v>0</v>
      </c>
      <c r="BF22" s="313"/>
      <c r="BG22" s="292">
        <v>166196</v>
      </c>
      <c r="BH22" s="292">
        <v>178237</v>
      </c>
      <c r="BI22" s="314">
        <f>((BH22-BG22)/BG22)*100</f>
        <v>7.2450600495800144</v>
      </c>
      <c r="BJ22" s="292">
        <v>154496</v>
      </c>
      <c r="BK22" s="292">
        <v>178237</v>
      </c>
      <c r="BL22" s="314">
        <f>((BK22-BJ22)/BJ22)*100</f>
        <v>15.366740886495442</v>
      </c>
      <c r="BM22" s="313" t="s">
        <v>0</v>
      </c>
      <c r="BN22" s="313"/>
      <c r="BO22" s="292">
        <v>152261</v>
      </c>
      <c r="BP22" s="292">
        <v>154496</v>
      </c>
      <c r="BQ22" s="314">
        <f>((BP22-BO22)/BO22)*100</f>
        <v>1.467874242255075</v>
      </c>
      <c r="BR22" s="292">
        <v>166412</v>
      </c>
      <c r="BS22" s="292">
        <v>154496</v>
      </c>
      <c r="BT22" s="314">
        <f>((BS22-BR22)/BR22)*100</f>
        <v>-7.1605413071172759</v>
      </c>
      <c r="BV22" s="168"/>
      <c r="BW22" s="168" t="s">
        <v>51</v>
      </c>
      <c r="BX22" s="277">
        <f>ม.ค.!BX22</f>
        <v>57120</v>
      </c>
      <c r="BY22" s="169">
        <v>60211</v>
      </c>
      <c r="BZ22" s="167">
        <f t="shared" ref="BZ22:BZ31" si="59">((BY22-BX22)/BX22)*100</f>
        <v>5.4114145658263304</v>
      </c>
      <c r="CA22" s="169">
        <v>72285</v>
      </c>
      <c r="CB22" s="169">
        <f t="shared" si="51"/>
        <v>60211</v>
      </c>
      <c r="CC22" s="167">
        <f t="shared" si="52"/>
        <v>-16.703327107975376</v>
      </c>
      <c r="CD22" s="167"/>
      <c r="CF22" s="168" t="s">
        <v>51</v>
      </c>
      <c r="CG22" s="277">
        <v>65890</v>
      </c>
      <c r="CH22" s="169">
        <v>71478</v>
      </c>
      <c r="CI22" s="167">
        <f t="shared" ref="CI22:CI31" si="60">((CH22-CG22)/CG22)*100</f>
        <v>8.4808013355592653</v>
      </c>
      <c r="CJ22" s="169">
        <v>69640</v>
      </c>
      <c r="CK22" s="169">
        <v>71478</v>
      </c>
      <c r="CL22" s="167">
        <f t="shared" si="53"/>
        <v>2.639287765651924</v>
      </c>
      <c r="CN22" s="168"/>
      <c r="CO22" s="168" t="s">
        <v>51</v>
      </c>
      <c r="CP22" s="169">
        <v>65304</v>
      </c>
      <c r="CQ22" s="169">
        <v>69640</v>
      </c>
      <c r="CR22" s="167">
        <f t="shared" ref="CR22:CR31" si="61">((CQ22-CP22)/CP22)*100</f>
        <v>6.6397157907631996</v>
      </c>
      <c r="CS22" s="169">
        <v>104268</v>
      </c>
      <c r="CT22" s="169">
        <v>69640</v>
      </c>
      <c r="CU22" s="167">
        <f t="shared" si="54"/>
        <v>-33.210572754824106</v>
      </c>
      <c r="CV22" s="73"/>
      <c r="CW22" s="219"/>
      <c r="CX22" s="219" t="s">
        <v>51</v>
      </c>
      <c r="CY22" s="220">
        <v>104120</v>
      </c>
      <c r="CZ22" s="220">
        <v>104268</v>
      </c>
      <c r="DA22" s="218">
        <f t="shared" ref="DA22:DA31" si="62">((CZ22-CY22)/CY22)*100</f>
        <v>0.14214368036880523</v>
      </c>
      <c r="DB22" s="222">
        <v>46528</v>
      </c>
      <c r="DC22" s="220">
        <v>104268</v>
      </c>
      <c r="DD22" s="218">
        <f t="shared" ref="DD22:DD31" si="63">((DC22-DB22)/DB22)*100</f>
        <v>124.09731774415407</v>
      </c>
      <c r="DE22" s="73"/>
      <c r="DF22" s="168"/>
      <c r="DG22" s="168" t="s">
        <v>51</v>
      </c>
      <c r="DH22" s="169">
        <f>9972+16798+8516+3003+1857+98+34</f>
        <v>40278</v>
      </c>
      <c r="DI22" s="169">
        <v>46528</v>
      </c>
      <c r="DJ22" s="167">
        <f t="shared" ref="DJ22:DJ31" si="64">((DI22-DH22)/DH22)*100</f>
        <v>15.517155767416455</v>
      </c>
      <c r="DK22" s="169">
        <v>55550</v>
      </c>
      <c r="DL22" s="169">
        <v>46528</v>
      </c>
      <c r="DM22" s="167">
        <f t="shared" ref="DM22:DM31" si="65">((DL22-DK22)/DK22)*100</f>
        <v>-16.241224122412241</v>
      </c>
      <c r="DN22" s="155"/>
      <c r="DO22" s="138"/>
      <c r="DP22" s="138" t="s">
        <v>51</v>
      </c>
      <c r="DQ22" s="139">
        <v>56665</v>
      </c>
      <c r="DR22" s="139">
        <f>8077+25221+15164+4287+2582+137+82</f>
        <v>55550</v>
      </c>
      <c r="DS22" s="137">
        <f t="shared" ref="DS22:DS31" si="66">((DR22-DQ22)/DQ22)*100</f>
        <v>-1.9677049324980145</v>
      </c>
      <c r="DT22" s="139">
        <v>36854</v>
      </c>
      <c r="DU22" s="139">
        <v>55550</v>
      </c>
      <c r="DV22" s="137">
        <f t="shared" ref="DV22:DV31" si="67">((DU22-DT22)/DT22)*100</f>
        <v>50.729907201389267</v>
      </c>
      <c r="DW22" s="73"/>
      <c r="DX22" s="89"/>
      <c r="DY22" s="89" t="s">
        <v>51</v>
      </c>
      <c r="DZ22" s="90">
        <v>32672</v>
      </c>
      <c r="EA22" s="90">
        <v>36854</v>
      </c>
      <c r="EB22" s="88">
        <f t="shared" ref="EB22:EB31" si="68">((EA22-DZ22)/DZ22)*100</f>
        <v>12.799951028403525</v>
      </c>
      <c r="EC22" s="90">
        <v>15949</v>
      </c>
      <c r="ED22" s="90">
        <v>36854</v>
      </c>
      <c r="EE22" s="88">
        <f t="shared" ref="EE22:EE31" si="69">((ED22-EC22)/EC22)*100</f>
        <v>131.07404852968838</v>
      </c>
      <c r="EF22" s="73"/>
      <c r="EG22" s="42"/>
      <c r="EH22" s="42" t="s">
        <v>51</v>
      </c>
      <c r="EI22" s="43">
        <v>19115</v>
      </c>
      <c r="EJ22" s="43">
        <v>15949</v>
      </c>
      <c r="EK22" s="44">
        <f t="shared" si="55"/>
        <v>-16.56290871043683</v>
      </c>
      <c r="EL22" s="45">
        <v>34636</v>
      </c>
      <c r="EM22" s="43">
        <v>15949</v>
      </c>
      <c r="EN22" s="44">
        <f t="shared" si="56"/>
        <v>-53.952534934749977</v>
      </c>
      <c r="EO22" s="61"/>
      <c r="EP22" s="89"/>
      <c r="EQ22" s="89" t="s">
        <v>51</v>
      </c>
      <c r="ER22" s="90">
        <v>28048</v>
      </c>
      <c r="ES22" s="90">
        <v>34636</v>
      </c>
      <c r="ET22" s="91">
        <f t="shared" si="57"/>
        <v>23.488305761551626</v>
      </c>
      <c r="EU22" s="92">
        <v>21349</v>
      </c>
      <c r="EV22" s="90">
        <v>34636</v>
      </c>
      <c r="EW22" s="91">
        <f t="shared" si="58"/>
        <v>62.237107124455484</v>
      </c>
      <c r="EX22" s="61"/>
    </row>
    <row r="23" spans="1:154" x14ac:dyDescent="0.5">
      <c r="A23" s="313"/>
      <c r="B23" s="313" t="s">
        <v>51</v>
      </c>
      <c r="C23" s="315">
        <v>34886</v>
      </c>
      <c r="D23" s="315">
        <v>37756</v>
      </c>
      <c r="E23" s="314">
        <f t="shared" ref="E23:E32" si="70">((D23-C23)/C23)*100</f>
        <v>8.2267958493378437</v>
      </c>
      <c r="F23" s="315">
        <v>49805</v>
      </c>
      <c r="G23" s="315">
        <v>37756</v>
      </c>
      <c r="H23" s="314">
        <f t="shared" ref="H23:H32" si="71">((G23-F23)/F23)*100</f>
        <v>-24.192350165646019</v>
      </c>
      <c r="I23" s="313"/>
      <c r="J23" s="313" t="s">
        <v>51</v>
      </c>
      <c r="K23" s="315">
        <v>51854</v>
      </c>
      <c r="L23" s="315">
        <v>49805</v>
      </c>
      <c r="M23" s="314">
        <f t="shared" ref="M23:M32" si="72">((L23-K23)/K23)*100</f>
        <v>-3.9514791530065181</v>
      </c>
      <c r="N23" s="315">
        <v>58482</v>
      </c>
      <c r="O23" s="315">
        <v>49805</v>
      </c>
      <c r="P23" s="314">
        <f t="shared" ref="P23:P32" si="73">((O23-N23)/N23)*100</f>
        <v>-14.837043876748401</v>
      </c>
      <c r="Q23" s="313"/>
      <c r="R23" s="313" t="s">
        <v>51</v>
      </c>
      <c r="S23" s="315">
        <v>55918</v>
      </c>
      <c r="T23" s="315">
        <v>58482</v>
      </c>
      <c r="U23" s="314">
        <f t="shared" ref="U23:U32" si="74">((T23-S23)/S23)*100</f>
        <v>4.5852855967666937</v>
      </c>
      <c r="V23" s="315">
        <v>41494</v>
      </c>
      <c r="W23" s="315">
        <v>58482</v>
      </c>
      <c r="X23" s="314">
        <f t="shared" ref="X23:X32" si="75">((W23-V23)/V23)*100</f>
        <v>40.94085891936183</v>
      </c>
      <c r="Y23" s="313"/>
      <c r="Z23" s="313" t="s">
        <v>51</v>
      </c>
      <c r="AA23" s="315">
        <v>44829</v>
      </c>
      <c r="AB23" s="315">
        <v>41494</v>
      </c>
      <c r="AC23" s="314">
        <f t="shared" ref="AC23:AC32" si="76">((AB23-AA23)/AA23)*100</f>
        <v>-7.4393807579914792</v>
      </c>
      <c r="AD23" s="315">
        <v>58282</v>
      </c>
      <c r="AE23" s="315">
        <v>41494</v>
      </c>
      <c r="AF23" s="314">
        <f t="shared" ref="AF23:AF32" si="77">((AE23-AD23)/AD23)*100</f>
        <v>-28.804776774990565</v>
      </c>
      <c r="AG23" s="313"/>
      <c r="AH23" s="313" t="s">
        <v>51</v>
      </c>
      <c r="AI23" s="315">
        <v>53153</v>
      </c>
      <c r="AJ23" s="315">
        <v>58282</v>
      </c>
      <c r="AK23" s="314">
        <f t="shared" ref="AK23:AK32" si="78">((AJ23-AI23)/AI23)*100</f>
        <v>9.6495023799221116</v>
      </c>
      <c r="AL23" s="315">
        <v>58414</v>
      </c>
      <c r="AM23" s="315">
        <v>58282</v>
      </c>
      <c r="AN23" s="314">
        <f t="shared" ref="AN23:AN32" si="79">((AM23-AL23)/AL23)*100</f>
        <v>-0.22597322559660357</v>
      </c>
      <c r="AO23" s="313"/>
      <c r="AP23" s="313" t="s">
        <v>51</v>
      </c>
      <c r="AQ23" s="315">
        <v>58906</v>
      </c>
      <c r="AR23" s="315">
        <v>58414</v>
      </c>
      <c r="AS23" s="314">
        <f t="shared" ref="AS23:AS32" si="80">((AR23-AQ23)/AQ23)*100</f>
        <v>-0.83522900892948093</v>
      </c>
      <c r="AT23" s="315">
        <v>73269</v>
      </c>
      <c r="AU23" s="315">
        <v>58414</v>
      </c>
      <c r="AV23" s="314">
        <f t="shared" ref="AV23:AV32" si="81">((AU23-AT23)/AT23)*100</f>
        <v>-20.274604539436869</v>
      </c>
      <c r="AW23" s="313"/>
      <c r="AX23" s="313" t="s">
        <v>51</v>
      </c>
      <c r="AY23" s="315">
        <v>72756</v>
      </c>
      <c r="AZ23" s="315">
        <v>73269</v>
      </c>
      <c r="BA23" s="314">
        <f t="shared" ref="BA23:BA32" si="82">((AZ23-AY23)/AY23)*100</f>
        <v>0.70509648688767934</v>
      </c>
      <c r="BB23" s="315">
        <v>71907</v>
      </c>
      <c r="BC23" s="315">
        <v>73269</v>
      </c>
      <c r="BD23" s="314">
        <f t="shared" ref="BD23:BD32" si="83">((BC23-BB23)/BB23)*100</f>
        <v>1.8941132295882184</v>
      </c>
      <c r="BE23" s="313"/>
      <c r="BF23" s="313" t="s">
        <v>51</v>
      </c>
      <c r="BG23" s="315">
        <v>67734</v>
      </c>
      <c r="BH23" s="315">
        <v>71907</v>
      </c>
      <c r="BI23" s="314">
        <f t="shared" ref="BI23:BI32" si="84">((BH23-BG23)/BG23)*100</f>
        <v>6.1608645584197008</v>
      </c>
      <c r="BJ23" s="315">
        <v>63686</v>
      </c>
      <c r="BK23" s="315">
        <v>71907</v>
      </c>
      <c r="BL23" s="314">
        <f t="shared" ref="BL23:BL32" si="85">((BK23-BJ23)/BJ23)*100</f>
        <v>12.908645542191376</v>
      </c>
      <c r="BM23" s="313"/>
      <c r="BN23" s="313" t="s">
        <v>51</v>
      </c>
      <c r="BO23" s="315">
        <v>64615</v>
      </c>
      <c r="BP23" s="315">
        <v>63686</v>
      </c>
      <c r="BQ23" s="314">
        <f t="shared" ref="BQ23:BQ32" si="86">((BP23-BO23)/BO23)*100</f>
        <v>-1.4377466532538885</v>
      </c>
      <c r="BR23" s="315">
        <v>60211</v>
      </c>
      <c r="BS23" s="315">
        <v>63686</v>
      </c>
      <c r="BT23" s="314">
        <f t="shared" ref="BT23:BT32" si="87">((BS23-BR23)/BR23)*100</f>
        <v>5.7713706797761208</v>
      </c>
      <c r="BV23" s="168"/>
      <c r="BW23" s="168" t="s">
        <v>52</v>
      </c>
      <c r="BX23" s="277">
        <f>ม.ค.!BX23</f>
        <v>88621</v>
      </c>
      <c r="BY23" s="169">
        <v>103937</v>
      </c>
      <c r="BZ23" s="167">
        <f t="shared" si="59"/>
        <v>17.282585391724307</v>
      </c>
      <c r="CA23" s="169">
        <v>104289</v>
      </c>
      <c r="CB23" s="169">
        <f t="shared" si="51"/>
        <v>103937</v>
      </c>
      <c r="CC23" s="167">
        <f t="shared" si="52"/>
        <v>-0.33752361226975036</v>
      </c>
      <c r="CD23" s="167"/>
      <c r="CF23" s="168" t="s">
        <v>52</v>
      </c>
      <c r="CG23" s="277">
        <f>8587+32411+56902</f>
        <v>97900</v>
      </c>
      <c r="CH23" s="169">
        <v>104289</v>
      </c>
      <c r="CI23" s="167">
        <f t="shared" si="60"/>
        <v>6.5260469867211439</v>
      </c>
      <c r="CJ23" s="169">
        <v>101956</v>
      </c>
      <c r="CK23" s="169">
        <v>104289</v>
      </c>
      <c r="CL23" s="167">
        <f t="shared" si="53"/>
        <v>2.288241986739378</v>
      </c>
      <c r="CN23" s="168"/>
      <c r="CO23" s="168" t="s">
        <v>52</v>
      </c>
      <c r="CP23" s="169">
        <f>10752+32699+51821</f>
        <v>95272</v>
      </c>
      <c r="CQ23" s="169">
        <v>101956</v>
      </c>
      <c r="CR23" s="167">
        <f t="shared" si="61"/>
        <v>7.0157024099420608</v>
      </c>
      <c r="CS23" s="169">
        <f>11135+45048+64109</f>
        <v>120292</v>
      </c>
      <c r="CT23" s="169">
        <f>12517+34816+54623</f>
        <v>101956</v>
      </c>
      <c r="CU23" s="167">
        <f t="shared" si="54"/>
        <v>-15.242908921624048</v>
      </c>
      <c r="CV23" s="73"/>
      <c r="CW23" s="219"/>
      <c r="CX23" s="219" t="s">
        <v>52</v>
      </c>
      <c r="CY23" s="220">
        <v>127689</v>
      </c>
      <c r="CZ23" s="220">
        <v>120292</v>
      </c>
      <c r="DA23" s="218">
        <f t="shared" si="62"/>
        <v>-5.7929813844575486</v>
      </c>
      <c r="DB23" s="222">
        <v>117598</v>
      </c>
      <c r="DC23" s="220">
        <v>120292</v>
      </c>
      <c r="DD23" s="218">
        <f t="shared" si="63"/>
        <v>2.2908552866545349</v>
      </c>
      <c r="DE23" s="73"/>
      <c r="DF23" s="168"/>
      <c r="DG23" s="168" t="s">
        <v>52</v>
      </c>
      <c r="DH23" s="169">
        <f>10167+34498+52510</f>
        <v>97175</v>
      </c>
      <c r="DI23" s="169">
        <v>117598</v>
      </c>
      <c r="DJ23" s="167">
        <f t="shared" si="64"/>
        <v>21.016722408026755</v>
      </c>
      <c r="DK23" s="169">
        <v>93245</v>
      </c>
      <c r="DL23" s="169">
        <v>117598</v>
      </c>
      <c r="DM23" s="167">
        <f t="shared" si="65"/>
        <v>26.11721808139847</v>
      </c>
      <c r="DN23" s="155"/>
      <c r="DO23" s="138"/>
      <c r="DP23" s="138" t="s">
        <v>52</v>
      </c>
      <c r="DQ23" s="139">
        <v>87150</v>
      </c>
      <c r="DR23" s="139">
        <f>9193+37233+46819</f>
        <v>93245</v>
      </c>
      <c r="DS23" s="137">
        <f t="shared" si="66"/>
        <v>6.9936890418818134</v>
      </c>
      <c r="DT23" s="139">
        <v>89205</v>
      </c>
      <c r="DU23" s="139">
        <v>93245</v>
      </c>
      <c r="DV23" s="137">
        <f t="shared" si="67"/>
        <v>4.5288941202847379</v>
      </c>
      <c r="DW23" s="73"/>
      <c r="DX23" s="89"/>
      <c r="DY23" s="89" t="s">
        <v>52</v>
      </c>
      <c r="DZ23" s="90">
        <v>69586</v>
      </c>
      <c r="EA23" s="90">
        <v>89205</v>
      </c>
      <c r="EB23" s="88">
        <f t="shared" si="68"/>
        <v>28.193889575489322</v>
      </c>
      <c r="EC23" s="90">
        <v>43952</v>
      </c>
      <c r="ED23" s="90">
        <v>89205</v>
      </c>
      <c r="EE23" s="88">
        <f t="shared" si="69"/>
        <v>102.96004732435384</v>
      </c>
      <c r="EF23" s="73"/>
      <c r="EG23" s="42"/>
      <c r="EH23" s="42" t="s">
        <v>52</v>
      </c>
      <c r="EI23" s="43">
        <v>52180</v>
      </c>
      <c r="EJ23" s="43">
        <v>43952</v>
      </c>
      <c r="EK23" s="44">
        <f t="shared" si="55"/>
        <v>-15.76849367573783</v>
      </c>
      <c r="EL23" s="45">
        <v>87226</v>
      </c>
      <c r="EM23" s="43">
        <v>43952</v>
      </c>
      <c r="EN23" s="44">
        <f t="shared" si="56"/>
        <v>-49.611354412675119</v>
      </c>
      <c r="EO23" s="61"/>
      <c r="EP23" s="89"/>
      <c r="EQ23" s="89" t="s">
        <v>52</v>
      </c>
      <c r="ER23" s="90">
        <v>78349</v>
      </c>
      <c r="ES23" s="90">
        <v>87226</v>
      </c>
      <c r="ET23" s="91">
        <f t="shared" si="57"/>
        <v>11.330074410649784</v>
      </c>
      <c r="EU23" s="92">
        <v>72221</v>
      </c>
      <c r="EV23" s="90">
        <v>87226</v>
      </c>
      <c r="EW23" s="91">
        <f t="shared" si="58"/>
        <v>20.776505448553745</v>
      </c>
      <c r="EX23" s="61"/>
    </row>
    <row r="24" spans="1:154" x14ac:dyDescent="0.5">
      <c r="A24" s="313"/>
      <c r="B24" s="313" t="s">
        <v>52</v>
      </c>
      <c r="C24" s="315">
        <v>70604</v>
      </c>
      <c r="D24" s="315">
        <v>76017</v>
      </c>
      <c r="E24" s="314">
        <f t="shared" si="70"/>
        <v>7.666704436009292</v>
      </c>
      <c r="F24" s="315">
        <v>80252</v>
      </c>
      <c r="G24" s="315">
        <v>76017</v>
      </c>
      <c r="H24" s="314">
        <f t="shared" si="71"/>
        <v>-5.2771270497931519</v>
      </c>
      <c r="I24" s="313"/>
      <c r="J24" s="313" t="s">
        <v>52</v>
      </c>
      <c r="K24" s="315">
        <v>86788</v>
      </c>
      <c r="L24" s="315">
        <v>80252</v>
      </c>
      <c r="M24" s="314">
        <f t="shared" si="72"/>
        <v>-7.5309950684426417</v>
      </c>
      <c r="N24" s="315">
        <v>103916</v>
      </c>
      <c r="O24" s="315">
        <v>80252</v>
      </c>
      <c r="P24" s="314">
        <f t="shared" si="73"/>
        <v>-22.772239116209246</v>
      </c>
      <c r="Q24" s="313"/>
      <c r="R24" s="313" t="s">
        <v>52</v>
      </c>
      <c r="S24" s="315">
        <v>103348</v>
      </c>
      <c r="T24" s="315">
        <v>103916</v>
      </c>
      <c r="U24" s="314">
        <f t="shared" si="74"/>
        <v>0.54959941169640436</v>
      </c>
      <c r="V24" s="315">
        <v>110360</v>
      </c>
      <c r="W24" s="315">
        <v>103916</v>
      </c>
      <c r="X24" s="314">
        <f t="shared" si="75"/>
        <v>-5.8390721275824573</v>
      </c>
      <c r="Y24" s="313"/>
      <c r="Z24" s="313" t="s">
        <v>52</v>
      </c>
      <c r="AA24" s="315">
        <v>103308</v>
      </c>
      <c r="AB24" s="315">
        <v>110360</v>
      </c>
      <c r="AC24" s="314">
        <f t="shared" si="76"/>
        <v>6.8261896464939795</v>
      </c>
      <c r="AD24" s="315">
        <v>94123</v>
      </c>
      <c r="AE24" s="315">
        <v>110360</v>
      </c>
      <c r="AF24" s="314">
        <f t="shared" si="77"/>
        <v>17.250831358966458</v>
      </c>
      <c r="AG24" s="313"/>
      <c r="AH24" s="313" t="s">
        <v>52</v>
      </c>
      <c r="AI24" s="315">
        <v>92339</v>
      </c>
      <c r="AJ24" s="315">
        <v>94123</v>
      </c>
      <c r="AK24" s="314">
        <f t="shared" si="78"/>
        <v>1.9320113928026079</v>
      </c>
      <c r="AL24" s="315">
        <v>89305</v>
      </c>
      <c r="AM24" s="315">
        <v>94123</v>
      </c>
      <c r="AN24" s="314">
        <f t="shared" si="79"/>
        <v>5.3949946811488712</v>
      </c>
      <c r="AO24" s="313"/>
      <c r="AP24" s="313" t="s">
        <v>52</v>
      </c>
      <c r="AQ24" s="315">
        <v>94587</v>
      </c>
      <c r="AR24" s="315">
        <v>89305</v>
      </c>
      <c r="AS24" s="314">
        <f t="shared" si="80"/>
        <v>-5.5842769090889863</v>
      </c>
      <c r="AT24" s="315">
        <v>106382</v>
      </c>
      <c r="AU24" s="315">
        <v>89305</v>
      </c>
      <c r="AV24" s="314">
        <f t="shared" si="81"/>
        <v>-16.052527683254684</v>
      </c>
      <c r="AW24" s="313"/>
      <c r="AX24" s="313" t="s">
        <v>52</v>
      </c>
      <c r="AY24" s="315">
        <v>103670</v>
      </c>
      <c r="AZ24" s="315">
        <v>106382</v>
      </c>
      <c r="BA24" s="314">
        <f t="shared" si="82"/>
        <v>2.6159930548856951</v>
      </c>
      <c r="BB24" s="315">
        <v>103197</v>
      </c>
      <c r="BC24" s="315">
        <v>106382</v>
      </c>
      <c r="BD24" s="314">
        <f t="shared" si="83"/>
        <v>3.0863300289737108</v>
      </c>
      <c r="BE24" s="313"/>
      <c r="BF24" s="313" t="s">
        <v>52</v>
      </c>
      <c r="BG24" s="315">
        <v>95587</v>
      </c>
      <c r="BH24" s="315">
        <v>103197</v>
      </c>
      <c r="BI24" s="314">
        <f t="shared" si="84"/>
        <v>7.9613336541579924</v>
      </c>
      <c r="BJ24" s="315">
        <v>87838</v>
      </c>
      <c r="BK24" s="315">
        <v>103197</v>
      </c>
      <c r="BL24" s="314">
        <f t="shared" si="85"/>
        <v>17.485598488125866</v>
      </c>
      <c r="BM24" s="313"/>
      <c r="BN24" s="313" t="s">
        <v>52</v>
      </c>
      <c r="BO24" s="315">
        <v>84777</v>
      </c>
      <c r="BP24" s="315">
        <v>87838</v>
      </c>
      <c r="BQ24" s="314">
        <f t="shared" si="86"/>
        <v>3.6106491147363085</v>
      </c>
      <c r="BR24" s="315">
        <v>103937</v>
      </c>
      <c r="BS24" s="315">
        <v>87838</v>
      </c>
      <c r="BT24" s="314">
        <f t="shared" si="87"/>
        <v>-15.48919056736292</v>
      </c>
      <c r="BV24" s="168"/>
      <c r="BW24" s="168" t="s">
        <v>53</v>
      </c>
      <c r="BX24" s="277">
        <f>ม.ค.!BX24</f>
        <v>1910</v>
      </c>
      <c r="BY24" s="169">
        <v>2264</v>
      </c>
      <c r="BZ24" s="167">
        <f t="shared" si="59"/>
        <v>18.534031413612563</v>
      </c>
      <c r="CA24" s="169">
        <v>2584</v>
      </c>
      <c r="CB24" s="169">
        <f t="shared" si="51"/>
        <v>2264</v>
      </c>
      <c r="CC24" s="167">
        <f t="shared" si="52"/>
        <v>-12.383900928792571</v>
      </c>
      <c r="CD24" s="167"/>
      <c r="CF24" s="168" t="s">
        <v>53</v>
      </c>
      <c r="CG24" s="277">
        <f>507+389+1681+33</f>
        <v>2610</v>
      </c>
      <c r="CH24" s="169">
        <v>2584</v>
      </c>
      <c r="CI24" s="167">
        <f t="shared" si="60"/>
        <v>-0.99616858237547901</v>
      </c>
      <c r="CJ24" s="169">
        <v>1910</v>
      </c>
      <c r="CK24" s="169">
        <v>2584</v>
      </c>
      <c r="CL24" s="167">
        <f t="shared" si="53"/>
        <v>35.287958115183244</v>
      </c>
      <c r="CN24" s="168"/>
      <c r="CO24" s="168" t="s">
        <v>53</v>
      </c>
      <c r="CP24" s="169">
        <f>49+375+250+1402</f>
        <v>2076</v>
      </c>
      <c r="CQ24" s="169">
        <v>1910</v>
      </c>
      <c r="CR24" s="167">
        <f t="shared" si="61"/>
        <v>-7.9961464354527942</v>
      </c>
      <c r="CS24" s="169">
        <f>90+1029+636+2889</f>
        <v>4644</v>
      </c>
      <c r="CT24" s="169">
        <f>55+363+162+1330</f>
        <v>1910</v>
      </c>
      <c r="CU24" s="167">
        <f t="shared" si="54"/>
        <v>-58.871662360034449</v>
      </c>
      <c r="CV24" s="73"/>
      <c r="CW24" s="219"/>
      <c r="CX24" s="219" t="s">
        <v>53</v>
      </c>
      <c r="CY24" s="220">
        <v>4216</v>
      </c>
      <c r="CZ24" s="220">
        <v>4644</v>
      </c>
      <c r="DA24" s="218">
        <f t="shared" si="62"/>
        <v>10.15180265654649</v>
      </c>
      <c r="DB24" s="222">
        <v>3970</v>
      </c>
      <c r="DC24" s="220">
        <v>4644</v>
      </c>
      <c r="DD24" s="218">
        <f t="shared" si="63"/>
        <v>16.977329974811084</v>
      </c>
      <c r="DE24" s="73"/>
      <c r="DF24" s="168"/>
      <c r="DG24" s="168" t="s">
        <v>53</v>
      </c>
      <c r="DH24" s="169">
        <f>37+380+516+2018</f>
        <v>2951</v>
      </c>
      <c r="DI24" s="169">
        <v>4095</v>
      </c>
      <c r="DJ24" s="167">
        <f t="shared" si="64"/>
        <v>38.766519823788549</v>
      </c>
      <c r="DK24" s="169">
        <v>1948</v>
      </c>
      <c r="DL24" s="169">
        <v>4095</v>
      </c>
      <c r="DM24" s="167">
        <f t="shared" si="65"/>
        <v>110.21560574948666</v>
      </c>
      <c r="DN24" s="155"/>
      <c r="DO24" s="138"/>
      <c r="DP24" s="138" t="s">
        <v>53</v>
      </c>
      <c r="DQ24" s="139">
        <v>2419</v>
      </c>
      <c r="DR24" s="139">
        <f>41+701+485+721</f>
        <v>1948</v>
      </c>
      <c r="DS24" s="137">
        <f t="shared" si="66"/>
        <v>-19.470855725506407</v>
      </c>
      <c r="DT24" s="139">
        <v>1790</v>
      </c>
      <c r="DU24" s="139">
        <v>1948</v>
      </c>
      <c r="DV24" s="137">
        <f t="shared" si="67"/>
        <v>8.8268156424581008</v>
      </c>
      <c r="DW24" s="73"/>
      <c r="DX24" s="89"/>
      <c r="DY24" s="89" t="s">
        <v>53</v>
      </c>
      <c r="DZ24" s="90">
        <v>1591</v>
      </c>
      <c r="EA24" s="90">
        <v>1790</v>
      </c>
      <c r="EB24" s="88">
        <f t="shared" si="68"/>
        <v>12.507856693903205</v>
      </c>
      <c r="EC24" s="90">
        <v>1166</v>
      </c>
      <c r="ED24" s="90">
        <v>1790</v>
      </c>
      <c r="EE24" s="88">
        <f t="shared" si="69"/>
        <v>53.516295025728986</v>
      </c>
      <c r="EF24" s="73"/>
      <c r="EG24" s="42"/>
      <c r="EH24" s="42" t="s">
        <v>53</v>
      </c>
      <c r="EI24" s="43">
        <v>1161</v>
      </c>
      <c r="EJ24" s="43">
        <v>1166</v>
      </c>
      <c r="EK24" s="44">
        <f t="shared" si="55"/>
        <v>0.4306632213608958</v>
      </c>
      <c r="EL24" s="45">
        <v>1689</v>
      </c>
      <c r="EM24" s="43">
        <v>1166</v>
      </c>
      <c r="EN24" s="44">
        <f t="shared" si="56"/>
        <v>-30.965068087625813</v>
      </c>
      <c r="EO24" s="61"/>
      <c r="EP24" s="89"/>
      <c r="EQ24" s="89" t="s">
        <v>53</v>
      </c>
      <c r="ER24" s="90">
        <v>1732</v>
      </c>
      <c r="ES24" s="90">
        <v>1689</v>
      </c>
      <c r="ET24" s="91">
        <f t="shared" si="57"/>
        <v>-2.4826789838337184</v>
      </c>
      <c r="EU24" s="92">
        <v>1856</v>
      </c>
      <c r="EV24" s="90">
        <v>1689</v>
      </c>
      <c r="EW24" s="91">
        <f t="shared" si="58"/>
        <v>-8.9978448275862064</v>
      </c>
      <c r="EX24" s="61"/>
    </row>
    <row r="25" spans="1:154" x14ac:dyDescent="0.5">
      <c r="A25" s="313"/>
      <c r="B25" s="313" t="s">
        <v>53</v>
      </c>
      <c r="C25" s="315">
        <v>1613</v>
      </c>
      <c r="D25" s="315">
        <v>1714</v>
      </c>
      <c r="E25" s="314">
        <f t="shared" si="70"/>
        <v>6.2616243025418479</v>
      </c>
      <c r="F25" s="315">
        <v>3633</v>
      </c>
      <c r="G25" s="315">
        <v>1714</v>
      </c>
      <c r="H25" s="314">
        <f t="shared" si="71"/>
        <v>-52.821359757775944</v>
      </c>
      <c r="I25" s="313"/>
      <c r="J25" s="313" t="s">
        <v>53</v>
      </c>
      <c r="K25" s="315">
        <v>3460</v>
      </c>
      <c r="L25" s="315">
        <v>3633</v>
      </c>
      <c r="M25" s="314">
        <f t="shared" si="72"/>
        <v>5</v>
      </c>
      <c r="N25" s="315">
        <v>3214</v>
      </c>
      <c r="O25" s="315">
        <v>3633</v>
      </c>
      <c r="P25" s="314">
        <f t="shared" si="73"/>
        <v>13.036714374611078</v>
      </c>
      <c r="Q25" s="313"/>
      <c r="R25" s="313" t="s">
        <v>53</v>
      </c>
      <c r="S25" s="315">
        <v>3061</v>
      </c>
      <c r="T25" s="315">
        <v>3214</v>
      </c>
      <c r="U25" s="314">
        <f t="shared" si="74"/>
        <v>4.9983665468801046</v>
      </c>
      <c r="V25" s="315">
        <v>3806</v>
      </c>
      <c r="W25" s="315">
        <v>3214</v>
      </c>
      <c r="X25" s="314">
        <f t="shared" si="75"/>
        <v>-15.554387808723069</v>
      </c>
      <c r="Y25" s="313"/>
      <c r="Z25" s="313" t="s">
        <v>53</v>
      </c>
      <c r="AA25" s="315">
        <v>3610</v>
      </c>
      <c r="AB25" s="315">
        <v>3806</v>
      </c>
      <c r="AC25" s="314">
        <f t="shared" si="76"/>
        <v>5.4293628808864263</v>
      </c>
      <c r="AD25" s="315">
        <v>2795</v>
      </c>
      <c r="AE25" s="315">
        <v>3806</v>
      </c>
      <c r="AF25" s="314">
        <f t="shared" si="77"/>
        <v>36.171735241502681</v>
      </c>
      <c r="AG25" s="313"/>
      <c r="AH25" s="313" t="s">
        <v>53</v>
      </c>
      <c r="AI25" s="315">
        <v>2626</v>
      </c>
      <c r="AJ25" s="315">
        <v>2795</v>
      </c>
      <c r="AK25" s="314">
        <f t="shared" si="78"/>
        <v>6.435643564356436</v>
      </c>
      <c r="AL25" s="315">
        <v>2885</v>
      </c>
      <c r="AM25" s="315">
        <v>2795</v>
      </c>
      <c r="AN25" s="314">
        <f t="shared" si="79"/>
        <v>-3.119584055459272</v>
      </c>
      <c r="AO25" s="313"/>
      <c r="AP25" s="313" t="s">
        <v>53</v>
      </c>
      <c r="AQ25" s="315">
        <v>2773</v>
      </c>
      <c r="AR25" s="315">
        <v>2885</v>
      </c>
      <c r="AS25" s="314">
        <f t="shared" si="80"/>
        <v>4.0389469888207721</v>
      </c>
      <c r="AT25" s="315">
        <v>3420</v>
      </c>
      <c r="AU25" s="315">
        <v>2885</v>
      </c>
      <c r="AV25" s="314">
        <f t="shared" si="81"/>
        <v>-15.64327485380117</v>
      </c>
      <c r="AW25" s="313"/>
      <c r="AX25" s="313" t="s">
        <v>53</v>
      </c>
      <c r="AY25" s="315">
        <v>3169</v>
      </c>
      <c r="AZ25" s="315">
        <v>3420</v>
      </c>
      <c r="BA25" s="314">
        <f t="shared" si="82"/>
        <v>7.920479646576208</v>
      </c>
      <c r="BB25" s="315">
        <v>3133</v>
      </c>
      <c r="BC25" s="315">
        <v>3420</v>
      </c>
      <c r="BD25" s="314">
        <f t="shared" si="83"/>
        <v>9.1605489945738903</v>
      </c>
      <c r="BE25" s="313"/>
      <c r="BF25" s="313" t="s">
        <v>53</v>
      </c>
      <c r="BG25" s="315">
        <v>2875</v>
      </c>
      <c r="BH25" s="315">
        <v>3133</v>
      </c>
      <c r="BI25" s="314">
        <f t="shared" si="84"/>
        <v>8.9739130434782606</v>
      </c>
      <c r="BJ25" s="315">
        <v>2972</v>
      </c>
      <c r="BK25" s="315">
        <v>3133</v>
      </c>
      <c r="BL25" s="314">
        <f t="shared" si="85"/>
        <v>5.417227456258412</v>
      </c>
      <c r="BM25" s="313"/>
      <c r="BN25" s="313" t="s">
        <v>53</v>
      </c>
      <c r="BO25" s="315">
        <v>2869</v>
      </c>
      <c r="BP25" s="315">
        <v>2972</v>
      </c>
      <c r="BQ25" s="314">
        <f t="shared" si="86"/>
        <v>3.5901010805158591</v>
      </c>
      <c r="BR25" s="315">
        <v>2264</v>
      </c>
      <c r="BS25" s="315">
        <v>2972</v>
      </c>
      <c r="BT25" s="314">
        <f t="shared" si="87"/>
        <v>31.272084805653712</v>
      </c>
      <c r="BV25" s="165" t="s">
        <v>1</v>
      </c>
      <c r="BW25" s="165"/>
      <c r="BX25" s="292">
        <f>ม.ค.!BX25</f>
        <v>51821</v>
      </c>
      <c r="BY25" s="166">
        <v>57093</v>
      </c>
      <c r="BZ25" s="167">
        <f t="shared" si="59"/>
        <v>10.173481793095464</v>
      </c>
      <c r="CA25" s="166">
        <f>CK25</f>
        <v>63949</v>
      </c>
      <c r="CB25" s="166">
        <f t="shared" si="51"/>
        <v>57093</v>
      </c>
      <c r="CC25" s="167">
        <f t="shared" si="52"/>
        <v>-10.721043331404713</v>
      </c>
      <c r="CD25" s="167"/>
      <c r="CF25" s="165"/>
      <c r="CG25" s="292">
        <v>59721</v>
      </c>
      <c r="CH25" s="166">
        <v>63949</v>
      </c>
      <c r="CI25" s="167">
        <f t="shared" si="60"/>
        <v>7.0795867450310608</v>
      </c>
      <c r="CJ25" s="166">
        <v>71680</v>
      </c>
      <c r="CK25" s="166">
        <v>63949</v>
      </c>
      <c r="CL25" s="167">
        <f t="shared" si="53"/>
        <v>-10.785435267857142</v>
      </c>
      <c r="CN25" s="165" t="s">
        <v>1</v>
      </c>
      <c r="CO25" s="165"/>
      <c r="CP25" s="166">
        <f>SUM(CP26:CP29)</f>
        <v>68508</v>
      </c>
      <c r="CQ25" s="166">
        <v>71680</v>
      </c>
      <c r="CR25" s="167">
        <f t="shared" si="61"/>
        <v>4.6301161908098329</v>
      </c>
      <c r="CS25" s="166">
        <f>SUM(CS26:CS29)</f>
        <v>128392</v>
      </c>
      <c r="CT25" s="166">
        <f>SUM(CT26:CT29)</f>
        <v>71680</v>
      </c>
      <c r="CU25" s="167">
        <f t="shared" si="54"/>
        <v>-44.170976384821486</v>
      </c>
      <c r="CV25" s="73"/>
      <c r="CW25" s="216" t="s">
        <v>1</v>
      </c>
      <c r="CX25" s="216"/>
      <c r="CY25" s="217">
        <f>SUM(CY26:CY29)</f>
        <v>124649</v>
      </c>
      <c r="CZ25" s="217">
        <f>SUM(CZ26:CZ29)</f>
        <v>128392</v>
      </c>
      <c r="DA25" s="218">
        <f t="shared" si="62"/>
        <v>3.0028319521215572</v>
      </c>
      <c r="DB25" s="217">
        <f>SUM(DB26:DB29)</f>
        <v>90461</v>
      </c>
      <c r="DC25" s="217">
        <f>SUM(DC26:DC29)</f>
        <v>128392</v>
      </c>
      <c r="DD25" s="218">
        <f t="shared" si="63"/>
        <v>41.930776798841492</v>
      </c>
      <c r="DE25" s="73"/>
      <c r="DF25" s="165" t="s">
        <v>1</v>
      </c>
      <c r="DG25" s="165"/>
      <c r="DH25" s="166">
        <f>SUM(DH26:DH29)</f>
        <v>76246</v>
      </c>
      <c r="DI25" s="166">
        <f>SUM(DI26:DI29)</f>
        <v>90461</v>
      </c>
      <c r="DJ25" s="167">
        <f t="shared" si="64"/>
        <v>18.643600975788893</v>
      </c>
      <c r="DK25" s="166">
        <f>SUM(DK26:DK29)</f>
        <v>77213</v>
      </c>
      <c r="DL25" s="166">
        <f>SUM(DL26:DL29)</f>
        <v>90461</v>
      </c>
      <c r="DM25" s="167">
        <f t="shared" si="65"/>
        <v>17.157732506184193</v>
      </c>
      <c r="DN25" s="155"/>
      <c r="DO25" s="135" t="s">
        <v>1</v>
      </c>
      <c r="DP25" s="135"/>
      <c r="DQ25" s="136">
        <v>68398</v>
      </c>
      <c r="DR25" s="136">
        <f>SUM(DR26:DR29)</f>
        <v>77213</v>
      </c>
      <c r="DS25" s="137">
        <f t="shared" si="66"/>
        <v>12.887803736951373</v>
      </c>
      <c r="DT25" s="136">
        <v>54175</v>
      </c>
      <c r="DU25" s="136">
        <v>77213</v>
      </c>
      <c r="DV25" s="137">
        <f t="shared" si="67"/>
        <v>42.525149976926627</v>
      </c>
      <c r="DW25" s="73"/>
      <c r="DX25" s="86" t="s">
        <v>1</v>
      </c>
      <c r="DY25" s="86"/>
      <c r="DZ25" s="87">
        <f>SUM(DZ26:DZ29)</f>
        <v>49560</v>
      </c>
      <c r="EA25" s="87">
        <f>SUM(EA26:EA29)</f>
        <v>54175</v>
      </c>
      <c r="EB25" s="88">
        <f t="shared" si="68"/>
        <v>9.3119451170298628</v>
      </c>
      <c r="EC25" s="87">
        <v>34361</v>
      </c>
      <c r="ED25" s="87">
        <v>54175</v>
      </c>
      <c r="EE25" s="88">
        <f t="shared" si="69"/>
        <v>57.664212333750477</v>
      </c>
      <c r="EF25" s="73"/>
      <c r="EG25" s="63" t="s">
        <v>1</v>
      </c>
      <c r="EH25" s="63"/>
      <c r="EI25" s="68">
        <f>SUM(EI26:EI29)</f>
        <v>32085</v>
      </c>
      <c r="EJ25" s="68">
        <f>SUM(EJ26:EJ29)</f>
        <v>34361</v>
      </c>
      <c r="EK25" s="65">
        <f t="shared" si="55"/>
        <v>7.0936574723390988</v>
      </c>
      <c r="EL25" s="68">
        <f>SUM(EL26:EL29)</f>
        <v>49248</v>
      </c>
      <c r="EM25" s="68">
        <v>34361</v>
      </c>
      <c r="EN25" s="65">
        <f t="shared" si="56"/>
        <v>-30.228638726445745</v>
      </c>
      <c r="EO25" s="73"/>
      <c r="EP25" s="86" t="s">
        <v>1</v>
      </c>
      <c r="EQ25" s="86"/>
      <c r="ER25" s="87">
        <f>SUM(ER26:ER29)</f>
        <v>45431</v>
      </c>
      <c r="ES25" s="87">
        <f>SUM(ES26:ES29)</f>
        <v>49248</v>
      </c>
      <c r="ET25" s="88">
        <f t="shared" si="57"/>
        <v>8.401752107591733</v>
      </c>
      <c r="EU25" s="87">
        <f>SUM(EU26:EU29)</f>
        <v>43606</v>
      </c>
      <c r="EV25" s="87">
        <f>SUM(EV26:EV29)</f>
        <v>49248</v>
      </c>
      <c r="EW25" s="88">
        <f t="shared" si="58"/>
        <v>12.938586433059671</v>
      </c>
      <c r="EX25" s="73"/>
    </row>
    <row r="26" spans="1:154" x14ac:dyDescent="0.5">
      <c r="A26" s="313" t="s">
        <v>1</v>
      </c>
      <c r="B26" s="313"/>
      <c r="C26" s="292">
        <v>48092</v>
      </c>
      <c r="D26" s="292">
        <v>49313</v>
      </c>
      <c r="E26" s="314">
        <f t="shared" si="70"/>
        <v>2.5388838060384264</v>
      </c>
      <c r="F26" s="292">
        <v>52843</v>
      </c>
      <c r="G26" s="292">
        <v>49313</v>
      </c>
      <c r="H26" s="314">
        <f t="shared" si="71"/>
        <v>-6.6801657740854985</v>
      </c>
      <c r="I26" s="313" t="s">
        <v>1</v>
      </c>
      <c r="J26" s="313"/>
      <c r="K26" s="292">
        <v>54814</v>
      </c>
      <c r="L26" s="292">
        <v>52843</v>
      </c>
      <c r="M26" s="314">
        <f t="shared" si="72"/>
        <v>-3.5957966942751849</v>
      </c>
      <c r="N26" s="292">
        <v>71551</v>
      </c>
      <c r="O26" s="292">
        <v>52843</v>
      </c>
      <c r="P26" s="314">
        <f t="shared" si="73"/>
        <v>-26.146385095945551</v>
      </c>
      <c r="Q26" s="313" t="s">
        <v>1</v>
      </c>
      <c r="R26" s="313"/>
      <c r="S26" s="292">
        <v>65579</v>
      </c>
      <c r="T26" s="292">
        <v>71551</v>
      </c>
      <c r="U26" s="314">
        <f t="shared" si="74"/>
        <v>9.1065737507433777</v>
      </c>
      <c r="V26" s="292">
        <v>74489</v>
      </c>
      <c r="W26" s="292">
        <v>71551</v>
      </c>
      <c r="X26" s="314">
        <f t="shared" si="75"/>
        <v>-3.9442065271382352</v>
      </c>
      <c r="Y26" s="313" t="s">
        <v>1</v>
      </c>
      <c r="Z26" s="313"/>
      <c r="AA26" s="292">
        <v>69455</v>
      </c>
      <c r="AB26" s="292">
        <v>74489</v>
      </c>
      <c r="AC26" s="314">
        <f t="shared" si="76"/>
        <v>7.2478583255345193</v>
      </c>
      <c r="AD26" s="292">
        <v>58960</v>
      </c>
      <c r="AE26" s="292">
        <v>74489</v>
      </c>
      <c r="AF26" s="314">
        <f t="shared" si="77"/>
        <v>26.33819538670285</v>
      </c>
      <c r="AG26" s="313" t="s">
        <v>1</v>
      </c>
      <c r="AH26" s="313"/>
      <c r="AI26" s="292">
        <v>55208</v>
      </c>
      <c r="AJ26" s="292">
        <v>58960</v>
      </c>
      <c r="AK26" s="314">
        <f t="shared" si="78"/>
        <v>6.7961165048543686</v>
      </c>
      <c r="AL26" s="292">
        <f>AL27+AL28+AL29+AL30</f>
        <v>66208</v>
      </c>
      <c r="AM26" s="292">
        <v>58960</v>
      </c>
      <c r="AN26" s="314">
        <f t="shared" si="79"/>
        <v>-10.947317544707587</v>
      </c>
      <c r="AO26" s="313" t="s">
        <v>1</v>
      </c>
      <c r="AP26" s="313"/>
      <c r="AQ26" s="292">
        <v>71688</v>
      </c>
      <c r="AR26" s="292">
        <v>68271</v>
      </c>
      <c r="AS26" s="314">
        <f t="shared" si="80"/>
        <v>-4.7664881151657177</v>
      </c>
      <c r="AT26" s="292">
        <v>82324</v>
      </c>
      <c r="AU26" s="292">
        <v>68271</v>
      </c>
      <c r="AV26" s="314">
        <f t="shared" si="81"/>
        <v>-17.070356153734025</v>
      </c>
      <c r="AW26" s="313" t="s">
        <v>1</v>
      </c>
      <c r="AX26" s="313"/>
      <c r="AY26" s="292">
        <v>78061</v>
      </c>
      <c r="AZ26" s="292">
        <v>82324</v>
      </c>
      <c r="BA26" s="314">
        <f t="shared" si="82"/>
        <v>5.4611137443793956</v>
      </c>
      <c r="BB26" s="292">
        <v>75466</v>
      </c>
      <c r="BC26" s="292">
        <v>82324</v>
      </c>
      <c r="BD26" s="314">
        <f t="shared" si="83"/>
        <v>9.087536108976229</v>
      </c>
      <c r="BE26" s="313" t="s">
        <v>1</v>
      </c>
      <c r="BF26" s="313"/>
      <c r="BG26" s="292">
        <v>66545</v>
      </c>
      <c r="BH26" s="292">
        <v>75466</v>
      </c>
      <c r="BI26" s="314">
        <f t="shared" si="84"/>
        <v>13.405965887745136</v>
      </c>
      <c r="BJ26" s="292">
        <v>68435</v>
      </c>
      <c r="BK26" s="292">
        <v>75466</v>
      </c>
      <c r="BL26" s="314">
        <f t="shared" si="85"/>
        <v>10.27398261123694</v>
      </c>
      <c r="BM26" s="313" t="s">
        <v>1</v>
      </c>
      <c r="BN26" s="313"/>
      <c r="BO26" s="292">
        <v>57254</v>
      </c>
      <c r="BP26" s="292">
        <v>68435</v>
      </c>
      <c r="BQ26" s="314">
        <f t="shared" si="86"/>
        <v>19.528766549062073</v>
      </c>
      <c r="BR26" s="292">
        <v>57093</v>
      </c>
      <c r="BS26" s="292">
        <v>68435</v>
      </c>
      <c r="BT26" s="314">
        <f t="shared" si="87"/>
        <v>19.865832939239485</v>
      </c>
      <c r="BV26" s="168"/>
      <c r="BW26" s="168" t="s">
        <v>51</v>
      </c>
      <c r="BX26" s="277">
        <f>ม.ค.!BX26</f>
        <v>16384</v>
      </c>
      <c r="BY26" s="169">
        <v>17826</v>
      </c>
      <c r="BZ26" s="167">
        <f t="shared" si="59"/>
        <v>8.80126953125</v>
      </c>
      <c r="CA26" s="169">
        <f>CK26</f>
        <v>25425</v>
      </c>
      <c r="CB26" s="169">
        <f t="shared" si="51"/>
        <v>17826</v>
      </c>
      <c r="CC26" s="167">
        <f t="shared" si="52"/>
        <v>-29.887905604719766</v>
      </c>
      <c r="CD26" s="167"/>
      <c r="CF26" s="168" t="s">
        <v>51</v>
      </c>
      <c r="CG26" s="277">
        <v>23405</v>
      </c>
      <c r="CH26" s="169">
        <v>25425</v>
      </c>
      <c r="CI26" s="167">
        <f t="shared" si="60"/>
        <v>8.6306344798120058</v>
      </c>
      <c r="CJ26" s="169">
        <v>29066</v>
      </c>
      <c r="CK26" s="169">
        <v>25425</v>
      </c>
      <c r="CL26" s="167">
        <f t="shared" si="53"/>
        <v>-12.526663455583845</v>
      </c>
      <c r="CN26" s="168"/>
      <c r="CO26" s="168" t="s">
        <v>51</v>
      </c>
      <c r="CP26" s="169">
        <v>26406</v>
      </c>
      <c r="CQ26" s="169">
        <v>29066</v>
      </c>
      <c r="CR26" s="167">
        <f t="shared" si="61"/>
        <v>10.073468151177762</v>
      </c>
      <c r="CS26" s="169">
        <v>62103</v>
      </c>
      <c r="CT26" s="169">
        <v>29066</v>
      </c>
      <c r="CU26" s="167">
        <f t="shared" si="54"/>
        <v>-53.197108030207886</v>
      </c>
      <c r="CV26" s="73"/>
      <c r="CW26" s="219"/>
      <c r="CX26" s="219" t="s">
        <v>51</v>
      </c>
      <c r="CY26" s="220">
        <v>58853</v>
      </c>
      <c r="CZ26" s="220">
        <v>62103</v>
      </c>
      <c r="DA26" s="218">
        <f t="shared" si="62"/>
        <v>5.5222333610860961</v>
      </c>
      <c r="DB26" s="222">
        <v>32170</v>
      </c>
      <c r="DC26" s="220">
        <v>62103</v>
      </c>
      <c r="DD26" s="218">
        <f t="shared" si="63"/>
        <v>93.046316443891826</v>
      </c>
      <c r="DE26" s="73"/>
      <c r="DF26" s="168"/>
      <c r="DG26" s="168" t="s">
        <v>51</v>
      </c>
      <c r="DH26" s="169">
        <v>27962</v>
      </c>
      <c r="DI26" s="169">
        <v>32170</v>
      </c>
      <c r="DJ26" s="167">
        <f t="shared" si="64"/>
        <v>15.048995064730706</v>
      </c>
      <c r="DK26" s="169">
        <v>33506</v>
      </c>
      <c r="DL26" s="169">
        <v>32170</v>
      </c>
      <c r="DM26" s="167">
        <f t="shared" si="65"/>
        <v>-3.9873455500507373</v>
      </c>
      <c r="DN26" s="155"/>
      <c r="DO26" s="138"/>
      <c r="DP26" s="138" t="s">
        <v>51</v>
      </c>
      <c r="DQ26" s="139">
        <v>31008</v>
      </c>
      <c r="DR26" s="139">
        <f>29267+2868+905+466</f>
        <v>33506</v>
      </c>
      <c r="DS26" s="137">
        <f t="shared" si="66"/>
        <v>8.0559855521155832</v>
      </c>
      <c r="DT26" s="139">
        <v>22404</v>
      </c>
      <c r="DU26" s="139">
        <v>33506</v>
      </c>
      <c r="DV26" s="137">
        <f t="shared" si="67"/>
        <v>49.55365113372612</v>
      </c>
      <c r="DW26" s="73"/>
      <c r="DX26" s="89"/>
      <c r="DY26" s="89" t="s">
        <v>51</v>
      </c>
      <c r="DZ26" s="90">
        <v>20721</v>
      </c>
      <c r="EA26" s="90">
        <v>22404</v>
      </c>
      <c r="EB26" s="88">
        <f t="shared" si="68"/>
        <v>8.1221948747647321</v>
      </c>
      <c r="EC26" s="90">
        <v>14248</v>
      </c>
      <c r="ED26" s="90">
        <v>22404</v>
      </c>
      <c r="EE26" s="88">
        <f t="shared" si="69"/>
        <v>57.243121841661996</v>
      </c>
      <c r="EF26" s="73"/>
      <c r="EG26" s="42"/>
      <c r="EH26" s="42" t="s">
        <v>51</v>
      </c>
      <c r="EI26" s="43">
        <v>13527</v>
      </c>
      <c r="EJ26" s="43">
        <v>14248</v>
      </c>
      <c r="EK26" s="44">
        <f t="shared" si="55"/>
        <v>5.3300805795815771</v>
      </c>
      <c r="EL26" s="45">
        <v>16800</v>
      </c>
      <c r="EM26" s="43">
        <v>14248</v>
      </c>
      <c r="EN26" s="44">
        <f t="shared" si="56"/>
        <v>-15.19047619047619</v>
      </c>
      <c r="EO26" s="61"/>
      <c r="EP26" s="89"/>
      <c r="EQ26" s="89" t="s">
        <v>51</v>
      </c>
      <c r="ER26" s="90">
        <v>14794</v>
      </c>
      <c r="ES26" s="90">
        <v>16800</v>
      </c>
      <c r="ET26" s="91">
        <f t="shared" si="57"/>
        <v>13.559551169392996</v>
      </c>
      <c r="EU26" s="92">
        <v>11589</v>
      </c>
      <c r="EV26" s="90">
        <v>16800</v>
      </c>
      <c r="EW26" s="91">
        <f t="shared" si="58"/>
        <v>44.965053067564071</v>
      </c>
      <c r="EX26" s="61"/>
    </row>
    <row r="27" spans="1:154" x14ac:dyDescent="0.5">
      <c r="A27" s="313"/>
      <c r="B27" s="313" t="s">
        <v>51</v>
      </c>
      <c r="C27" s="315">
        <v>18325</v>
      </c>
      <c r="D27" s="315">
        <v>18937</v>
      </c>
      <c r="E27" s="314">
        <f t="shared" si="70"/>
        <v>3.3396998635743516</v>
      </c>
      <c r="F27" s="315">
        <v>19861</v>
      </c>
      <c r="G27" s="315">
        <v>18937</v>
      </c>
      <c r="H27" s="314">
        <f t="shared" si="71"/>
        <v>-4.6523337193494791</v>
      </c>
      <c r="I27" s="313"/>
      <c r="J27" s="313" t="s">
        <v>51</v>
      </c>
      <c r="K27" s="315">
        <v>23412</v>
      </c>
      <c r="L27" s="315">
        <v>19861</v>
      </c>
      <c r="M27" s="314">
        <f t="shared" si="72"/>
        <v>-15.167435503160773</v>
      </c>
      <c r="N27" s="315">
        <v>24867</v>
      </c>
      <c r="O27" s="315">
        <v>19861</v>
      </c>
      <c r="P27" s="314">
        <f t="shared" si="73"/>
        <v>-20.131097438372141</v>
      </c>
      <c r="Q27" s="313"/>
      <c r="R27" s="313" t="s">
        <v>51</v>
      </c>
      <c r="S27" s="315">
        <v>22864</v>
      </c>
      <c r="T27" s="315">
        <v>24867</v>
      </c>
      <c r="U27" s="314">
        <f t="shared" si="74"/>
        <v>8.7604968509447172</v>
      </c>
      <c r="V27" s="315">
        <v>22590</v>
      </c>
      <c r="W27" s="315">
        <v>24867</v>
      </c>
      <c r="X27" s="314">
        <f t="shared" si="75"/>
        <v>10.079681274900398</v>
      </c>
      <c r="Y27" s="313"/>
      <c r="Z27" s="313" t="s">
        <v>51</v>
      </c>
      <c r="AA27" s="315">
        <v>23365</v>
      </c>
      <c r="AB27" s="315">
        <v>22590</v>
      </c>
      <c r="AC27" s="314">
        <f t="shared" si="76"/>
        <v>-3.3169270276053924</v>
      </c>
      <c r="AD27" s="315">
        <v>18969</v>
      </c>
      <c r="AE27" s="315">
        <v>22590</v>
      </c>
      <c r="AF27" s="314">
        <f t="shared" si="77"/>
        <v>19.089040012652223</v>
      </c>
      <c r="AG27" s="313"/>
      <c r="AH27" s="313" t="s">
        <v>51</v>
      </c>
      <c r="AI27" s="315">
        <v>16104</v>
      </c>
      <c r="AJ27" s="315">
        <v>18969</v>
      </c>
      <c r="AK27" s="314">
        <f t="shared" si="78"/>
        <v>17.790611028315947</v>
      </c>
      <c r="AL27" s="315">
        <f>27356-2063</f>
        <v>25293</v>
      </c>
      <c r="AM27" s="315">
        <v>18969</v>
      </c>
      <c r="AN27" s="314">
        <f t="shared" si="79"/>
        <v>-25.002965247301624</v>
      </c>
      <c r="AO27" s="313"/>
      <c r="AP27" s="313" t="s">
        <v>51</v>
      </c>
      <c r="AQ27" s="315">
        <v>30331</v>
      </c>
      <c r="AR27" s="315">
        <v>27356</v>
      </c>
      <c r="AS27" s="314">
        <f t="shared" si="80"/>
        <v>-9.8084468036002761</v>
      </c>
      <c r="AT27" s="315">
        <v>32338</v>
      </c>
      <c r="AU27" s="315">
        <v>27356</v>
      </c>
      <c r="AV27" s="314">
        <f t="shared" si="81"/>
        <v>-15.406023872843095</v>
      </c>
      <c r="AW27" s="313"/>
      <c r="AX27" s="313" t="s">
        <v>51</v>
      </c>
      <c r="AY27" s="315">
        <v>30221</v>
      </c>
      <c r="AZ27" s="315">
        <v>32338</v>
      </c>
      <c r="BA27" s="314">
        <f t="shared" si="82"/>
        <v>7.0050627047417349</v>
      </c>
      <c r="BB27" s="315">
        <v>29617</v>
      </c>
      <c r="BC27" s="315">
        <v>32338</v>
      </c>
      <c r="BD27" s="314">
        <f t="shared" si="83"/>
        <v>9.1872910828240535</v>
      </c>
      <c r="BE27" s="313"/>
      <c r="BF27" s="313" t="s">
        <v>51</v>
      </c>
      <c r="BG27" s="315">
        <v>25749</v>
      </c>
      <c r="BH27" s="315">
        <v>29617</v>
      </c>
      <c r="BI27" s="314">
        <f t="shared" si="84"/>
        <v>15.021942599712609</v>
      </c>
      <c r="BJ27" s="315">
        <v>26702</v>
      </c>
      <c r="BK27" s="315">
        <v>29617</v>
      </c>
      <c r="BL27" s="314">
        <f t="shared" si="85"/>
        <v>10.916785259531121</v>
      </c>
      <c r="BM27" s="313"/>
      <c r="BN27" s="313" t="s">
        <v>51</v>
      </c>
      <c r="BO27" s="315">
        <v>20228</v>
      </c>
      <c r="BP27" s="315">
        <v>26702</v>
      </c>
      <c r="BQ27" s="314">
        <f t="shared" si="86"/>
        <v>32.005141388174806</v>
      </c>
      <c r="BR27" s="315">
        <v>17826</v>
      </c>
      <c r="BS27" s="315">
        <v>26702</v>
      </c>
      <c r="BT27" s="314">
        <f t="shared" si="87"/>
        <v>49.792438011892742</v>
      </c>
      <c r="BV27" s="168"/>
      <c r="BW27" s="168" t="s">
        <v>52</v>
      </c>
      <c r="BX27" s="277">
        <f>ม.ค.!BX27</f>
        <v>24066</v>
      </c>
      <c r="BY27" s="169">
        <v>26399</v>
      </c>
      <c r="BZ27" s="167">
        <f t="shared" si="59"/>
        <v>9.6941743538602179</v>
      </c>
      <c r="CA27" s="169">
        <f>CK27</f>
        <v>28198</v>
      </c>
      <c r="CB27" s="169">
        <f t="shared" si="51"/>
        <v>26399</v>
      </c>
      <c r="CC27" s="167">
        <f t="shared" si="52"/>
        <v>-6.3798850982339168</v>
      </c>
      <c r="CD27" s="167"/>
      <c r="CF27" s="168" t="s">
        <v>52</v>
      </c>
      <c r="CG27" s="277">
        <v>26236</v>
      </c>
      <c r="CH27" s="169">
        <v>28198</v>
      </c>
      <c r="CI27" s="167">
        <f t="shared" si="60"/>
        <v>7.4782741271535293</v>
      </c>
      <c r="CJ27" s="169">
        <v>30675</v>
      </c>
      <c r="CK27" s="169">
        <v>28198</v>
      </c>
      <c r="CL27" s="167">
        <f t="shared" si="53"/>
        <v>-8.0749796251018751</v>
      </c>
      <c r="CN27" s="168"/>
      <c r="CO27" s="168" t="s">
        <v>52</v>
      </c>
      <c r="CP27" s="169">
        <f>35080-4552</f>
        <v>30528</v>
      </c>
      <c r="CQ27" s="169">
        <v>30675</v>
      </c>
      <c r="CR27" s="167">
        <f t="shared" si="61"/>
        <v>0.48152515723270439</v>
      </c>
      <c r="CS27" s="169">
        <v>49118</v>
      </c>
      <c r="CT27" s="169">
        <f>35142-4467</f>
        <v>30675</v>
      </c>
      <c r="CU27" s="167">
        <f t="shared" si="54"/>
        <v>-37.548352945966855</v>
      </c>
      <c r="CV27" s="73"/>
      <c r="CW27" s="219"/>
      <c r="CX27" s="219" t="s">
        <v>52</v>
      </c>
      <c r="CY27" s="220">
        <v>49677</v>
      </c>
      <c r="CZ27" s="220">
        <v>49118</v>
      </c>
      <c r="DA27" s="218">
        <f t="shared" si="62"/>
        <v>-1.1252692392857861</v>
      </c>
      <c r="DB27" s="222">
        <v>46205</v>
      </c>
      <c r="DC27" s="220">
        <v>49118</v>
      </c>
      <c r="DD27" s="218">
        <f t="shared" si="63"/>
        <v>6.3045124986473331</v>
      </c>
      <c r="DE27" s="73"/>
      <c r="DF27" s="168"/>
      <c r="DG27" s="168" t="s">
        <v>52</v>
      </c>
      <c r="DH27" s="169">
        <v>37728</v>
      </c>
      <c r="DI27" s="169">
        <v>46205</v>
      </c>
      <c r="DJ27" s="167">
        <f t="shared" si="64"/>
        <v>22.468723494486852</v>
      </c>
      <c r="DK27" s="169">
        <v>33804</v>
      </c>
      <c r="DL27" s="169">
        <v>46205</v>
      </c>
      <c r="DM27" s="167">
        <f t="shared" si="65"/>
        <v>36.685007691397473</v>
      </c>
      <c r="DN27" s="155"/>
      <c r="DO27" s="138"/>
      <c r="DP27" s="138" t="s">
        <v>52</v>
      </c>
      <c r="DQ27" s="139">
        <v>29181</v>
      </c>
      <c r="DR27" s="139">
        <f>37702-3898</f>
        <v>33804</v>
      </c>
      <c r="DS27" s="137">
        <f t="shared" si="66"/>
        <v>15.842500257016551</v>
      </c>
      <c r="DT27" s="139">
        <v>24717</v>
      </c>
      <c r="DU27" s="139">
        <v>33804</v>
      </c>
      <c r="DV27" s="137">
        <f t="shared" si="67"/>
        <v>36.764170409030221</v>
      </c>
      <c r="DW27" s="73"/>
      <c r="DX27" s="89"/>
      <c r="DY27" s="89" t="s">
        <v>52</v>
      </c>
      <c r="DZ27" s="90">
        <v>22277</v>
      </c>
      <c r="EA27" s="90">
        <v>24717</v>
      </c>
      <c r="EB27" s="88">
        <f t="shared" si="68"/>
        <v>10.953000852897606</v>
      </c>
      <c r="EC27" s="90">
        <v>15661</v>
      </c>
      <c r="ED27" s="90">
        <v>24717</v>
      </c>
      <c r="EE27" s="88">
        <f t="shared" si="69"/>
        <v>57.825170806461912</v>
      </c>
      <c r="EF27" s="73"/>
      <c r="EG27" s="42"/>
      <c r="EH27" s="42" t="s">
        <v>52</v>
      </c>
      <c r="EI27" s="43">
        <v>14540</v>
      </c>
      <c r="EJ27" s="43">
        <v>15661</v>
      </c>
      <c r="EK27" s="44">
        <f t="shared" si="55"/>
        <v>7.7097661623108662</v>
      </c>
      <c r="EL27" s="45">
        <v>25858</v>
      </c>
      <c r="EM27" s="43">
        <v>15661</v>
      </c>
      <c r="EN27" s="44">
        <f t="shared" si="56"/>
        <v>-39.434604377755434</v>
      </c>
      <c r="EO27" s="61"/>
      <c r="EP27" s="89"/>
      <c r="EQ27" s="89" t="s">
        <v>52</v>
      </c>
      <c r="ER27" s="90">
        <v>24586</v>
      </c>
      <c r="ES27" s="90">
        <v>25858</v>
      </c>
      <c r="ET27" s="91">
        <f t="shared" si="57"/>
        <v>5.1736760758155045</v>
      </c>
      <c r="EU27" s="92">
        <v>26297</v>
      </c>
      <c r="EV27" s="90">
        <v>25858</v>
      </c>
      <c r="EW27" s="91">
        <f t="shared" si="58"/>
        <v>-1.6693919458493363</v>
      </c>
      <c r="EX27" s="61"/>
    </row>
    <row r="28" spans="1:154" x14ac:dyDescent="0.5">
      <c r="A28" s="313"/>
      <c r="B28" s="313" t="s">
        <v>52</v>
      </c>
      <c r="C28" s="315">
        <v>12255</v>
      </c>
      <c r="D28" s="315">
        <v>13219</v>
      </c>
      <c r="E28" s="314">
        <f t="shared" si="70"/>
        <v>7.8661770705834355</v>
      </c>
      <c r="F28" s="315">
        <v>15535</v>
      </c>
      <c r="G28" s="315">
        <v>13219</v>
      </c>
      <c r="H28" s="314">
        <f t="shared" si="71"/>
        <v>-14.908271644673318</v>
      </c>
      <c r="I28" s="313"/>
      <c r="J28" s="313" t="s">
        <v>52</v>
      </c>
      <c r="K28" s="315">
        <v>14864</v>
      </c>
      <c r="L28" s="315">
        <v>15535</v>
      </c>
      <c r="M28" s="314">
        <f t="shared" si="72"/>
        <v>4.5142626480086117</v>
      </c>
      <c r="N28" s="315">
        <v>27328</v>
      </c>
      <c r="O28" s="315">
        <v>15535</v>
      </c>
      <c r="P28" s="314">
        <f t="shared" si="73"/>
        <v>-43.153542154566743</v>
      </c>
      <c r="Q28" s="313"/>
      <c r="R28" s="313" t="s">
        <v>52</v>
      </c>
      <c r="S28" s="315">
        <v>27180</v>
      </c>
      <c r="T28" s="315">
        <v>27328</v>
      </c>
      <c r="U28" s="314">
        <f t="shared" si="74"/>
        <v>0.54451802796173654</v>
      </c>
      <c r="V28" s="315">
        <v>35722</v>
      </c>
      <c r="W28" s="315">
        <v>27328</v>
      </c>
      <c r="X28" s="314">
        <f t="shared" si="75"/>
        <v>-23.498124405128493</v>
      </c>
      <c r="Y28" s="313"/>
      <c r="Z28" s="313" t="s">
        <v>52</v>
      </c>
      <c r="AA28" s="315">
        <v>30201</v>
      </c>
      <c r="AB28" s="315">
        <v>35722</v>
      </c>
      <c r="AC28" s="314">
        <f t="shared" si="76"/>
        <v>18.280851627429556</v>
      </c>
      <c r="AD28" s="315">
        <v>26369</v>
      </c>
      <c r="AE28" s="315">
        <v>35722</v>
      </c>
      <c r="AF28" s="314">
        <f t="shared" si="77"/>
        <v>35.469680306420422</v>
      </c>
      <c r="AG28" s="313"/>
      <c r="AH28" s="313" t="s">
        <v>52</v>
      </c>
      <c r="AI28" s="315">
        <v>25813</v>
      </c>
      <c r="AJ28" s="315">
        <v>26369</v>
      </c>
      <c r="AK28" s="314">
        <f t="shared" si="78"/>
        <v>2.1539534343160422</v>
      </c>
      <c r="AL28" s="315">
        <v>29837</v>
      </c>
      <c r="AM28" s="315">
        <v>26369</v>
      </c>
      <c r="AN28" s="314">
        <f t="shared" si="79"/>
        <v>-11.623152461708615</v>
      </c>
      <c r="AO28" s="313"/>
      <c r="AP28" s="313" t="s">
        <v>52</v>
      </c>
      <c r="AQ28" s="315">
        <v>30071</v>
      </c>
      <c r="AR28" s="315">
        <v>29837</v>
      </c>
      <c r="AS28" s="314">
        <f t="shared" si="80"/>
        <v>-0.77815835855142823</v>
      </c>
      <c r="AT28" s="315">
        <v>35373</v>
      </c>
      <c r="AU28" s="315">
        <v>29837</v>
      </c>
      <c r="AV28" s="314">
        <f t="shared" si="81"/>
        <v>-15.650354790376841</v>
      </c>
      <c r="AW28" s="313"/>
      <c r="AX28" s="313" t="s">
        <v>52</v>
      </c>
      <c r="AY28" s="315">
        <v>34786</v>
      </c>
      <c r="AZ28" s="315">
        <v>35373</v>
      </c>
      <c r="BA28" s="314">
        <f t="shared" si="82"/>
        <v>1.6874604726039213</v>
      </c>
      <c r="BB28" s="315">
        <v>32500</v>
      </c>
      <c r="BC28" s="315">
        <v>35373</v>
      </c>
      <c r="BD28" s="314">
        <f t="shared" si="83"/>
        <v>8.84</v>
      </c>
      <c r="BE28" s="313"/>
      <c r="BF28" s="313" t="s">
        <v>52</v>
      </c>
      <c r="BG28" s="315">
        <v>28315</v>
      </c>
      <c r="BH28" s="315">
        <v>32500</v>
      </c>
      <c r="BI28" s="314">
        <f t="shared" si="84"/>
        <v>14.780151862970156</v>
      </c>
      <c r="BJ28" s="315">
        <v>30348</v>
      </c>
      <c r="BK28" s="315">
        <v>32500</v>
      </c>
      <c r="BL28" s="314">
        <f t="shared" si="85"/>
        <v>7.0910768419665215</v>
      </c>
      <c r="BM28" s="313"/>
      <c r="BN28" s="313" t="s">
        <v>52</v>
      </c>
      <c r="BO28" s="315">
        <v>26267</v>
      </c>
      <c r="BP28" s="315">
        <v>30348</v>
      </c>
      <c r="BQ28" s="314">
        <f t="shared" si="86"/>
        <v>15.53660486542049</v>
      </c>
      <c r="BR28" s="315">
        <v>26399</v>
      </c>
      <c r="BS28" s="315">
        <v>30348</v>
      </c>
      <c r="BT28" s="314">
        <f t="shared" si="87"/>
        <v>14.958899958331756</v>
      </c>
      <c r="BV28" s="168"/>
      <c r="BW28" s="168" t="s">
        <v>53</v>
      </c>
      <c r="BX28" s="277">
        <f>ม.ค.!BX28</f>
        <v>3239</v>
      </c>
      <c r="BY28" s="169">
        <v>3459</v>
      </c>
      <c r="BZ28" s="167">
        <f t="shared" si="59"/>
        <v>6.7922198209323863</v>
      </c>
      <c r="CA28" s="169">
        <f>CK28</f>
        <v>3805</v>
      </c>
      <c r="CB28" s="169">
        <f t="shared" si="51"/>
        <v>3459</v>
      </c>
      <c r="CC28" s="167">
        <f t="shared" si="52"/>
        <v>-9.0932982917214193</v>
      </c>
      <c r="CD28" s="167"/>
      <c r="CF28" s="168" t="s">
        <v>53</v>
      </c>
      <c r="CG28" s="277">
        <v>3554</v>
      </c>
      <c r="CH28" s="169">
        <v>3805</v>
      </c>
      <c r="CI28" s="167">
        <f t="shared" si="60"/>
        <v>7.0624648283624083</v>
      </c>
      <c r="CJ28" s="169">
        <v>3592</v>
      </c>
      <c r="CK28" s="169">
        <v>3805</v>
      </c>
      <c r="CL28" s="167">
        <f t="shared" si="53"/>
        <v>5.929844097995546</v>
      </c>
      <c r="CN28" s="168"/>
      <c r="CO28" s="168" t="s">
        <v>53</v>
      </c>
      <c r="CP28" s="169">
        <f>42102-CP27-CP29</f>
        <v>3696</v>
      </c>
      <c r="CQ28" s="169">
        <v>3592</v>
      </c>
      <c r="CR28" s="167">
        <f t="shared" si="61"/>
        <v>-2.8138528138528138</v>
      </c>
      <c r="CS28" s="169">
        <v>7098</v>
      </c>
      <c r="CT28" s="169">
        <f>42614-CT27-CT29</f>
        <v>3592</v>
      </c>
      <c r="CU28" s="167">
        <f t="shared" si="54"/>
        <v>-49.394195548041701</v>
      </c>
      <c r="CV28" s="73"/>
      <c r="CW28" s="219"/>
      <c r="CX28" s="219" t="s">
        <v>53</v>
      </c>
      <c r="CY28" s="220">
        <v>6458</v>
      </c>
      <c r="CZ28" s="220">
        <v>7098</v>
      </c>
      <c r="DA28" s="218">
        <f t="shared" si="62"/>
        <v>9.9101889129761531</v>
      </c>
      <c r="DB28" s="222">
        <v>5555</v>
      </c>
      <c r="DC28" s="220">
        <v>7098</v>
      </c>
      <c r="DD28" s="218">
        <f t="shared" si="63"/>
        <v>27.776777677767779</v>
      </c>
      <c r="DE28" s="73"/>
      <c r="DF28" s="168"/>
      <c r="DG28" s="168" t="s">
        <v>53</v>
      </c>
      <c r="DH28" s="169">
        <f>1836+649+577+1435+102</f>
        <v>4599</v>
      </c>
      <c r="DI28" s="169">
        <v>5555</v>
      </c>
      <c r="DJ28" s="167">
        <f t="shared" si="64"/>
        <v>20.787127636442705</v>
      </c>
      <c r="DK28" s="169">
        <v>4789</v>
      </c>
      <c r="DL28" s="169">
        <v>5555</v>
      </c>
      <c r="DM28" s="167">
        <f t="shared" si="65"/>
        <v>15.994988515347671</v>
      </c>
      <c r="DN28" s="155"/>
      <c r="DO28" s="138"/>
      <c r="DP28" s="138" t="s">
        <v>53</v>
      </c>
      <c r="DQ28" s="139">
        <v>4443</v>
      </c>
      <c r="DR28" s="139">
        <f>2056+317+974+1410+32</f>
        <v>4789</v>
      </c>
      <c r="DS28" s="137">
        <f t="shared" si="66"/>
        <v>7.7875309475579568</v>
      </c>
      <c r="DT28" s="139">
        <v>3353</v>
      </c>
      <c r="DU28" s="139">
        <v>4789</v>
      </c>
      <c r="DV28" s="137">
        <f t="shared" si="67"/>
        <v>42.827318818968088</v>
      </c>
      <c r="DW28" s="73"/>
      <c r="DX28" s="89"/>
      <c r="DY28" s="89" t="s">
        <v>53</v>
      </c>
      <c r="DZ28" s="90">
        <v>3230</v>
      </c>
      <c r="EA28" s="90">
        <v>3353</v>
      </c>
      <c r="EB28" s="88">
        <f t="shared" si="68"/>
        <v>3.8080495356037152</v>
      </c>
      <c r="EC28" s="90">
        <v>2211</v>
      </c>
      <c r="ED28" s="90">
        <v>3353</v>
      </c>
      <c r="EE28" s="88">
        <f t="shared" si="69"/>
        <v>51.650836725463591</v>
      </c>
      <c r="EF28" s="73"/>
      <c r="EG28" s="42"/>
      <c r="EH28" s="42" t="s">
        <v>53</v>
      </c>
      <c r="EI28" s="43">
        <v>1951</v>
      </c>
      <c r="EJ28" s="43">
        <v>2211</v>
      </c>
      <c r="EK28" s="44">
        <f t="shared" si="55"/>
        <v>13.326499231163504</v>
      </c>
      <c r="EL28" s="45">
        <v>3367</v>
      </c>
      <c r="EM28" s="43">
        <v>2211</v>
      </c>
      <c r="EN28" s="44">
        <f t="shared" si="56"/>
        <v>-34.333234333234337</v>
      </c>
      <c r="EO28" s="61"/>
      <c r="EP28" s="89"/>
      <c r="EQ28" s="89" t="s">
        <v>53</v>
      </c>
      <c r="ER28" s="90">
        <v>3109</v>
      </c>
      <c r="ES28" s="90">
        <v>3367</v>
      </c>
      <c r="ET28" s="91">
        <f t="shared" si="57"/>
        <v>8.2984882598906413</v>
      </c>
      <c r="EU28" s="92">
        <v>3108</v>
      </c>
      <c r="EV28" s="90">
        <v>3367</v>
      </c>
      <c r="EW28" s="91">
        <f t="shared" si="58"/>
        <v>8.3333333333333321</v>
      </c>
      <c r="EX28" s="61"/>
    </row>
    <row r="29" spans="1:154" x14ac:dyDescent="0.5">
      <c r="A29" s="313"/>
      <c r="B29" s="313" t="s">
        <v>53</v>
      </c>
      <c r="C29" s="315">
        <v>2119</v>
      </c>
      <c r="D29" s="315">
        <v>2381</v>
      </c>
      <c r="E29" s="314">
        <f t="shared" si="70"/>
        <v>12.364322793770647</v>
      </c>
      <c r="F29" s="315">
        <v>2468</v>
      </c>
      <c r="G29" s="315">
        <v>2381</v>
      </c>
      <c r="H29" s="314">
        <f t="shared" si="71"/>
        <v>-3.525121555915721</v>
      </c>
      <c r="I29" s="313"/>
      <c r="J29" s="313" t="s">
        <v>53</v>
      </c>
      <c r="K29" s="315">
        <v>2512</v>
      </c>
      <c r="L29" s="315">
        <v>2468</v>
      </c>
      <c r="M29" s="314">
        <f t="shared" si="72"/>
        <v>-1.7515923566878981</v>
      </c>
      <c r="N29" s="315">
        <v>3208</v>
      </c>
      <c r="O29" s="315">
        <v>2468</v>
      </c>
      <c r="P29" s="314">
        <f t="shared" si="73"/>
        <v>-23.067331670822945</v>
      </c>
      <c r="Q29" s="313"/>
      <c r="R29" s="313" t="s">
        <v>53</v>
      </c>
      <c r="S29" s="315">
        <v>3012</v>
      </c>
      <c r="T29" s="315">
        <v>3208</v>
      </c>
      <c r="U29" s="314">
        <f t="shared" si="74"/>
        <v>6.5073041168658694</v>
      </c>
      <c r="V29" s="315">
        <v>3570</v>
      </c>
      <c r="W29" s="315">
        <v>3208</v>
      </c>
      <c r="X29" s="314">
        <f t="shared" si="75"/>
        <v>-10.140056022408963</v>
      </c>
      <c r="Y29" s="313"/>
      <c r="Z29" s="313" t="s">
        <v>53</v>
      </c>
      <c r="AA29" s="315">
        <v>3432</v>
      </c>
      <c r="AB29" s="315">
        <v>3570</v>
      </c>
      <c r="AC29" s="314">
        <f t="shared" si="76"/>
        <v>4.0209790209790208</v>
      </c>
      <c r="AD29" s="315">
        <v>2974</v>
      </c>
      <c r="AE29" s="315">
        <v>3570</v>
      </c>
      <c r="AF29" s="314">
        <f t="shared" si="77"/>
        <v>20.04034969737727</v>
      </c>
      <c r="AG29" s="313"/>
      <c r="AH29" s="313" t="s">
        <v>53</v>
      </c>
      <c r="AI29" s="315">
        <v>2947</v>
      </c>
      <c r="AJ29" s="315">
        <v>2974</v>
      </c>
      <c r="AK29" s="314">
        <f t="shared" si="78"/>
        <v>0.91618595181540563</v>
      </c>
      <c r="AL29" s="315">
        <v>3214</v>
      </c>
      <c r="AM29" s="315">
        <v>2974</v>
      </c>
      <c r="AN29" s="314">
        <f t="shared" si="79"/>
        <v>-7.4673304293714988</v>
      </c>
      <c r="AO29" s="313"/>
      <c r="AP29" s="313" t="s">
        <v>53</v>
      </c>
      <c r="AQ29" s="315">
        <v>3254</v>
      </c>
      <c r="AR29" s="315">
        <v>3214</v>
      </c>
      <c r="AS29" s="314">
        <f t="shared" si="80"/>
        <v>-1.229256299938537</v>
      </c>
      <c r="AT29" s="315">
        <v>3686</v>
      </c>
      <c r="AU29" s="315">
        <v>3214</v>
      </c>
      <c r="AV29" s="314">
        <f t="shared" si="81"/>
        <v>-12.805208898534998</v>
      </c>
      <c r="AW29" s="313"/>
      <c r="AX29" s="313" t="s">
        <v>53</v>
      </c>
      <c r="AY29" s="315">
        <v>3325</v>
      </c>
      <c r="AZ29" s="315">
        <v>3686</v>
      </c>
      <c r="BA29" s="314">
        <f t="shared" si="82"/>
        <v>10.857142857142858</v>
      </c>
      <c r="BB29" s="315">
        <v>3529</v>
      </c>
      <c r="BC29" s="315">
        <v>3686</v>
      </c>
      <c r="BD29" s="314">
        <f t="shared" si="83"/>
        <v>4.4488523661093797</v>
      </c>
      <c r="BE29" s="313"/>
      <c r="BF29" s="313" t="s">
        <v>53</v>
      </c>
      <c r="BG29" s="315">
        <v>3072</v>
      </c>
      <c r="BH29" s="315">
        <v>3529</v>
      </c>
      <c r="BI29" s="314">
        <f t="shared" si="84"/>
        <v>14.876302083333334</v>
      </c>
      <c r="BJ29" s="315">
        <v>3749</v>
      </c>
      <c r="BK29" s="315">
        <v>3529</v>
      </c>
      <c r="BL29" s="314">
        <f t="shared" si="85"/>
        <v>-5.8682315284075752</v>
      </c>
      <c r="BM29" s="313"/>
      <c r="BN29" s="313" t="s">
        <v>53</v>
      </c>
      <c r="BO29" s="315">
        <v>3192</v>
      </c>
      <c r="BP29" s="315">
        <v>3749</v>
      </c>
      <c r="BQ29" s="314">
        <f t="shared" si="86"/>
        <v>17.449874686716793</v>
      </c>
      <c r="BR29" s="315">
        <v>3459</v>
      </c>
      <c r="BS29" s="315">
        <v>3749</v>
      </c>
      <c r="BT29" s="314">
        <f t="shared" si="87"/>
        <v>8.3839259901705692</v>
      </c>
      <c r="BV29" s="168"/>
      <c r="BW29" s="168" t="s">
        <v>54</v>
      </c>
      <c r="BX29" s="277">
        <f>ม.ค.!BX29</f>
        <v>8132</v>
      </c>
      <c r="BY29" s="169">
        <v>9409</v>
      </c>
      <c r="BZ29" s="167">
        <f t="shared" si="59"/>
        <v>15.703393999016232</v>
      </c>
      <c r="CA29" s="169">
        <f>CK29</f>
        <v>6521</v>
      </c>
      <c r="CB29" s="169">
        <f t="shared" si="51"/>
        <v>9409</v>
      </c>
      <c r="CC29" s="167">
        <f t="shared" si="52"/>
        <v>44.28768593773961</v>
      </c>
      <c r="CD29" s="167"/>
      <c r="CF29" s="168" t="s">
        <v>54</v>
      </c>
      <c r="CG29" s="277">
        <v>6526</v>
      </c>
      <c r="CH29" s="169">
        <v>6521</v>
      </c>
      <c r="CI29" s="167">
        <f t="shared" si="60"/>
        <v>-7.6616610481152314E-2</v>
      </c>
      <c r="CJ29" s="169">
        <v>8347</v>
      </c>
      <c r="CK29" s="169">
        <v>6521</v>
      </c>
      <c r="CL29" s="167">
        <f t="shared" si="53"/>
        <v>-21.876123158020846</v>
      </c>
      <c r="CN29" s="168"/>
      <c r="CO29" s="168" t="s">
        <v>54</v>
      </c>
      <c r="CP29" s="169">
        <f>4552+3326</f>
        <v>7878</v>
      </c>
      <c r="CQ29" s="169">
        <v>8347</v>
      </c>
      <c r="CR29" s="167">
        <f t="shared" si="61"/>
        <v>5.9532876364559533</v>
      </c>
      <c r="CS29" s="169">
        <v>10073</v>
      </c>
      <c r="CT29" s="169">
        <f>4467+3880</f>
        <v>8347</v>
      </c>
      <c r="CU29" s="167">
        <f t="shared" si="54"/>
        <v>-17.134915119626726</v>
      </c>
      <c r="CV29" s="73"/>
      <c r="CW29" s="219"/>
      <c r="CX29" s="219" t="s">
        <v>54</v>
      </c>
      <c r="CY29" s="220">
        <v>9661</v>
      </c>
      <c r="CZ29" s="220">
        <v>10073</v>
      </c>
      <c r="DA29" s="218">
        <f t="shared" si="62"/>
        <v>4.264568885208571</v>
      </c>
      <c r="DB29" s="222">
        <v>6531</v>
      </c>
      <c r="DC29" s="220">
        <v>10073</v>
      </c>
      <c r="DD29" s="218">
        <f t="shared" si="63"/>
        <v>54.233654876741689</v>
      </c>
      <c r="DE29" s="73"/>
      <c r="DF29" s="168"/>
      <c r="DG29" s="168" t="s">
        <v>54</v>
      </c>
      <c r="DH29" s="169">
        <f>884+5073</f>
        <v>5957</v>
      </c>
      <c r="DI29" s="169">
        <v>6531</v>
      </c>
      <c r="DJ29" s="167">
        <f t="shared" si="64"/>
        <v>9.6357226792009403</v>
      </c>
      <c r="DK29" s="169">
        <v>5114</v>
      </c>
      <c r="DL29" s="169">
        <v>6531</v>
      </c>
      <c r="DM29" s="167">
        <f t="shared" si="65"/>
        <v>27.708251857645678</v>
      </c>
      <c r="DN29" s="155"/>
      <c r="DO29" s="138"/>
      <c r="DP29" s="138" t="s">
        <v>54</v>
      </c>
      <c r="DQ29" s="139">
        <v>3766</v>
      </c>
      <c r="DR29" s="139">
        <f>3898+1216</f>
        <v>5114</v>
      </c>
      <c r="DS29" s="137">
        <f t="shared" si="66"/>
        <v>35.793945831120553</v>
      </c>
      <c r="DT29" s="139">
        <v>3701</v>
      </c>
      <c r="DU29" s="139">
        <v>5114</v>
      </c>
      <c r="DV29" s="137">
        <f t="shared" si="67"/>
        <v>38.178870575520129</v>
      </c>
      <c r="DW29" s="73"/>
      <c r="DX29" s="89"/>
      <c r="DY29" s="89" t="s">
        <v>54</v>
      </c>
      <c r="DZ29" s="90">
        <v>3332</v>
      </c>
      <c r="EA29" s="90">
        <v>3701</v>
      </c>
      <c r="EB29" s="88">
        <f t="shared" si="68"/>
        <v>11.074429771908763</v>
      </c>
      <c r="EC29" s="90">
        <v>2241</v>
      </c>
      <c r="ED29" s="90">
        <v>3701</v>
      </c>
      <c r="EE29" s="88">
        <f t="shared" si="69"/>
        <v>65.149486836233834</v>
      </c>
      <c r="EF29" s="73"/>
      <c r="EG29" s="42"/>
      <c r="EH29" s="42" t="s">
        <v>54</v>
      </c>
      <c r="EI29" s="43">
        <v>2067</v>
      </c>
      <c r="EJ29" s="43">
        <v>2241</v>
      </c>
      <c r="EK29" s="44">
        <f t="shared" si="55"/>
        <v>8.417997097242381</v>
      </c>
      <c r="EL29" s="45">
        <v>3223</v>
      </c>
      <c r="EM29" s="43">
        <v>2241</v>
      </c>
      <c r="EN29" s="44">
        <f t="shared" si="56"/>
        <v>-30.468507601613403</v>
      </c>
      <c r="EO29" s="61"/>
      <c r="EP29" s="89"/>
      <c r="EQ29" s="89" t="s">
        <v>54</v>
      </c>
      <c r="ER29" s="90">
        <v>2942</v>
      </c>
      <c r="ES29" s="90">
        <v>3223</v>
      </c>
      <c r="ET29" s="91">
        <f t="shared" si="57"/>
        <v>9.5513256288239301</v>
      </c>
      <c r="EU29" s="92">
        <v>2612</v>
      </c>
      <c r="EV29" s="90">
        <v>3223</v>
      </c>
      <c r="EW29" s="91">
        <f t="shared" si="58"/>
        <v>23.392036753445637</v>
      </c>
      <c r="EX29" s="61"/>
    </row>
    <row r="30" spans="1:154" x14ac:dyDescent="0.5">
      <c r="A30" s="313"/>
      <c r="B30" s="313" t="s">
        <v>54</v>
      </c>
      <c r="C30" s="315">
        <v>15393</v>
      </c>
      <c r="D30" s="315">
        <v>14776</v>
      </c>
      <c r="E30" s="314">
        <f t="shared" si="70"/>
        <v>-4.0083154680699025</v>
      </c>
      <c r="F30" s="315">
        <v>14979</v>
      </c>
      <c r="G30" s="315">
        <v>14776</v>
      </c>
      <c r="H30" s="314">
        <f t="shared" si="71"/>
        <v>-1.3552306562520864</v>
      </c>
      <c r="I30" s="313"/>
      <c r="J30" s="313" t="s">
        <v>54</v>
      </c>
      <c r="K30" s="315">
        <v>14026</v>
      </c>
      <c r="L30" s="315">
        <v>14979</v>
      </c>
      <c r="M30" s="314">
        <f t="shared" si="72"/>
        <v>6.7945244545843426</v>
      </c>
      <c r="N30" s="315">
        <v>16148</v>
      </c>
      <c r="O30" s="315">
        <v>14979</v>
      </c>
      <c r="P30" s="314">
        <f t="shared" si="73"/>
        <v>-7.239286598959624</v>
      </c>
      <c r="Q30" s="313"/>
      <c r="R30" s="313" t="s">
        <v>54</v>
      </c>
      <c r="S30" s="315">
        <v>12523</v>
      </c>
      <c r="T30" s="315">
        <v>16148</v>
      </c>
      <c r="U30" s="314">
        <f t="shared" si="74"/>
        <v>28.946738002076177</v>
      </c>
      <c r="V30" s="315">
        <v>12607</v>
      </c>
      <c r="W30" s="315">
        <v>16148</v>
      </c>
      <c r="X30" s="314">
        <f t="shared" si="75"/>
        <v>28.08757039739827</v>
      </c>
      <c r="Y30" s="313"/>
      <c r="Z30" s="313" t="s">
        <v>54</v>
      </c>
      <c r="AA30" s="315">
        <v>12457</v>
      </c>
      <c r="AB30" s="315">
        <v>12607</v>
      </c>
      <c r="AC30" s="314">
        <f t="shared" si="76"/>
        <v>1.2041422493377216</v>
      </c>
      <c r="AD30" s="315">
        <v>10648</v>
      </c>
      <c r="AE30" s="315">
        <v>12607</v>
      </c>
      <c r="AF30" s="314">
        <f t="shared" si="77"/>
        <v>18.397821187077383</v>
      </c>
      <c r="AG30" s="313"/>
      <c r="AH30" s="313" t="s">
        <v>54</v>
      </c>
      <c r="AI30" s="315">
        <v>10344</v>
      </c>
      <c r="AJ30" s="315">
        <v>10648</v>
      </c>
      <c r="AK30" s="314">
        <f t="shared" si="78"/>
        <v>2.9389017788089715</v>
      </c>
      <c r="AL30" s="315">
        <v>7864</v>
      </c>
      <c r="AM30" s="315">
        <v>10648</v>
      </c>
      <c r="AN30" s="314">
        <f t="shared" si="79"/>
        <v>35.401831129196339</v>
      </c>
      <c r="AO30" s="313"/>
      <c r="AP30" s="313" t="s">
        <v>54</v>
      </c>
      <c r="AQ30" s="315">
        <v>8032</v>
      </c>
      <c r="AR30" s="315">
        <v>7864</v>
      </c>
      <c r="AS30" s="314">
        <f t="shared" si="80"/>
        <v>-2.0916334661354581</v>
      </c>
      <c r="AT30" s="315">
        <v>10927</v>
      </c>
      <c r="AU30" s="315">
        <v>7864</v>
      </c>
      <c r="AV30" s="314">
        <f t="shared" si="81"/>
        <v>-28.031481650956348</v>
      </c>
      <c r="AW30" s="313"/>
      <c r="AX30" s="313" t="s">
        <v>54</v>
      </c>
      <c r="AY30" s="315">
        <v>9729</v>
      </c>
      <c r="AZ30" s="315">
        <v>10927</v>
      </c>
      <c r="BA30" s="314">
        <f t="shared" si="82"/>
        <v>12.31370130537568</v>
      </c>
      <c r="BB30" s="315">
        <v>9820</v>
      </c>
      <c r="BC30" s="315">
        <v>10927</v>
      </c>
      <c r="BD30" s="314">
        <f t="shared" si="83"/>
        <v>11.272912423625254</v>
      </c>
      <c r="BE30" s="313"/>
      <c r="BF30" s="313" t="s">
        <v>54</v>
      </c>
      <c r="BG30" s="315">
        <v>9409</v>
      </c>
      <c r="BH30" s="315">
        <v>9820</v>
      </c>
      <c r="BI30" s="314">
        <f t="shared" si="84"/>
        <v>4.3681581464555208</v>
      </c>
      <c r="BJ30" s="315">
        <v>7636</v>
      </c>
      <c r="BK30" s="315">
        <v>9820</v>
      </c>
      <c r="BL30" s="314">
        <f t="shared" si="85"/>
        <v>28.601361969617599</v>
      </c>
      <c r="BM30" s="313"/>
      <c r="BN30" s="313" t="s">
        <v>54</v>
      </c>
      <c r="BO30" s="315">
        <v>7567</v>
      </c>
      <c r="BP30" s="315">
        <v>7636</v>
      </c>
      <c r="BQ30" s="314">
        <f t="shared" si="86"/>
        <v>0.91185410334346495</v>
      </c>
      <c r="BR30" s="315">
        <v>9409</v>
      </c>
      <c r="BS30" s="315">
        <v>7636</v>
      </c>
      <c r="BT30" s="314">
        <f t="shared" si="87"/>
        <v>-18.843660325220533</v>
      </c>
      <c r="BV30" s="165" t="s">
        <v>2</v>
      </c>
      <c r="BW30" s="165" t="s">
        <v>55</v>
      </c>
      <c r="BX30" s="292">
        <f>ม.ค.!BX30</f>
        <v>93714</v>
      </c>
      <c r="BY30" s="166">
        <v>104712</v>
      </c>
      <c r="BZ30" s="167">
        <f t="shared" si="59"/>
        <v>11.735706511300339</v>
      </c>
      <c r="CA30" s="166">
        <v>108173</v>
      </c>
      <c r="CB30" s="166">
        <f t="shared" si="51"/>
        <v>104712</v>
      </c>
      <c r="CC30" s="167">
        <f t="shared" si="52"/>
        <v>-3.1995044974254205</v>
      </c>
      <c r="CD30" s="167"/>
      <c r="CF30" s="165" t="s">
        <v>55</v>
      </c>
      <c r="CG30" s="277">
        <v>92440</v>
      </c>
      <c r="CH30" s="166">
        <v>108173</v>
      </c>
      <c r="CI30" s="167">
        <f t="shared" si="60"/>
        <v>17.019688446559929</v>
      </c>
      <c r="CJ30" s="166">
        <v>97171</v>
      </c>
      <c r="CK30" s="166">
        <v>108173</v>
      </c>
      <c r="CL30" s="167">
        <f t="shared" si="53"/>
        <v>11.322308096036883</v>
      </c>
      <c r="CN30" s="165" t="s">
        <v>2</v>
      </c>
      <c r="CO30" s="165" t="s">
        <v>55</v>
      </c>
      <c r="CP30" s="166">
        <v>81025</v>
      </c>
      <c r="CQ30" s="166">
        <v>97171</v>
      </c>
      <c r="CR30" s="167">
        <f t="shared" si="61"/>
        <v>19.927182968219686</v>
      </c>
      <c r="CS30" s="166">
        <v>96678</v>
      </c>
      <c r="CT30" s="166">
        <v>97171</v>
      </c>
      <c r="CU30" s="167">
        <f t="shared" si="54"/>
        <v>0.5099402139059559</v>
      </c>
      <c r="CV30" s="73"/>
      <c r="CW30" s="216" t="s">
        <v>2</v>
      </c>
      <c r="CX30" s="216" t="s">
        <v>55</v>
      </c>
      <c r="CY30" s="217">
        <v>86697</v>
      </c>
      <c r="CZ30" s="217">
        <v>94527</v>
      </c>
      <c r="DA30" s="218">
        <f t="shared" si="62"/>
        <v>9.0314543755839303</v>
      </c>
      <c r="DB30" s="217">
        <v>77315</v>
      </c>
      <c r="DC30" s="217">
        <v>94527</v>
      </c>
      <c r="DD30" s="218">
        <f t="shared" si="63"/>
        <v>22.26217422233719</v>
      </c>
      <c r="DE30" s="73"/>
      <c r="DF30" s="165" t="s">
        <v>2</v>
      </c>
      <c r="DG30" s="165" t="s">
        <v>55</v>
      </c>
      <c r="DH30" s="166">
        <v>53591</v>
      </c>
      <c r="DI30" s="166">
        <v>77314</v>
      </c>
      <c r="DJ30" s="167">
        <f t="shared" si="64"/>
        <v>44.266761209904651</v>
      </c>
      <c r="DK30" s="166">
        <v>80699</v>
      </c>
      <c r="DL30" s="166">
        <v>77314</v>
      </c>
      <c r="DM30" s="167">
        <f t="shared" si="65"/>
        <v>-4.1945996852501271</v>
      </c>
      <c r="DN30" s="155"/>
      <c r="DO30" s="135" t="s">
        <v>2</v>
      </c>
      <c r="DP30" s="135" t="s">
        <v>55</v>
      </c>
      <c r="DQ30" s="136">
        <v>68082</v>
      </c>
      <c r="DR30" s="136">
        <v>80699</v>
      </c>
      <c r="DS30" s="137">
        <f t="shared" si="66"/>
        <v>18.532064275432568</v>
      </c>
      <c r="DT30" s="136">
        <v>74063</v>
      </c>
      <c r="DU30" s="136">
        <v>80699</v>
      </c>
      <c r="DV30" s="137">
        <f t="shared" si="67"/>
        <v>8.9599395109568878</v>
      </c>
      <c r="DW30" s="73"/>
      <c r="DX30" s="86" t="s">
        <v>2</v>
      </c>
      <c r="DY30" s="86" t="s">
        <v>55</v>
      </c>
      <c r="DZ30" s="87">
        <v>58525</v>
      </c>
      <c r="EA30" s="87">
        <v>74063</v>
      </c>
      <c r="EB30" s="88">
        <f t="shared" si="68"/>
        <v>26.549337889790685</v>
      </c>
      <c r="EC30" s="87">
        <v>44609</v>
      </c>
      <c r="ED30" s="87">
        <v>74063</v>
      </c>
      <c r="EE30" s="88">
        <f t="shared" si="69"/>
        <v>66.027034903270646</v>
      </c>
      <c r="EF30" s="73"/>
      <c r="EG30" s="63" t="s">
        <v>2</v>
      </c>
      <c r="EH30" s="63" t="s">
        <v>55</v>
      </c>
      <c r="EI30" s="68">
        <v>49454</v>
      </c>
      <c r="EJ30" s="68">
        <v>44609</v>
      </c>
      <c r="EK30" s="65">
        <f t="shared" si="55"/>
        <v>-9.7969830549601653</v>
      </c>
      <c r="EL30" s="68">
        <v>66076</v>
      </c>
      <c r="EM30" s="68">
        <v>44609</v>
      </c>
      <c r="EN30" s="65">
        <f t="shared" si="56"/>
        <v>-32.488346752224714</v>
      </c>
      <c r="EO30" s="73"/>
      <c r="EP30" s="86" t="s">
        <v>2</v>
      </c>
      <c r="EQ30" s="86" t="s">
        <v>55</v>
      </c>
      <c r="ER30" s="87">
        <v>58502</v>
      </c>
      <c r="ES30" s="87">
        <v>66076</v>
      </c>
      <c r="ET30" s="88">
        <f t="shared" si="57"/>
        <v>12.946565929369935</v>
      </c>
      <c r="EU30" s="87">
        <v>53595</v>
      </c>
      <c r="EV30" s="87">
        <v>66076</v>
      </c>
      <c r="EW30" s="88">
        <f t="shared" si="58"/>
        <v>23.287620113816587</v>
      </c>
      <c r="EX30" s="73"/>
    </row>
    <row r="31" spans="1:154" x14ac:dyDescent="0.5">
      <c r="A31" s="313" t="s">
        <v>2</v>
      </c>
      <c r="B31" s="313" t="s">
        <v>55</v>
      </c>
      <c r="C31" s="292">
        <v>62321</v>
      </c>
      <c r="D31" s="292">
        <v>81323</v>
      </c>
      <c r="E31" s="314">
        <f t="shared" si="70"/>
        <v>30.490524863208229</v>
      </c>
      <c r="F31" s="292">
        <v>88720</v>
      </c>
      <c r="G31" s="292">
        <v>81323</v>
      </c>
      <c r="H31" s="314">
        <f t="shared" si="71"/>
        <v>-8.3374661857529304</v>
      </c>
      <c r="I31" s="313" t="s">
        <v>2</v>
      </c>
      <c r="J31" s="313" t="s">
        <v>55</v>
      </c>
      <c r="K31" s="292">
        <v>86716</v>
      </c>
      <c r="L31" s="292">
        <v>88720</v>
      </c>
      <c r="M31" s="314">
        <f t="shared" si="72"/>
        <v>2.3109922044374742</v>
      </c>
      <c r="N31" s="292">
        <v>88525</v>
      </c>
      <c r="O31" s="292">
        <v>88720</v>
      </c>
      <c r="P31" s="314">
        <f t="shared" si="73"/>
        <v>0.22027675797797233</v>
      </c>
      <c r="Q31" s="313" t="s">
        <v>2</v>
      </c>
      <c r="R31" s="313" t="s">
        <v>55</v>
      </c>
      <c r="S31" s="292">
        <v>86786</v>
      </c>
      <c r="T31" s="292">
        <v>88525</v>
      </c>
      <c r="U31" s="314">
        <f t="shared" si="74"/>
        <v>2.0037794114258061</v>
      </c>
      <c r="V31" s="292">
        <v>79451</v>
      </c>
      <c r="W31" s="292">
        <v>88525</v>
      </c>
      <c r="X31" s="314">
        <f t="shared" si="75"/>
        <v>11.42087575990233</v>
      </c>
      <c r="Y31" s="313" t="s">
        <v>2</v>
      </c>
      <c r="Z31" s="313" t="s">
        <v>55</v>
      </c>
      <c r="AA31" s="292">
        <v>69833</v>
      </c>
      <c r="AB31" s="292">
        <v>79451</v>
      </c>
      <c r="AC31" s="314">
        <f t="shared" si="76"/>
        <v>13.772858104334626</v>
      </c>
      <c r="AD31" s="292">
        <v>79470</v>
      </c>
      <c r="AE31" s="292">
        <v>79451</v>
      </c>
      <c r="AF31" s="314">
        <f t="shared" si="77"/>
        <v>-2.3908393104316094E-2</v>
      </c>
      <c r="AG31" s="313" t="s">
        <v>2</v>
      </c>
      <c r="AH31" s="313" t="s">
        <v>55</v>
      </c>
      <c r="AI31" s="292">
        <v>74132</v>
      </c>
      <c r="AJ31" s="292">
        <v>79470</v>
      </c>
      <c r="AK31" s="314">
        <f t="shared" si="78"/>
        <v>7.2006690767819572</v>
      </c>
      <c r="AL31" s="292">
        <v>95191</v>
      </c>
      <c r="AM31" s="292">
        <v>79470</v>
      </c>
      <c r="AN31" s="314">
        <f t="shared" si="79"/>
        <v>-16.515216774695087</v>
      </c>
      <c r="AO31" s="313" t="s">
        <v>2</v>
      </c>
      <c r="AP31" s="313" t="s">
        <v>55</v>
      </c>
      <c r="AQ31" s="292">
        <v>65295</v>
      </c>
      <c r="AR31" s="292">
        <v>95191</v>
      </c>
      <c r="AS31" s="314">
        <f t="shared" si="80"/>
        <v>45.786047936289151</v>
      </c>
      <c r="AT31" s="292">
        <v>100550</v>
      </c>
      <c r="AU31" s="292">
        <v>95191</v>
      </c>
      <c r="AV31" s="314">
        <f t="shared" si="81"/>
        <v>-5.3296867230233715</v>
      </c>
      <c r="AW31" s="313" t="s">
        <v>2</v>
      </c>
      <c r="AX31" s="313" t="s">
        <v>55</v>
      </c>
      <c r="AY31" s="292">
        <v>81583</v>
      </c>
      <c r="AZ31" s="292">
        <v>100550</v>
      </c>
      <c r="BA31" s="314">
        <f t="shared" si="82"/>
        <v>23.248716031526175</v>
      </c>
      <c r="BB31" s="292">
        <v>102217</v>
      </c>
      <c r="BC31" s="292">
        <v>100550</v>
      </c>
      <c r="BD31" s="314">
        <f t="shared" si="83"/>
        <v>-1.630844184431161</v>
      </c>
      <c r="BE31" s="313" t="s">
        <v>2</v>
      </c>
      <c r="BF31" s="313" t="s">
        <v>55</v>
      </c>
      <c r="BG31" s="292">
        <v>82067</v>
      </c>
      <c r="BH31" s="292">
        <v>102217</v>
      </c>
      <c r="BI31" s="314">
        <f t="shared" si="84"/>
        <v>24.553109045048558</v>
      </c>
      <c r="BJ31" s="292">
        <v>98237</v>
      </c>
      <c r="BK31" s="292">
        <v>102217</v>
      </c>
      <c r="BL31" s="314">
        <f t="shared" si="85"/>
        <v>4.0514266518725126</v>
      </c>
      <c r="BM31" s="313" t="s">
        <v>2</v>
      </c>
      <c r="BN31" s="313" t="s">
        <v>55</v>
      </c>
      <c r="BO31" s="292">
        <v>80097</v>
      </c>
      <c r="BP31" s="292">
        <v>98237</v>
      </c>
      <c r="BQ31" s="314">
        <f t="shared" si="86"/>
        <v>22.647539857922268</v>
      </c>
      <c r="BR31" s="292">
        <v>104712</v>
      </c>
      <c r="BS31" s="292">
        <v>98237</v>
      </c>
      <c r="BT31" s="314">
        <f t="shared" si="87"/>
        <v>-6.1836274734509891</v>
      </c>
      <c r="BV31" s="168"/>
      <c r="BW31" s="168" t="s">
        <v>56</v>
      </c>
      <c r="BX31" s="296">
        <f>ม.ค.!BX31</f>
        <v>50582.23</v>
      </c>
      <c r="BY31" s="170">
        <v>55635.4</v>
      </c>
      <c r="BZ31" s="167">
        <f t="shared" si="59"/>
        <v>9.9900103257606432</v>
      </c>
      <c r="CA31" s="170">
        <v>48620.15</v>
      </c>
      <c r="CB31" s="170">
        <f t="shared" si="51"/>
        <v>55635.4</v>
      </c>
      <c r="CC31" s="167">
        <f t="shared" si="52"/>
        <v>14.428688517003751</v>
      </c>
      <c r="CD31" s="167"/>
      <c r="CF31" s="168" t="s">
        <v>56</v>
      </c>
      <c r="CG31" s="296">
        <v>41151.4</v>
      </c>
      <c r="CH31" s="170">
        <v>47558.85</v>
      </c>
      <c r="CI31" s="167">
        <f t="shared" si="60"/>
        <v>15.57043016762491</v>
      </c>
      <c r="CJ31" s="170">
        <v>46081.16</v>
      </c>
      <c r="CK31" s="170">
        <v>47558.85</v>
      </c>
      <c r="CL31" s="167">
        <f t="shared" si="53"/>
        <v>3.2067118102061558</v>
      </c>
      <c r="CN31" s="168"/>
      <c r="CO31" s="168" t="s">
        <v>56</v>
      </c>
      <c r="CP31" s="170">
        <v>37411.07</v>
      </c>
      <c r="CQ31" s="170">
        <v>46081.16</v>
      </c>
      <c r="CR31" s="167">
        <f t="shared" si="61"/>
        <v>23.175199212425639</v>
      </c>
      <c r="CS31" s="170">
        <v>42308.160000000003</v>
      </c>
      <c r="CT31" s="170">
        <v>46081.16</v>
      </c>
      <c r="CU31" s="167">
        <f t="shared" si="54"/>
        <v>8.9179014166534305</v>
      </c>
      <c r="CV31" s="73"/>
      <c r="CW31" s="219"/>
      <c r="CX31" s="219" t="s">
        <v>56</v>
      </c>
      <c r="CY31" s="221">
        <v>39484.93</v>
      </c>
      <c r="CZ31" s="221">
        <v>41308.15</v>
      </c>
      <c r="DA31" s="218">
        <f t="shared" si="62"/>
        <v>4.617508502610999</v>
      </c>
      <c r="DB31" s="223">
        <v>35736.980000000003</v>
      </c>
      <c r="DC31" s="221">
        <v>41308.15</v>
      </c>
      <c r="DD31" s="218">
        <f t="shared" si="63"/>
        <v>15.589369890796586</v>
      </c>
      <c r="DE31" s="73"/>
      <c r="DF31" s="168"/>
      <c r="DG31" s="168" t="s">
        <v>56</v>
      </c>
      <c r="DH31" s="170">
        <v>24855.85</v>
      </c>
      <c r="DI31" s="170">
        <v>35735.72</v>
      </c>
      <c r="DJ31" s="167">
        <f t="shared" si="64"/>
        <v>43.771868594314832</v>
      </c>
      <c r="DK31" s="170">
        <v>35277.01</v>
      </c>
      <c r="DL31" s="170">
        <v>35735.72</v>
      </c>
      <c r="DM31" s="167">
        <f t="shared" si="65"/>
        <v>1.3003086145906331</v>
      </c>
      <c r="DN31" s="155"/>
      <c r="DO31" s="138"/>
      <c r="DP31" s="138" t="s">
        <v>56</v>
      </c>
      <c r="DQ31" s="140">
        <v>29195.65</v>
      </c>
      <c r="DR31" s="140">
        <v>35277.01</v>
      </c>
      <c r="DS31" s="137">
        <f t="shared" si="66"/>
        <v>20.829678393870321</v>
      </c>
      <c r="DT31" s="140">
        <v>34767.17</v>
      </c>
      <c r="DU31" s="140">
        <v>35277.01</v>
      </c>
      <c r="DV31" s="137">
        <f t="shared" si="67"/>
        <v>1.466440898123154</v>
      </c>
      <c r="DW31" s="73"/>
      <c r="DX31" s="89"/>
      <c r="DY31" s="89" t="s">
        <v>56</v>
      </c>
      <c r="DZ31" s="93">
        <v>28132.39</v>
      </c>
      <c r="EA31" s="93">
        <v>34767.17</v>
      </c>
      <c r="EB31" s="88">
        <f t="shared" si="68"/>
        <v>23.584132027175787</v>
      </c>
      <c r="EC31" s="93">
        <v>20504.759999999998</v>
      </c>
      <c r="ED31" s="93">
        <v>34767.17</v>
      </c>
      <c r="EE31" s="88">
        <f t="shared" si="69"/>
        <v>69.556581008507294</v>
      </c>
      <c r="EF31" s="73"/>
      <c r="EG31" s="42"/>
      <c r="EH31" s="42" t="s">
        <v>56</v>
      </c>
      <c r="EI31" s="66">
        <v>23035.23</v>
      </c>
      <c r="EJ31" s="66">
        <v>20504.759999999998</v>
      </c>
      <c r="EK31" s="44">
        <f t="shared" si="55"/>
        <v>-10.985216991538618</v>
      </c>
      <c r="EL31" s="67">
        <v>29783.1</v>
      </c>
      <c r="EM31" s="66">
        <v>20504.759999999998</v>
      </c>
      <c r="EN31" s="44">
        <f t="shared" si="56"/>
        <v>-31.153036453559235</v>
      </c>
      <c r="EO31" s="61"/>
      <c r="EP31" s="89"/>
      <c r="EQ31" s="89" t="s">
        <v>56</v>
      </c>
      <c r="ER31" s="93">
        <v>26845.68</v>
      </c>
      <c r="ES31" s="93">
        <v>29783.1</v>
      </c>
      <c r="ET31" s="91">
        <f t="shared" si="57"/>
        <v>10.941872211841899</v>
      </c>
      <c r="EU31" s="94">
        <v>23749.58</v>
      </c>
      <c r="EV31" s="93">
        <v>29783.1</v>
      </c>
      <c r="EW31" s="91">
        <f t="shared" si="58"/>
        <v>25.404743999683348</v>
      </c>
      <c r="EX31" s="61"/>
    </row>
    <row r="32" spans="1:154" x14ac:dyDescent="0.5">
      <c r="A32" s="313"/>
      <c r="B32" s="313" t="s">
        <v>56</v>
      </c>
      <c r="C32" s="316">
        <v>41445.304224649997</v>
      </c>
      <c r="D32" s="316">
        <v>57326.37</v>
      </c>
      <c r="E32" s="314">
        <f t="shared" si="70"/>
        <v>38.318130539634424</v>
      </c>
      <c r="F32" s="316">
        <v>60661.258335490042</v>
      </c>
      <c r="G32" s="316">
        <v>57326.37</v>
      </c>
      <c r="H32" s="314">
        <f t="shared" si="71"/>
        <v>-5.4975587829818444</v>
      </c>
      <c r="I32" s="313"/>
      <c r="J32" s="313" t="s">
        <v>56</v>
      </c>
      <c r="K32" s="316">
        <v>60567.427630679987</v>
      </c>
      <c r="L32" s="316">
        <v>60661.258335490042</v>
      </c>
      <c r="M32" s="314">
        <f t="shared" si="72"/>
        <v>0.15491941540294987</v>
      </c>
      <c r="N32" s="316">
        <v>54801.645197600061</v>
      </c>
      <c r="O32" s="316">
        <v>60661.258335490042</v>
      </c>
      <c r="P32" s="314">
        <f t="shared" si="73"/>
        <v>10.692403698395887</v>
      </c>
      <c r="Q32" s="313"/>
      <c r="R32" s="313" t="s">
        <v>56</v>
      </c>
      <c r="S32" s="316">
        <v>52671.551747437748</v>
      </c>
      <c r="T32" s="316">
        <v>54801.645197600061</v>
      </c>
      <c r="U32" s="314">
        <f t="shared" si="74"/>
        <v>4.0441061246423837</v>
      </c>
      <c r="V32" s="316">
        <v>45539.120389170057</v>
      </c>
      <c r="W32" s="316">
        <v>54801.645197600061</v>
      </c>
      <c r="X32" s="314">
        <f t="shared" si="75"/>
        <v>20.339709527267864</v>
      </c>
      <c r="Y32" s="313"/>
      <c r="Z32" s="313" t="s">
        <v>56</v>
      </c>
      <c r="AA32" s="316">
        <v>42773.015169496983</v>
      </c>
      <c r="AB32" s="316">
        <v>45539.120389170057</v>
      </c>
      <c r="AC32" s="314">
        <f t="shared" si="76"/>
        <v>6.466939982397327</v>
      </c>
      <c r="AD32" s="316">
        <v>43081.654301301482</v>
      </c>
      <c r="AE32" s="316">
        <v>45539.120389170057</v>
      </c>
      <c r="AF32" s="314">
        <f t="shared" si="77"/>
        <v>5.7042054854294122</v>
      </c>
      <c r="AG32" s="313"/>
      <c r="AH32" s="313" t="s">
        <v>56</v>
      </c>
      <c r="AI32" s="316">
        <v>41435.206706728997</v>
      </c>
      <c r="AJ32" s="316">
        <v>43081.654301301482</v>
      </c>
      <c r="AK32" s="314">
        <f t="shared" si="78"/>
        <v>3.9735474381140334</v>
      </c>
      <c r="AL32" s="316">
        <v>47463.73</v>
      </c>
      <c r="AM32" s="316">
        <v>43081.654301301482</v>
      </c>
      <c r="AN32" s="314">
        <f t="shared" si="79"/>
        <v>-9.2324722450142911</v>
      </c>
      <c r="AO32" s="313"/>
      <c r="AP32" s="313" t="s">
        <v>56</v>
      </c>
      <c r="AQ32" s="316">
        <v>32271.37</v>
      </c>
      <c r="AR32" s="316">
        <v>47463.73</v>
      </c>
      <c r="AS32" s="314">
        <f t="shared" si="80"/>
        <v>47.07689819180284</v>
      </c>
      <c r="AT32" s="316">
        <v>49053.02</v>
      </c>
      <c r="AU32" s="316">
        <v>47463.73</v>
      </c>
      <c r="AV32" s="314">
        <f t="shared" si="81"/>
        <v>-3.239943228775708</v>
      </c>
      <c r="AW32" s="313"/>
      <c r="AX32" s="313" t="s">
        <v>56</v>
      </c>
      <c r="AY32" s="316">
        <v>40816.86</v>
      </c>
      <c r="AZ32" s="316">
        <v>49053.02</v>
      </c>
      <c r="BA32" s="314">
        <f t="shared" si="82"/>
        <v>20.178328269249512</v>
      </c>
      <c r="BB32" s="316">
        <v>52273.53</v>
      </c>
      <c r="BC32" s="316">
        <v>49053.02</v>
      </c>
      <c r="BD32" s="314">
        <f t="shared" si="83"/>
        <v>-6.1608810424702565</v>
      </c>
      <c r="BE32" s="313"/>
      <c r="BF32" s="313" t="s">
        <v>56</v>
      </c>
      <c r="BG32" s="316">
        <v>42014.28</v>
      </c>
      <c r="BH32" s="316">
        <v>52273.53</v>
      </c>
      <c r="BI32" s="314">
        <f t="shared" si="84"/>
        <v>24.418483429919544</v>
      </c>
      <c r="BJ32" s="316">
        <v>51898.080000000002</v>
      </c>
      <c r="BK32" s="316">
        <v>52273.53</v>
      </c>
      <c r="BL32" s="314">
        <f t="shared" si="85"/>
        <v>0.72343716761775589</v>
      </c>
      <c r="BM32" s="313"/>
      <c r="BN32" s="313" t="s">
        <v>56</v>
      </c>
      <c r="BO32" s="316">
        <v>41424.68</v>
      </c>
      <c r="BP32" s="316">
        <v>51898.080000000002</v>
      </c>
      <c r="BQ32" s="314">
        <f t="shared" si="86"/>
        <v>25.282995547581784</v>
      </c>
      <c r="BR32" s="316">
        <v>55635.4</v>
      </c>
      <c r="BS32" s="316">
        <v>51898.080000000002</v>
      </c>
      <c r="BT32" s="314">
        <f t="shared" si="87"/>
        <v>-6.7175215779881139</v>
      </c>
      <c r="DF32"/>
      <c r="DN32" s="153"/>
      <c r="EL32" s="97"/>
      <c r="EU32" s="97"/>
    </row>
    <row r="33" spans="57:64" x14ac:dyDescent="0.5">
      <c r="BE33" s="59"/>
      <c r="BF33" s="59"/>
      <c r="BG33" s="59"/>
      <c r="BH33" s="59"/>
      <c r="BI33" s="59"/>
      <c r="BJ33" s="59"/>
      <c r="BK33" s="59"/>
      <c r="BL33" s="59"/>
    </row>
  </sheetData>
  <phoneticPr fontId="10" type="noConversion"/>
  <pageMargins left="0.55118110236220474" right="0.35433070866141736" top="0.98425196850393704" bottom="0.59055118110236227" header="0.51181102362204722" footer="0.51181102362204722"/>
  <pageSetup paperSize="9" scale="111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T33"/>
  <sheetViews>
    <sheetView view="pageBreakPreview" zoomScaleSheetLayoutView="100" workbookViewId="0">
      <selection activeCell="D21" sqref="D21"/>
    </sheetView>
  </sheetViews>
  <sheetFormatPr defaultRowHeight="21.75" x14ac:dyDescent="0.5"/>
  <cols>
    <col min="2" max="2" width="21.28515625" customWidth="1"/>
    <col min="10" max="10" width="24.5703125" customWidth="1"/>
    <col min="18" max="18" width="26.7109375" customWidth="1"/>
    <col min="26" max="26" width="25.140625" customWidth="1"/>
    <col min="34" max="34" width="24" customWidth="1"/>
    <col min="42" max="42" width="24.42578125" customWidth="1"/>
    <col min="50" max="50" width="24.7109375" customWidth="1"/>
    <col min="53" max="53" width="9.28515625" customWidth="1"/>
    <col min="58" max="58" width="24.42578125" customWidth="1"/>
    <col min="60" max="60" width="9.140625" customWidth="1"/>
    <col min="66" max="66" width="12.7109375" customWidth="1"/>
    <col min="67" max="68" width="9.42578125" bestFit="1" customWidth="1"/>
    <col min="69" max="69" width="9.28515625" bestFit="1" customWidth="1"/>
    <col min="70" max="70" width="9.140625" customWidth="1"/>
    <col min="71" max="71" width="9.42578125" bestFit="1" customWidth="1"/>
    <col min="72" max="72" width="9.28515625" bestFit="1" customWidth="1"/>
    <col min="75" max="75" width="10.42578125" customWidth="1"/>
    <col min="84" max="84" width="12.42578125" customWidth="1"/>
    <col min="86" max="86" width="10.28515625" bestFit="1" customWidth="1"/>
    <col min="88" max="88" width="11" bestFit="1" customWidth="1"/>
    <col min="89" max="89" width="11.28515625" customWidth="1"/>
    <col min="91" max="91" width="9.140625" customWidth="1"/>
    <col min="93" max="93" width="12.42578125" customWidth="1"/>
    <col min="95" max="95" width="10.28515625" bestFit="1" customWidth="1"/>
    <col min="98" max="98" width="11.28515625" customWidth="1"/>
    <col min="100" max="100" width="9.140625" customWidth="1"/>
    <col min="102" max="102" width="12.42578125" customWidth="1"/>
    <col min="104" max="104" width="9.7109375" customWidth="1"/>
    <col min="109" max="109" width="9.140625" customWidth="1"/>
    <col min="111" max="111" width="12.42578125" customWidth="1"/>
    <col min="118" max="118" width="9.140625" style="116" customWidth="1"/>
    <col min="120" max="120" width="12.42578125" customWidth="1"/>
    <col min="127" max="127" width="9.140625" customWidth="1"/>
    <col min="129" max="129" width="12.42578125" customWidth="1"/>
    <col min="138" max="138" width="10" customWidth="1"/>
    <col min="139" max="139" width="10.140625" customWidth="1"/>
    <col min="140" max="140" width="9.140625" style="59" customWidth="1"/>
    <col min="141" max="141" width="9.85546875" customWidth="1"/>
    <col min="142" max="142" width="11.140625" customWidth="1"/>
    <col min="143" max="143" width="9.140625" style="59" customWidth="1"/>
    <col min="144" max="144" width="9.140625" customWidth="1"/>
    <col min="146" max="146" width="10" customWidth="1"/>
    <col min="147" max="147" width="10.140625" customWidth="1"/>
    <col min="149" max="149" width="9.85546875" customWidth="1"/>
    <col min="150" max="150" width="11.140625" customWidth="1"/>
    <col min="154" max="158" width="10.42578125" customWidth="1"/>
  </cols>
  <sheetData>
    <row r="1" spans="1:176" x14ac:dyDescent="0.5">
      <c r="C1" s="62" t="s">
        <v>857</v>
      </c>
      <c r="K1" s="62" t="s">
        <v>809</v>
      </c>
      <c r="Q1" s="59"/>
      <c r="R1" s="59"/>
      <c r="S1" s="127" t="s">
        <v>758</v>
      </c>
      <c r="T1" s="127"/>
      <c r="U1" s="127"/>
      <c r="V1" s="127"/>
      <c r="W1" s="127"/>
      <c r="X1" s="127"/>
      <c r="Y1" s="59"/>
      <c r="Z1" s="59"/>
      <c r="AA1" s="127" t="s">
        <v>717</v>
      </c>
      <c r="AB1" s="127"/>
      <c r="AC1" s="127"/>
      <c r="AD1" s="127"/>
      <c r="AE1" s="127"/>
      <c r="AF1" s="127"/>
      <c r="AG1" s="59"/>
      <c r="AH1" s="59"/>
      <c r="AI1" s="127" t="s">
        <v>670</v>
      </c>
      <c r="AJ1" s="127"/>
      <c r="AK1" s="127"/>
      <c r="AL1" s="127"/>
      <c r="AM1" s="127"/>
      <c r="AN1" s="127"/>
      <c r="AO1" s="59"/>
      <c r="AP1" s="59"/>
      <c r="AQ1" s="127" t="s">
        <v>624</v>
      </c>
      <c r="AR1" s="127"/>
      <c r="AS1" s="127"/>
      <c r="AT1" s="127"/>
      <c r="AU1" s="127"/>
      <c r="AV1" s="127"/>
      <c r="AW1" s="59"/>
      <c r="AX1" s="59"/>
      <c r="AY1" s="127" t="s">
        <v>576</v>
      </c>
      <c r="AZ1" s="127"/>
      <c r="BA1" s="127"/>
      <c r="BB1" s="127"/>
      <c r="BC1" s="127"/>
      <c r="BD1" s="127"/>
      <c r="BE1" s="59"/>
      <c r="BF1" s="59"/>
      <c r="BG1" s="127" t="s">
        <v>535</v>
      </c>
      <c r="BH1" s="127"/>
      <c r="BI1" s="127"/>
      <c r="BJ1" s="127"/>
      <c r="BK1" s="127"/>
      <c r="BL1" s="127"/>
      <c r="BM1" s="59"/>
      <c r="BN1" s="59"/>
      <c r="BO1" s="127" t="s">
        <v>478</v>
      </c>
      <c r="BP1" s="127"/>
      <c r="BQ1" s="127"/>
      <c r="BR1" s="127"/>
      <c r="BS1" s="127"/>
      <c r="BT1" s="127"/>
      <c r="BU1" s="59"/>
      <c r="BV1" s="59"/>
      <c r="BW1" s="127" t="s">
        <v>423</v>
      </c>
      <c r="BX1" s="127"/>
      <c r="BY1" s="127"/>
      <c r="BZ1" s="127"/>
      <c r="CA1" s="127"/>
      <c r="CB1" s="127"/>
      <c r="CC1" s="59"/>
      <c r="CF1" t="s">
        <v>374</v>
      </c>
      <c r="CO1" t="s">
        <v>327</v>
      </c>
      <c r="CX1" t="s">
        <v>286</v>
      </c>
      <c r="DG1" s="171" t="s">
        <v>245</v>
      </c>
      <c r="DN1"/>
      <c r="DP1" t="s">
        <v>206</v>
      </c>
      <c r="DY1" t="s">
        <v>169</v>
      </c>
      <c r="EE1" s="116"/>
      <c r="EH1" t="s">
        <v>133</v>
      </c>
      <c r="EJ1"/>
      <c r="EM1"/>
      <c r="EQ1" t="s">
        <v>81</v>
      </c>
      <c r="FA1" s="59"/>
      <c r="FD1" s="59"/>
    </row>
    <row r="2" spans="1:176" x14ac:dyDescent="0.5">
      <c r="A2" s="257"/>
      <c r="B2" s="257"/>
      <c r="C2" s="323" t="s">
        <v>854</v>
      </c>
      <c r="D2" s="323" t="s">
        <v>856</v>
      </c>
      <c r="E2" s="262" t="s">
        <v>3</v>
      </c>
      <c r="F2" s="330" t="s">
        <v>815</v>
      </c>
      <c r="G2" s="323" t="s">
        <v>856</v>
      </c>
      <c r="H2" s="262" t="s">
        <v>3</v>
      </c>
      <c r="I2" s="257"/>
      <c r="J2" s="257"/>
      <c r="K2" s="323" t="s">
        <v>807</v>
      </c>
      <c r="L2" s="323" t="s">
        <v>811</v>
      </c>
      <c r="M2" s="262" t="s">
        <v>3</v>
      </c>
      <c r="N2" s="330" t="s">
        <v>761</v>
      </c>
      <c r="O2" s="323" t="s">
        <v>811</v>
      </c>
      <c r="P2" s="262" t="s">
        <v>3</v>
      </c>
      <c r="Q2" s="305"/>
      <c r="R2" s="305"/>
      <c r="S2" s="330" t="s">
        <v>760</v>
      </c>
      <c r="T2" s="330" t="s">
        <v>761</v>
      </c>
      <c r="U2" s="311" t="s">
        <v>3</v>
      </c>
      <c r="V2" s="330" t="s">
        <v>721</v>
      </c>
      <c r="W2" s="330" t="s">
        <v>762</v>
      </c>
      <c r="X2" s="311" t="s">
        <v>3</v>
      </c>
      <c r="Y2" s="305"/>
      <c r="Z2" s="305"/>
      <c r="AA2" s="330" t="s">
        <v>719</v>
      </c>
      <c r="AB2" s="330" t="s">
        <v>720</v>
      </c>
      <c r="AC2" s="311" t="s">
        <v>3</v>
      </c>
      <c r="AD2" s="330" t="s">
        <v>669</v>
      </c>
      <c r="AE2" s="330" t="s">
        <v>721</v>
      </c>
      <c r="AF2" s="311" t="s">
        <v>3</v>
      </c>
      <c r="AG2" s="305"/>
      <c r="AH2" s="305"/>
      <c r="AI2" s="330" t="s">
        <v>667</v>
      </c>
      <c r="AJ2" s="330" t="s">
        <v>668</v>
      </c>
      <c r="AK2" s="311" t="s">
        <v>3</v>
      </c>
      <c r="AL2" s="330" t="s">
        <v>629</v>
      </c>
      <c r="AM2" s="330" t="s">
        <v>669</v>
      </c>
      <c r="AN2" s="311" t="s">
        <v>3</v>
      </c>
      <c r="AO2" s="305"/>
      <c r="AP2" s="305"/>
      <c r="AQ2" s="330" t="s">
        <v>627</v>
      </c>
      <c r="AR2" s="330" t="s">
        <v>628</v>
      </c>
      <c r="AS2" s="311" t="s">
        <v>3</v>
      </c>
      <c r="AT2" s="330" t="s">
        <v>579</v>
      </c>
      <c r="AU2" s="330" t="s">
        <v>629</v>
      </c>
      <c r="AV2" s="311" t="s">
        <v>3</v>
      </c>
      <c r="AW2" s="305"/>
      <c r="AX2" s="305"/>
      <c r="AY2" s="330" t="s">
        <v>577</v>
      </c>
      <c r="AZ2" s="330" t="s">
        <v>578</v>
      </c>
      <c r="BA2" s="311" t="s">
        <v>3</v>
      </c>
      <c r="BB2" s="330" t="s">
        <v>538</v>
      </c>
      <c r="BC2" s="330" t="s">
        <v>579</v>
      </c>
      <c r="BD2" s="311" t="s">
        <v>3</v>
      </c>
      <c r="BE2" s="305"/>
      <c r="BF2" s="305"/>
      <c r="BG2" s="330" t="s">
        <v>536</v>
      </c>
      <c r="BH2" s="330" t="s">
        <v>537</v>
      </c>
      <c r="BI2" s="311" t="s">
        <v>3</v>
      </c>
      <c r="BJ2" s="330" t="s">
        <v>482</v>
      </c>
      <c r="BK2" s="330" t="s">
        <v>538</v>
      </c>
      <c r="BL2" s="311" t="s">
        <v>3</v>
      </c>
      <c r="BM2" s="305"/>
      <c r="BN2" s="305"/>
      <c r="BO2" s="330" t="s">
        <v>479</v>
      </c>
      <c r="BP2" s="330" t="s">
        <v>480</v>
      </c>
      <c r="BQ2" s="311" t="s">
        <v>3</v>
      </c>
      <c r="BR2" s="330" t="s">
        <v>481</v>
      </c>
      <c r="BS2" s="330" t="s">
        <v>482</v>
      </c>
      <c r="BT2" s="311" t="s">
        <v>3</v>
      </c>
      <c r="BU2" s="59"/>
      <c r="BV2" s="305"/>
      <c r="BW2" s="306" t="s">
        <v>420</v>
      </c>
      <c r="BX2" s="306" t="s">
        <v>421</v>
      </c>
      <c r="BY2" s="311" t="s">
        <v>3</v>
      </c>
      <c r="BZ2" s="306" t="s">
        <v>376</v>
      </c>
      <c r="CA2" s="306" t="s">
        <v>422</v>
      </c>
      <c r="CB2" s="311" t="s">
        <v>3</v>
      </c>
      <c r="CC2" s="59"/>
      <c r="CD2" s="257"/>
      <c r="CE2" s="257"/>
      <c r="CF2" s="260" t="s">
        <v>377</v>
      </c>
      <c r="CG2" s="260" t="s">
        <v>375</v>
      </c>
      <c r="CH2" s="262" t="s">
        <v>3</v>
      </c>
      <c r="CI2" s="260" t="s">
        <v>328</v>
      </c>
      <c r="CJ2" s="260" t="s">
        <v>376</v>
      </c>
      <c r="CK2" s="262" t="s">
        <v>3</v>
      </c>
      <c r="CL2" s="62"/>
      <c r="CM2" s="257"/>
      <c r="CN2" s="257"/>
      <c r="CO2" s="258" t="s">
        <v>325</v>
      </c>
      <c r="CP2" s="259" t="s">
        <v>329</v>
      </c>
      <c r="CQ2" s="257" t="s">
        <v>3</v>
      </c>
      <c r="CR2" s="259" t="s">
        <v>288</v>
      </c>
      <c r="CS2" s="259" t="s">
        <v>328</v>
      </c>
      <c r="CT2" s="257" t="s">
        <v>3</v>
      </c>
      <c r="CU2" s="62"/>
      <c r="CV2" s="188"/>
      <c r="CW2" s="188"/>
      <c r="CX2" s="189" t="s">
        <v>282</v>
      </c>
      <c r="CY2" s="190" t="s">
        <v>287</v>
      </c>
      <c r="CZ2" s="188" t="s">
        <v>3</v>
      </c>
      <c r="DA2" s="190" t="s">
        <v>247</v>
      </c>
      <c r="DB2" s="190" t="s">
        <v>288</v>
      </c>
      <c r="DC2" s="188" t="s">
        <v>3</v>
      </c>
      <c r="DD2" s="62"/>
      <c r="DE2" s="173"/>
      <c r="DF2" s="173"/>
      <c r="DG2" s="174" t="s">
        <v>241</v>
      </c>
      <c r="DH2" s="174" t="s">
        <v>247</v>
      </c>
      <c r="DI2" s="173" t="s">
        <v>3</v>
      </c>
      <c r="DJ2" s="174" t="s">
        <v>208</v>
      </c>
      <c r="DK2" s="174" t="s">
        <v>247</v>
      </c>
      <c r="DL2" s="173" t="s">
        <v>3</v>
      </c>
      <c r="DM2" s="62"/>
      <c r="DN2" s="98"/>
      <c r="DO2" s="98"/>
      <c r="DP2" s="99">
        <v>19694</v>
      </c>
      <c r="DQ2" s="99" t="s">
        <v>208</v>
      </c>
      <c r="DR2" s="98" t="s">
        <v>3</v>
      </c>
      <c r="DS2" s="99" t="s">
        <v>171</v>
      </c>
      <c r="DT2" s="99" t="s">
        <v>208</v>
      </c>
      <c r="DU2" s="98" t="s">
        <v>3</v>
      </c>
      <c r="DV2" s="62"/>
      <c r="DW2" s="118"/>
      <c r="DX2" s="118"/>
      <c r="DY2" s="119">
        <v>19329</v>
      </c>
      <c r="DZ2" s="119" t="s">
        <v>171</v>
      </c>
      <c r="EA2" s="118" t="s">
        <v>3</v>
      </c>
      <c r="EB2" s="119" t="s">
        <v>132</v>
      </c>
      <c r="EC2" s="119" t="s">
        <v>171</v>
      </c>
      <c r="ED2" s="118" t="s">
        <v>3</v>
      </c>
      <c r="EE2" s="116"/>
      <c r="EF2" s="98"/>
      <c r="EG2" s="98"/>
      <c r="EH2" s="99">
        <v>18963</v>
      </c>
      <c r="EI2" s="99" t="s">
        <v>132</v>
      </c>
      <c r="EJ2" s="98" t="s">
        <v>3</v>
      </c>
      <c r="EK2" s="99" t="s">
        <v>83</v>
      </c>
      <c r="EL2" s="99" t="s">
        <v>132</v>
      </c>
      <c r="EM2" s="98" t="s">
        <v>3</v>
      </c>
      <c r="EN2" s="62"/>
      <c r="EO2" s="84"/>
      <c r="EP2" s="84"/>
      <c r="EQ2" s="85">
        <v>18598</v>
      </c>
      <c r="ER2" s="85" t="s">
        <v>83</v>
      </c>
      <c r="ES2" s="84" t="s">
        <v>3</v>
      </c>
      <c r="ET2" s="85" t="s">
        <v>84</v>
      </c>
      <c r="EU2" s="85" t="s">
        <v>83</v>
      </c>
      <c r="EV2" s="84" t="s">
        <v>3</v>
      </c>
      <c r="FA2" s="59"/>
      <c r="FD2" s="59"/>
    </row>
    <row r="3" spans="1:176" x14ac:dyDescent="0.5">
      <c r="A3" s="247" t="s">
        <v>0</v>
      </c>
      <c r="B3" s="247"/>
      <c r="C3" s="267">
        <v>153702</v>
      </c>
      <c r="D3" s="267">
        <v>175856</v>
      </c>
      <c r="E3" s="268">
        <f t="shared" ref="E3:E8" si="0">((D3-C3)/C3)*100</f>
        <v>14.41360554839885</v>
      </c>
      <c r="F3" s="267">
        <v>177822</v>
      </c>
      <c r="G3" s="267">
        <v>175856</v>
      </c>
      <c r="H3" s="249">
        <f t="shared" ref="H3:H8" si="1">((G3-F3)/F3)*100</f>
        <v>-1.1055999820044764</v>
      </c>
      <c r="I3" s="247" t="s">
        <v>0</v>
      </c>
      <c r="J3" s="247"/>
      <c r="K3" s="267">
        <v>164528</v>
      </c>
      <c r="L3" s="267">
        <v>177822</v>
      </c>
      <c r="M3" s="268">
        <f t="shared" ref="M3:M8" si="2">((L3-K3)/K3)*100</f>
        <v>8.0800836331809798</v>
      </c>
      <c r="N3" s="267">
        <v>193910</v>
      </c>
      <c r="O3" s="267">
        <v>177822</v>
      </c>
      <c r="P3" s="249">
        <f t="shared" ref="P3:P8" si="3">((O3-N3)/N3)*100</f>
        <v>-8.2966324583569708</v>
      </c>
      <c r="Q3" s="307" t="s">
        <v>0</v>
      </c>
      <c r="R3" s="307"/>
      <c r="S3" s="267">
        <v>180474</v>
      </c>
      <c r="T3" s="267">
        <v>193910</v>
      </c>
      <c r="U3" s="308">
        <f>((T3-S3)/S3)*100</f>
        <v>7.4448396999013706</v>
      </c>
      <c r="V3" s="267">
        <v>169171</v>
      </c>
      <c r="W3" s="267">
        <v>193910</v>
      </c>
      <c r="X3" s="308">
        <f>((W3-V3)/V3)*100</f>
        <v>14.623664812526972</v>
      </c>
      <c r="Y3" s="307" t="s">
        <v>0</v>
      </c>
      <c r="Z3" s="307"/>
      <c r="AA3" s="267">
        <v>167823</v>
      </c>
      <c r="AB3" s="267">
        <f>AB4+AB5</f>
        <v>169171</v>
      </c>
      <c r="AC3" s="308">
        <f>((AB3-AA3)/AA3)*100</f>
        <v>0.80322720961965888</v>
      </c>
      <c r="AD3" s="267">
        <v>165874</v>
      </c>
      <c r="AE3" s="267">
        <v>169171</v>
      </c>
      <c r="AF3" s="308">
        <f>((AE3-AD3)/AD3)*100</f>
        <v>1.9876532789948997</v>
      </c>
      <c r="AG3" s="307" t="s">
        <v>0</v>
      </c>
      <c r="AH3" s="307"/>
      <c r="AI3" s="267">
        <v>159099</v>
      </c>
      <c r="AJ3" s="267">
        <v>165874</v>
      </c>
      <c r="AK3" s="308">
        <f>((AJ3-AI3)/AI3)*100</f>
        <v>4.258354860809936</v>
      </c>
      <c r="AL3" s="267">
        <v>163163</v>
      </c>
      <c r="AM3" s="267">
        <v>165874</v>
      </c>
      <c r="AN3" s="308">
        <f>((AM3-AL3)/AL3)*100</f>
        <v>1.6615286553936861</v>
      </c>
      <c r="AO3" s="307" t="s">
        <v>0</v>
      </c>
      <c r="AP3" s="307"/>
      <c r="AQ3" s="267">
        <v>158839</v>
      </c>
      <c r="AR3" s="267">
        <v>163163</v>
      </c>
      <c r="AS3" s="308">
        <f>((AR3-AQ3)/AQ3)*100</f>
        <v>2.7222533508773035</v>
      </c>
      <c r="AT3" s="267">
        <v>166699</v>
      </c>
      <c r="AU3" s="267">
        <v>163163</v>
      </c>
      <c r="AV3" s="308">
        <f>((AU3-AT3)/AT3)*100</f>
        <v>-2.1211884894330497</v>
      </c>
      <c r="AW3" s="307" t="s">
        <v>0</v>
      </c>
      <c r="AX3" s="307"/>
      <c r="AY3" s="267">
        <v>148791</v>
      </c>
      <c r="AZ3" s="267">
        <v>166699</v>
      </c>
      <c r="BA3" s="308">
        <f>((AZ3-AY3)/AY3)*100</f>
        <v>12.035674200724507</v>
      </c>
      <c r="BB3" s="267">
        <v>182221</v>
      </c>
      <c r="BC3" s="267">
        <v>166699</v>
      </c>
      <c r="BD3" s="308">
        <f>((BC3-BB3)/BB3)*100</f>
        <v>-8.5182278661625173</v>
      </c>
      <c r="BE3" s="307" t="s">
        <v>0</v>
      </c>
      <c r="BF3" s="307"/>
      <c r="BG3" s="267">
        <v>152315</v>
      </c>
      <c r="BH3" s="267">
        <v>182221</v>
      </c>
      <c r="BI3" s="308">
        <f>((BH3-BG3)/BG3)*100</f>
        <v>19.634310475002462</v>
      </c>
      <c r="BJ3" s="267">
        <v>170634</v>
      </c>
      <c r="BK3" s="267">
        <v>182221</v>
      </c>
      <c r="BL3" s="308">
        <f>((BK3-BJ3)/BJ3)*100</f>
        <v>6.7905575676594347</v>
      </c>
      <c r="BM3" s="307" t="s">
        <v>0</v>
      </c>
      <c r="BN3" s="307"/>
      <c r="BO3" s="267">
        <v>140147</v>
      </c>
      <c r="BP3" s="267">
        <v>170394</v>
      </c>
      <c r="BQ3" s="308">
        <f>((BP3-BO3)/BO3)*100</f>
        <v>21.582338544528245</v>
      </c>
      <c r="BR3" s="267">
        <v>159434</v>
      </c>
      <c r="BS3" s="267">
        <v>170394</v>
      </c>
      <c r="BT3" s="308">
        <f>((BS3-BR3)/BR3)*100</f>
        <v>6.8743178995697276</v>
      </c>
      <c r="BU3" s="127" t="s">
        <v>0</v>
      </c>
      <c r="BV3" s="307"/>
      <c r="BW3" s="267">
        <v>144736</v>
      </c>
      <c r="BX3" s="267" t="e">
        <f>#REF!</f>
        <v>#REF!</v>
      </c>
      <c r="BY3" s="308" t="e">
        <f>((BX3-BW3)/BW3)*100</f>
        <v>#REF!</v>
      </c>
      <c r="BZ3" s="267">
        <v>173146</v>
      </c>
      <c r="CA3" s="267">
        <v>159434</v>
      </c>
      <c r="CB3" s="308">
        <f>((CA3-BZ3)/BZ3)*100</f>
        <v>-7.9193281970129261</v>
      </c>
      <c r="CC3" s="59"/>
      <c r="CD3" s="247" t="s">
        <v>0</v>
      </c>
      <c r="CE3" s="247"/>
      <c r="CF3" s="285">
        <f>'ธ.ค.  '!CL3</f>
        <v>153187</v>
      </c>
      <c r="CG3" s="267">
        <v>173146</v>
      </c>
      <c r="CH3" s="268">
        <f>((CG3-CF3)/CF3)*100</f>
        <v>13.029173493834334</v>
      </c>
      <c r="CI3" s="285">
        <f>CI4+CI5</f>
        <v>165226</v>
      </c>
      <c r="CJ3" s="285">
        <f t="shared" ref="CJ3:CJ17" si="4">CG3</f>
        <v>173146</v>
      </c>
      <c r="CK3" s="268">
        <f t="shared" ref="CK3:CK11" si="5">((CJ3-CI3)/CI3)*100</f>
        <v>4.7934344473630057</v>
      </c>
      <c r="CL3" s="73"/>
      <c r="CM3" s="247" t="s">
        <v>0</v>
      </c>
      <c r="CN3" s="247"/>
      <c r="CO3" s="248">
        <f>SUM(CO4:CO5)</f>
        <v>143872</v>
      </c>
      <c r="CP3" s="248">
        <f>SUM(CP4:CP5)</f>
        <v>139063</v>
      </c>
      <c r="CQ3" s="249">
        <f>((CP3-CO3)/CO3)*100</f>
        <v>-3.3425544928825621</v>
      </c>
      <c r="CR3" s="248">
        <f>SUM(CR4:CR5)</f>
        <v>193503</v>
      </c>
      <c r="CS3" s="248">
        <f>SUM(CS4:CS5)</f>
        <v>139063</v>
      </c>
      <c r="CT3" s="249">
        <f>((CS3-CR3)/CR3)*100</f>
        <v>-28.133930740091884</v>
      </c>
      <c r="CU3" s="73"/>
      <c r="CV3" s="206" t="s">
        <v>0</v>
      </c>
      <c r="CW3" s="206"/>
      <c r="CX3" s="207">
        <f>SUM(CX4:CX5)</f>
        <v>183384</v>
      </c>
      <c r="CY3" s="207">
        <f>SUM(CY4:CY5)</f>
        <v>193143</v>
      </c>
      <c r="CZ3" s="208">
        <f>((CY3-CX3)/CX3)*100</f>
        <v>5.3216202067792171</v>
      </c>
      <c r="DA3" s="207">
        <f>SUM(DA4:DA5)</f>
        <v>216850</v>
      </c>
      <c r="DB3" s="207">
        <f>SUM(DB4:DB5)</f>
        <v>193143</v>
      </c>
      <c r="DC3" s="208">
        <f>((DB3-DA3)/DA3)*100</f>
        <v>-10.93244178003228</v>
      </c>
      <c r="DD3" s="73"/>
      <c r="DE3" s="156" t="s">
        <v>0</v>
      </c>
      <c r="DF3" s="156"/>
      <c r="DG3" s="157">
        <f>SUM(DG4:DG5)</f>
        <v>151185</v>
      </c>
      <c r="DH3" s="157">
        <f>SUM(DH4:DH5)</f>
        <v>216850</v>
      </c>
      <c r="DI3" s="158">
        <f>((DH3-DG3)/DG3)*100</f>
        <v>43.433541687336707</v>
      </c>
      <c r="DJ3" s="157">
        <f>SUM(DJ4:DJ5)</f>
        <v>178276</v>
      </c>
      <c r="DK3" s="157">
        <f>SUM(DK4:DK5)</f>
        <v>216850</v>
      </c>
      <c r="DL3" s="158">
        <f>((DK3-DJ3)/DJ3)*100</f>
        <v>21.637236644304338</v>
      </c>
      <c r="DM3" s="73"/>
      <c r="DN3" s="100" t="s">
        <v>0</v>
      </c>
      <c r="DO3" s="100"/>
      <c r="DP3" s="101">
        <v>160982</v>
      </c>
      <c r="DQ3" s="101">
        <f>SUM(DQ4:DQ5)</f>
        <v>178353</v>
      </c>
      <c r="DR3" s="102">
        <f>((DQ3-DP3)/DP3)*100</f>
        <v>10.790647401572846</v>
      </c>
      <c r="DS3" s="101">
        <f>SUM(DS4:DS5)</f>
        <v>155102</v>
      </c>
      <c r="DT3" s="101">
        <v>178353</v>
      </c>
      <c r="DU3" s="102">
        <f>((DT3-DS3)/DS3)*100</f>
        <v>14.990780260731649</v>
      </c>
      <c r="DV3" s="73"/>
      <c r="DW3" s="120" t="s">
        <v>0</v>
      </c>
      <c r="DX3" s="120"/>
      <c r="DY3" s="121">
        <v>141402</v>
      </c>
      <c r="DZ3" s="121">
        <f>SUM(DZ4:DZ5)</f>
        <v>155102</v>
      </c>
      <c r="EA3" s="122">
        <f>((DZ3-DY3)/DY3)*100</f>
        <v>9.6886889860115133</v>
      </c>
      <c r="EB3" s="121">
        <v>138630</v>
      </c>
      <c r="EC3" s="121">
        <f>SUM(EC4:EC5)</f>
        <v>155102</v>
      </c>
      <c r="ED3" s="122">
        <f>((EC3-EB3)/EB3)*100</f>
        <v>11.881988025679867</v>
      </c>
      <c r="EE3" s="117"/>
      <c r="EF3" s="100" t="s">
        <v>0</v>
      </c>
      <c r="EG3" s="100"/>
      <c r="EH3" s="101">
        <f>EH4+EH5</f>
        <v>136066</v>
      </c>
      <c r="EI3" s="101">
        <f>EI4+EI5</f>
        <v>138630</v>
      </c>
      <c r="EJ3" s="102">
        <f>((EI3-EH3)/EH3)*100</f>
        <v>1.8843796392926961</v>
      </c>
      <c r="EK3" s="101">
        <f>SUM(EK4:EK5)</f>
        <v>138832</v>
      </c>
      <c r="EL3" s="101">
        <v>138630</v>
      </c>
      <c r="EM3" s="102">
        <f>((EL3-EK3)/EK3)*100</f>
        <v>-0.14549959663478162</v>
      </c>
      <c r="EN3" s="73"/>
      <c r="EO3" s="74" t="s">
        <v>0</v>
      </c>
      <c r="EP3" s="74"/>
      <c r="EQ3" s="75">
        <f>EQ4+EQ5</f>
        <v>133039</v>
      </c>
      <c r="ER3" s="75">
        <f>SUM(ER4:ER5)</f>
        <v>138832</v>
      </c>
      <c r="ES3" s="76">
        <f t="shared" ref="ES3:ES17" si="6">(ER3-EQ3)/EQ3*100</f>
        <v>4.3543622546772003</v>
      </c>
      <c r="ET3" s="75">
        <f>SUM(ET4:ET5)</f>
        <v>160630</v>
      </c>
      <c r="EU3" s="75">
        <f>SUM(EU4:EU5)</f>
        <v>138832</v>
      </c>
      <c r="EV3" s="76">
        <f t="shared" ref="EV3:EV17" si="7">(EU3-ET3)/ET3*100</f>
        <v>-13.57031687729565</v>
      </c>
      <c r="EY3" s="1" t="s">
        <v>43</v>
      </c>
      <c r="FA3" s="59"/>
      <c r="FD3" s="59"/>
      <c r="FG3" t="s">
        <v>7</v>
      </c>
      <c r="FO3" t="s">
        <v>5</v>
      </c>
    </row>
    <row r="4" spans="1:176" x14ac:dyDescent="0.5">
      <c r="A4" s="250"/>
      <c r="B4" s="250" t="s">
        <v>57</v>
      </c>
      <c r="C4" s="266">
        <v>123007</v>
      </c>
      <c r="D4" s="266">
        <v>139797</v>
      </c>
      <c r="E4" s="268">
        <f t="shared" si="0"/>
        <v>13.649629695870965</v>
      </c>
      <c r="F4" s="266">
        <v>137048</v>
      </c>
      <c r="G4" s="266">
        <v>139797</v>
      </c>
      <c r="H4" s="249">
        <f t="shared" si="1"/>
        <v>2.0058665577024111</v>
      </c>
      <c r="I4" s="250"/>
      <c r="J4" s="250" t="s">
        <v>57</v>
      </c>
      <c r="K4" s="266">
        <v>130636</v>
      </c>
      <c r="L4" s="266">
        <v>137048</v>
      </c>
      <c r="M4" s="268">
        <f t="shared" si="2"/>
        <v>4.9082948038825434</v>
      </c>
      <c r="N4" s="309">
        <v>154072</v>
      </c>
      <c r="O4" s="266">
        <v>137048</v>
      </c>
      <c r="P4" s="249">
        <f t="shared" si="3"/>
        <v>-11.049379510878031</v>
      </c>
      <c r="Q4" s="307"/>
      <c r="R4" s="307" t="s">
        <v>444</v>
      </c>
      <c r="S4" s="266">
        <v>142067</v>
      </c>
      <c r="T4" s="309">
        <v>154072</v>
      </c>
      <c r="U4" s="308">
        <f>((T4-S4)/S4)*100</f>
        <v>8.4502382678595307</v>
      </c>
      <c r="V4" s="309">
        <v>138960</v>
      </c>
      <c r="W4" s="309">
        <v>154072</v>
      </c>
      <c r="X4" s="308">
        <f t="shared" ref="X4:X7" si="8">((W4-V4)/V4)*100</f>
        <v>10.875071963154864</v>
      </c>
      <c r="Y4" s="307"/>
      <c r="Z4" s="307" t="s">
        <v>444</v>
      </c>
      <c r="AA4" s="266">
        <v>131804</v>
      </c>
      <c r="AB4" s="309">
        <v>138960</v>
      </c>
      <c r="AC4" s="308">
        <f>((AB4-AA4)/AA4)*100</f>
        <v>5.4292737701435465</v>
      </c>
      <c r="AD4" s="309">
        <v>130706</v>
      </c>
      <c r="AE4" s="309">
        <v>138960</v>
      </c>
      <c r="AF4" s="308">
        <f t="shared" ref="AF4:AF7" si="9">((AE4-AD4)/AD4)*100</f>
        <v>6.3149358101387847</v>
      </c>
      <c r="AG4" s="307"/>
      <c r="AH4" s="307" t="s">
        <v>444</v>
      </c>
      <c r="AI4" s="266">
        <v>121636</v>
      </c>
      <c r="AJ4" s="309">
        <v>130706</v>
      </c>
      <c r="AK4" s="308">
        <f>((AJ4-AI4)/AI4)*100</f>
        <v>7.4566740109835914</v>
      </c>
      <c r="AL4" s="309">
        <v>129227</v>
      </c>
      <c r="AM4" s="309">
        <v>130706</v>
      </c>
      <c r="AN4" s="308">
        <f t="shared" ref="AN4:AN13" si="10">((AM4-AL4)/AL4)*100</f>
        <v>1.144497666896237</v>
      </c>
      <c r="AO4" s="307"/>
      <c r="AP4" s="307" t="s">
        <v>444</v>
      </c>
      <c r="AQ4" s="266">
        <v>126010</v>
      </c>
      <c r="AR4" s="309">
        <v>129227</v>
      </c>
      <c r="AS4" s="308">
        <f>((AR4-AQ4)/AQ4)*100</f>
        <v>2.5529719863502898</v>
      </c>
      <c r="AT4" s="309">
        <v>131251</v>
      </c>
      <c r="AU4" s="309">
        <v>129227</v>
      </c>
      <c r="AV4" s="308">
        <f t="shared" ref="AV4:AV13" si="11">((AU4-AT4)/AT4)*100</f>
        <v>-1.5420834888877037</v>
      </c>
      <c r="AW4" s="307"/>
      <c r="AX4" s="307" t="s">
        <v>444</v>
      </c>
      <c r="AY4" s="266">
        <v>115075</v>
      </c>
      <c r="AZ4" s="309">
        <v>131251</v>
      </c>
      <c r="BA4" s="308">
        <f>((AZ4-AY4)/AY4)*100</f>
        <v>14.056919400391049</v>
      </c>
      <c r="BB4" s="309">
        <v>139105</v>
      </c>
      <c r="BC4" s="309">
        <v>131251</v>
      </c>
      <c r="BD4" s="308">
        <f t="shared" ref="BD4:BD13" si="12">((BC4-BB4)/BB4)*100</f>
        <v>-5.6460946766830808</v>
      </c>
      <c r="BE4" s="307"/>
      <c r="BF4" s="307" t="s">
        <v>444</v>
      </c>
      <c r="BG4" s="309">
        <v>113842</v>
      </c>
      <c r="BH4" s="309">
        <v>139105</v>
      </c>
      <c r="BI4" s="308">
        <f t="shared" ref="BI4:BI17" si="13">((BH4-BG4)/BG4)*100</f>
        <v>22.191282654907678</v>
      </c>
      <c r="BJ4" s="309">
        <v>126861</v>
      </c>
      <c r="BK4" s="309">
        <v>139105</v>
      </c>
      <c r="BL4" s="308">
        <f t="shared" ref="BL4:BL17" si="14">((BK4-BJ4)/BJ4)*100</f>
        <v>9.6515083437778362</v>
      </c>
      <c r="BM4" s="307"/>
      <c r="BN4" s="307" t="s">
        <v>444</v>
      </c>
      <c r="BO4" s="309">
        <v>97926</v>
      </c>
      <c r="BP4" s="309">
        <v>126621</v>
      </c>
      <c r="BQ4" s="308">
        <f t="shared" ref="BQ4:BQ17" si="15">((BP4-BO4)/BO4)*100</f>
        <v>29.30273880276944</v>
      </c>
      <c r="BR4" s="309">
        <v>119880</v>
      </c>
      <c r="BS4" s="309">
        <v>126621</v>
      </c>
      <c r="BT4" s="308">
        <f t="shared" ref="BT4:BT17" si="16">((BS4-BR4)/BR4)*100</f>
        <v>5.6231231231231229</v>
      </c>
      <c r="BU4" s="59"/>
      <c r="BV4" s="307" t="s">
        <v>57</v>
      </c>
      <c r="BW4" s="309">
        <v>109508</v>
      </c>
      <c r="BX4" s="309" t="e">
        <f>#REF!</f>
        <v>#REF!</v>
      </c>
      <c r="BY4" s="308" t="e">
        <f t="shared" ref="BY4:BY17" si="17">((BX4-BW4)/BW4)*100</f>
        <v>#REF!</v>
      </c>
      <c r="BZ4" s="309">
        <v>134801</v>
      </c>
      <c r="CA4" s="309">
        <v>119880</v>
      </c>
      <c r="CB4" s="308">
        <f t="shared" ref="CB4:CB17" si="18">((CA4-BZ4)/BZ4)*100</f>
        <v>-11.068908984354715</v>
      </c>
      <c r="CC4" s="59"/>
      <c r="CD4" s="250"/>
      <c r="CE4" s="250" t="s">
        <v>57</v>
      </c>
      <c r="CF4" s="286">
        <f>'ธ.ค.  '!CL4</f>
        <v>118902</v>
      </c>
      <c r="CG4" s="287">
        <v>134801</v>
      </c>
      <c r="CH4" s="268">
        <f t="shared" ref="CH4:CH17" si="19">((CG4-CF4)/CF4)*100</f>
        <v>13.371516038418193</v>
      </c>
      <c r="CI4" s="286">
        <v>134585</v>
      </c>
      <c r="CJ4" s="286">
        <f t="shared" si="4"/>
        <v>134801</v>
      </c>
      <c r="CK4" s="268">
        <f t="shared" si="5"/>
        <v>0.16049336850317644</v>
      </c>
      <c r="CL4" s="73"/>
      <c r="CM4" s="250"/>
      <c r="CN4" s="250" t="s">
        <v>57</v>
      </c>
      <c r="CO4" s="251">
        <v>124495</v>
      </c>
      <c r="CP4" s="251">
        <v>106586</v>
      </c>
      <c r="CQ4" s="249">
        <f t="shared" ref="CQ4:CQ17" si="20">((CP4-CO4)/CO4)*100</f>
        <v>-14.385316679384713</v>
      </c>
      <c r="CR4" s="251">
        <v>167334</v>
      </c>
      <c r="CS4" s="251">
        <v>106586</v>
      </c>
      <c r="CT4" s="249">
        <f t="shared" ref="CT4:CT17" si="21">((CS4-CR4)/CR4)*100</f>
        <v>-36.303441022147318</v>
      </c>
      <c r="CU4" s="73"/>
      <c r="CV4" s="209"/>
      <c r="CW4" s="209" t="s">
        <v>57</v>
      </c>
      <c r="CX4" s="210">
        <v>164370</v>
      </c>
      <c r="CY4" s="210">
        <v>166974</v>
      </c>
      <c r="CZ4" s="208">
        <f t="shared" ref="CZ4:CZ17" si="22">((CY4-CX4)/CX4)*100</f>
        <v>1.5842306990326702</v>
      </c>
      <c r="DA4" s="210">
        <v>196767</v>
      </c>
      <c r="DB4" s="210">
        <v>166974</v>
      </c>
      <c r="DC4" s="208">
        <f t="shared" ref="DC4:DC17" si="23">((DB4-DA4)/DA4)*100</f>
        <v>-15.141258442726677</v>
      </c>
      <c r="DD4" s="73"/>
      <c r="DE4" s="159"/>
      <c r="DF4" s="159" t="s">
        <v>57</v>
      </c>
      <c r="DG4" s="160">
        <v>138488</v>
      </c>
      <c r="DH4" s="160">
        <v>196767</v>
      </c>
      <c r="DI4" s="158">
        <f t="shared" ref="DI4:DI17" si="24">((DH4-DG4)/DG4)*100</f>
        <v>42.082346484893996</v>
      </c>
      <c r="DJ4" s="160">
        <v>164988</v>
      </c>
      <c r="DK4" s="160">
        <v>196767</v>
      </c>
      <c r="DL4" s="158">
        <f t="shared" ref="DL4:DL17" si="25">((DK4-DJ4)/DJ4)*100</f>
        <v>19.261400829151214</v>
      </c>
      <c r="DM4" s="73"/>
      <c r="DN4" s="103"/>
      <c r="DO4" s="103" t="s">
        <v>57</v>
      </c>
      <c r="DP4" s="104">
        <v>148407</v>
      </c>
      <c r="DQ4" s="104">
        <f>164988+68</f>
        <v>165056</v>
      </c>
      <c r="DR4" s="102">
        <f t="shared" ref="DR4:DR17" si="26">((DQ4-DP4)/DP4)*100</f>
        <v>11.218473522138444</v>
      </c>
      <c r="DS4" s="104">
        <v>143435</v>
      </c>
      <c r="DT4" s="104">
        <v>165056</v>
      </c>
      <c r="DU4" s="102">
        <f t="shared" ref="DU4:DU17" si="27">((DT4-DS4)/DS4)*100</f>
        <v>15.073726775194338</v>
      </c>
      <c r="DV4" s="73"/>
      <c r="DW4" s="24"/>
      <c r="DX4" s="24" t="s">
        <v>57</v>
      </c>
      <c r="DY4" s="123">
        <v>130952</v>
      </c>
      <c r="DZ4" s="123">
        <v>143435</v>
      </c>
      <c r="EA4" s="122">
        <f t="shared" ref="EA4:EA17" si="28">((DZ4-DY4)/DY4)*100</f>
        <v>9.5325004581831507</v>
      </c>
      <c r="EB4" s="123">
        <v>124353</v>
      </c>
      <c r="EC4" s="123">
        <v>143435</v>
      </c>
      <c r="ED4" s="122">
        <f t="shared" ref="ED4:ED17" si="29">((EC4-EB4)/EB4)*100</f>
        <v>15.345025853819369</v>
      </c>
      <c r="EE4" s="117"/>
      <c r="EF4" s="103"/>
      <c r="EG4" s="103" t="s">
        <v>57</v>
      </c>
      <c r="EH4" s="104">
        <v>120295</v>
      </c>
      <c r="EI4" s="104">
        <v>124353</v>
      </c>
      <c r="EJ4" s="102">
        <f t="shared" ref="EJ4:EJ17" si="30">((EI4-EH4)/EH4)*100</f>
        <v>3.3733737894343072</v>
      </c>
      <c r="EK4" s="104">
        <v>125677</v>
      </c>
      <c r="EL4" s="104">
        <v>124353</v>
      </c>
      <c r="EM4" s="102">
        <f t="shared" ref="EM4:EM17" si="31">((EL4-EK4)/EK4)*100</f>
        <v>-1.0534942750065646</v>
      </c>
      <c r="EN4" s="61"/>
      <c r="EO4" s="77"/>
      <c r="EP4" s="77" t="s">
        <v>57</v>
      </c>
      <c r="EQ4" s="78">
        <v>123958</v>
      </c>
      <c r="ER4" s="78">
        <v>125677</v>
      </c>
      <c r="ES4" s="79">
        <f t="shared" si="6"/>
        <v>1.3867600316236144</v>
      </c>
      <c r="ET4" s="80">
        <v>155346</v>
      </c>
      <c r="EU4" s="78">
        <v>125677</v>
      </c>
      <c r="EV4" s="79">
        <f t="shared" si="7"/>
        <v>-19.098657191044506</v>
      </c>
      <c r="EX4" s="54"/>
      <c r="EY4" s="55">
        <v>18233</v>
      </c>
      <c r="EZ4" s="55">
        <v>18264</v>
      </c>
      <c r="FA4" s="60" t="s">
        <v>3</v>
      </c>
      <c r="FB4" s="55">
        <v>17899</v>
      </c>
      <c r="FC4" s="55">
        <v>18264</v>
      </c>
      <c r="FD4" s="60" t="s">
        <v>3</v>
      </c>
      <c r="FE4" s="52"/>
      <c r="FF4" s="10"/>
      <c r="FG4" s="11">
        <v>17868</v>
      </c>
      <c r="FH4" s="11">
        <v>17899</v>
      </c>
      <c r="FI4" s="10" t="s">
        <v>3</v>
      </c>
      <c r="FJ4" s="11">
        <v>17533</v>
      </c>
      <c r="FK4" s="11">
        <v>17899</v>
      </c>
      <c r="FL4" s="10" t="s">
        <v>3</v>
      </c>
      <c r="FN4" s="2"/>
      <c r="FO4" s="3">
        <v>17838</v>
      </c>
      <c r="FP4" s="3">
        <v>17868</v>
      </c>
      <c r="FQ4" s="2" t="s">
        <v>3</v>
      </c>
      <c r="FR4" s="3">
        <v>17502</v>
      </c>
      <c r="FS4" s="3">
        <v>17868</v>
      </c>
      <c r="FT4" s="2" t="s">
        <v>3</v>
      </c>
    </row>
    <row r="5" spans="1:176" x14ac:dyDescent="0.5">
      <c r="A5" s="250"/>
      <c r="B5" s="250" t="s">
        <v>58</v>
      </c>
      <c r="C5" s="266">
        <v>25130</v>
      </c>
      <c r="D5" s="266">
        <v>30431</v>
      </c>
      <c r="E5" s="268">
        <f t="shared" si="0"/>
        <v>21.094309590131317</v>
      </c>
      <c r="F5" s="266">
        <v>33340</v>
      </c>
      <c r="G5" s="266">
        <v>30431</v>
      </c>
      <c r="H5" s="249">
        <f t="shared" si="1"/>
        <v>-8.725254949010198</v>
      </c>
      <c r="I5" s="250"/>
      <c r="J5" s="250" t="s">
        <v>58</v>
      </c>
      <c r="K5" s="266">
        <v>33792</v>
      </c>
      <c r="L5" s="266">
        <v>33340</v>
      </c>
      <c r="M5" s="268">
        <f t="shared" si="2"/>
        <v>-1.337594696969697</v>
      </c>
      <c r="N5" s="309">
        <v>39738</v>
      </c>
      <c r="O5" s="266">
        <v>33340</v>
      </c>
      <c r="P5" s="249">
        <f t="shared" si="3"/>
        <v>-16.100457999899341</v>
      </c>
      <c r="Q5" s="307"/>
      <c r="R5" s="307" t="s">
        <v>58</v>
      </c>
      <c r="S5" s="266">
        <v>38407</v>
      </c>
      <c r="T5" s="309">
        <v>39738</v>
      </c>
      <c r="U5" s="308">
        <f>((T5-S5)/S5)*100</f>
        <v>3.4655140989923714</v>
      </c>
      <c r="V5" s="309">
        <v>30211</v>
      </c>
      <c r="W5" s="309">
        <v>39738</v>
      </c>
      <c r="X5" s="308">
        <f t="shared" si="8"/>
        <v>31.534871404455334</v>
      </c>
      <c r="Y5" s="307"/>
      <c r="Z5" s="307" t="s">
        <v>58</v>
      </c>
      <c r="AA5" s="266">
        <v>36019</v>
      </c>
      <c r="AB5" s="309">
        <v>30211</v>
      </c>
      <c r="AC5" s="308">
        <f>((AB5-AA5)/AA5)*100</f>
        <v>-16.124823010078014</v>
      </c>
      <c r="AD5" s="309">
        <v>35168</v>
      </c>
      <c r="AE5" s="309">
        <v>30211</v>
      </c>
      <c r="AF5" s="308">
        <f t="shared" si="9"/>
        <v>-14.095200181983621</v>
      </c>
      <c r="AG5" s="307"/>
      <c r="AH5" s="307" t="s">
        <v>58</v>
      </c>
      <c r="AI5" s="266">
        <v>37463</v>
      </c>
      <c r="AJ5" s="309">
        <v>35168</v>
      </c>
      <c r="AK5" s="308">
        <f>((AJ5-AI5)/AI5)*100</f>
        <v>-6.1260443637722553</v>
      </c>
      <c r="AL5" s="309">
        <v>33936</v>
      </c>
      <c r="AM5" s="309">
        <v>35168</v>
      </c>
      <c r="AN5" s="308">
        <f t="shared" si="10"/>
        <v>3.6303630363036308</v>
      </c>
      <c r="AO5" s="307"/>
      <c r="AP5" s="307" t="s">
        <v>58</v>
      </c>
      <c r="AQ5" s="266">
        <v>32829</v>
      </c>
      <c r="AR5" s="309">
        <v>33936</v>
      </c>
      <c r="AS5" s="308">
        <f>((AR5-AQ5)/AQ5)*100</f>
        <v>3.3720186420542815</v>
      </c>
      <c r="AT5" s="309">
        <v>35448</v>
      </c>
      <c r="AU5" s="309">
        <v>33936</v>
      </c>
      <c r="AV5" s="308">
        <f t="shared" si="11"/>
        <v>-4.2654028436018958</v>
      </c>
      <c r="AW5" s="307"/>
      <c r="AX5" s="307" t="s">
        <v>58</v>
      </c>
      <c r="AY5" s="266">
        <v>33716</v>
      </c>
      <c r="AZ5" s="309">
        <v>35448</v>
      </c>
      <c r="BA5" s="308">
        <f>((AZ5-AY5)/AY5)*100</f>
        <v>5.1370269308340255</v>
      </c>
      <c r="BB5" s="309">
        <v>43116</v>
      </c>
      <c r="BC5" s="309">
        <v>35448</v>
      </c>
      <c r="BD5" s="308">
        <f t="shared" si="12"/>
        <v>-17.784581129974953</v>
      </c>
      <c r="BE5" s="307"/>
      <c r="BF5" s="307" t="s">
        <v>58</v>
      </c>
      <c r="BG5" s="309">
        <v>38473</v>
      </c>
      <c r="BH5" s="309">
        <v>43116</v>
      </c>
      <c r="BI5" s="308">
        <f t="shared" si="13"/>
        <v>12.068203675304758</v>
      </c>
      <c r="BJ5" s="309">
        <v>43773</v>
      </c>
      <c r="BK5" s="309">
        <v>43116</v>
      </c>
      <c r="BL5" s="308">
        <f t="shared" si="14"/>
        <v>-1.5009252278802001</v>
      </c>
      <c r="BM5" s="307"/>
      <c r="BN5" s="307" t="s">
        <v>58</v>
      </c>
      <c r="BO5" s="309">
        <v>42221</v>
      </c>
      <c r="BP5" s="309">
        <v>43773</v>
      </c>
      <c r="BQ5" s="308">
        <f t="shared" si="15"/>
        <v>3.6758958811965607</v>
      </c>
      <c r="BR5" s="309">
        <v>39554</v>
      </c>
      <c r="BS5" s="309">
        <v>43773</v>
      </c>
      <c r="BT5" s="308">
        <f t="shared" si="16"/>
        <v>10.666430702330992</v>
      </c>
      <c r="BU5" s="59"/>
      <c r="BV5" s="307" t="s">
        <v>58</v>
      </c>
      <c r="BW5" s="309">
        <v>35228</v>
      </c>
      <c r="BX5" s="309" t="e">
        <f>#REF!</f>
        <v>#REF!</v>
      </c>
      <c r="BY5" s="308" t="e">
        <f t="shared" si="17"/>
        <v>#REF!</v>
      </c>
      <c r="BZ5" s="309">
        <v>38345</v>
      </c>
      <c r="CA5" s="309">
        <v>39554</v>
      </c>
      <c r="CB5" s="308">
        <f t="shared" si="18"/>
        <v>3.1529534489503193</v>
      </c>
      <c r="CC5" s="59"/>
      <c r="CD5" s="250"/>
      <c r="CE5" s="250" t="s">
        <v>58</v>
      </c>
      <c r="CF5" s="286">
        <f>'ธ.ค.  '!CL5</f>
        <v>34285</v>
      </c>
      <c r="CG5" s="288">
        <v>38345</v>
      </c>
      <c r="CH5" s="268">
        <f t="shared" si="19"/>
        <v>11.841913373195274</v>
      </c>
      <c r="CI5" s="286">
        <v>30641</v>
      </c>
      <c r="CJ5" s="286">
        <f t="shared" si="4"/>
        <v>38345</v>
      </c>
      <c r="CK5" s="268">
        <f t="shared" si="5"/>
        <v>25.142782546261543</v>
      </c>
      <c r="CL5" s="73"/>
      <c r="CM5" s="250"/>
      <c r="CN5" s="250" t="s">
        <v>58</v>
      </c>
      <c r="CO5" s="251">
        <v>19377</v>
      </c>
      <c r="CP5" s="251">
        <v>32477</v>
      </c>
      <c r="CQ5" s="249">
        <f t="shared" si="20"/>
        <v>67.605924549723895</v>
      </c>
      <c r="CR5" s="251">
        <v>26169</v>
      </c>
      <c r="CS5" s="251">
        <v>32477</v>
      </c>
      <c r="CT5" s="249">
        <f t="shared" si="21"/>
        <v>24.104856891742138</v>
      </c>
      <c r="CU5" s="73"/>
      <c r="CV5" s="209"/>
      <c r="CW5" s="209" t="s">
        <v>58</v>
      </c>
      <c r="CX5" s="210">
        <v>19014</v>
      </c>
      <c r="CY5" s="210">
        <v>26169</v>
      </c>
      <c r="CZ5" s="208">
        <f t="shared" si="22"/>
        <v>37.630167245187756</v>
      </c>
      <c r="DA5" s="210">
        <v>20083</v>
      </c>
      <c r="DB5" s="210">
        <v>26169</v>
      </c>
      <c r="DC5" s="208">
        <f t="shared" si="23"/>
        <v>30.304237414728874</v>
      </c>
      <c r="DD5" s="73"/>
      <c r="DE5" s="159"/>
      <c r="DF5" s="159" t="s">
        <v>58</v>
      </c>
      <c r="DG5" s="160">
        <v>12697</v>
      </c>
      <c r="DH5" s="160">
        <v>20083</v>
      </c>
      <c r="DI5" s="158">
        <f t="shared" si="24"/>
        <v>58.171221548397256</v>
      </c>
      <c r="DJ5" s="160">
        <v>13288</v>
      </c>
      <c r="DK5" s="160">
        <v>20083</v>
      </c>
      <c r="DL5" s="158">
        <f t="shared" si="25"/>
        <v>51.136363636363633</v>
      </c>
      <c r="DM5" s="73"/>
      <c r="DN5" s="103"/>
      <c r="DO5" s="103" t="s">
        <v>58</v>
      </c>
      <c r="DP5" s="104">
        <v>12575</v>
      </c>
      <c r="DQ5" s="104">
        <f>13288+9</f>
        <v>13297</v>
      </c>
      <c r="DR5" s="102">
        <f t="shared" si="26"/>
        <v>5.7415506958250502</v>
      </c>
      <c r="DS5" s="104">
        <v>11667</v>
      </c>
      <c r="DT5" s="104">
        <v>13297</v>
      </c>
      <c r="DU5" s="102">
        <f t="shared" si="27"/>
        <v>13.971029399160024</v>
      </c>
      <c r="DV5" s="73"/>
      <c r="DW5" s="24"/>
      <c r="DX5" s="24" t="s">
        <v>58</v>
      </c>
      <c r="DY5" s="123">
        <v>10450</v>
      </c>
      <c r="DZ5" s="123">
        <v>11667</v>
      </c>
      <c r="EA5" s="122">
        <f t="shared" si="28"/>
        <v>11.645933014354066</v>
      </c>
      <c r="EB5" s="123">
        <v>14277</v>
      </c>
      <c r="EC5" s="123">
        <v>11667</v>
      </c>
      <c r="ED5" s="122">
        <f t="shared" si="29"/>
        <v>-18.281151502416474</v>
      </c>
      <c r="EE5" s="117"/>
      <c r="EF5" s="103"/>
      <c r="EG5" s="103" t="s">
        <v>58</v>
      </c>
      <c r="EH5" s="104">
        <v>15771</v>
      </c>
      <c r="EI5" s="104">
        <v>14277</v>
      </c>
      <c r="EJ5" s="102">
        <f t="shared" si="30"/>
        <v>-9.473083507704013</v>
      </c>
      <c r="EK5" s="104">
        <v>13155</v>
      </c>
      <c r="EL5" s="104">
        <v>14277</v>
      </c>
      <c r="EM5" s="102">
        <f t="shared" si="31"/>
        <v>8.529076396807298</v>
      </c>
      <c r="EN5" s="61"/>
      <c r="EO5" s="77"/>
      <c r="EP5" s="77" t="s">
        <v>58</v>
      </c>
      <c r="EQ5" s="78">
        <v>9081</v>
      </c>
      <c r="ER5" s="78">
        <v>13155</v>
      </c>
      <c r="ES5" s="79">
        <f t="shared" si="6"/>
        <v>44.862900561612157</v>
      </c>
      <c r="ET5" s="81">
        <v>5284</v>
      </c>
      <c r="EU5" s="78">
        <v>13155</v>
      </c>
      <c r="EV5" s="79">
        <f t="shared" si="7"/>
        <v>148.95912187736565</v>
      </c>
      <c r="EX5" s="42" t="s">
        <v>0</v>
      </c>
      <c r="EY5" s="43">
        <v>152582</v>
      </c>
      <c r="EZ5" s="56">
        <v>160630</v>
      </c>
      <c r="FA5" s="44">
        <f>(EZ5-EY5)/EY5*100</f>
        <v>5.2745409025966365</v>
      </c>
      <c r="FB5" s="45">
        <v>197454</v>
      </c>
      <c r="FC5" s="56">
        <v>160630</v>
      </c>
      <c r="FD5" s="44">
        <f>(FC5-FB5)/FB5*100</f>
        <v>-18.649406950479605</v>
      </c>
      <c r="FE5" s="53"/>
      <c r="FF5" s="12" t="s">
        <v>0</v>
      </c>
      <c r="FG5" s="13">
        <v>192093</v>
      </c>
      <c r="FH5" s="14">
        <v>197454</v>
      </c>
      <c r="FI5" s="15">
        <f>(FH5-FG5)/FG5*100</f>
        <v>2.7908356889631585</v>
      </c>
      <c r="FJ5" s="17">
        <v>209349</v>
      </c>
      <c r="FK5" s="14">
        <v>197454</v>
      </c>
      <c r="FL5" s="15">
        <f>(FK5-FJ5)/FJ5*100</f>
        <v>-5.6818996030551858</v>
      </c>
      <c r="FN5" s="4" t="s">
        <v>0</v>
      </c>
      <c r="FO5" s="5">
        <v>225594</v>
      </c>
      <c r="FP5" s="6">
        <v>192093</v>
      </c>
      <c r="FQ5" s="7">
        <f>(FP5-FO5)/FO5*100</f>
        <v>-14.85012899279236</v>
      </c>
      <c r="FR5" s="8">
        <v>254396</v>
      </c>
      <c r="FS5" s="6">
        <v>192093</v>
      </c>
      <c r="FT5" s="7">
        <f>(FS5-FR5)/FR5*100</f>
        <v>-24.490558027641942</v>
      </c>
    </row>
    <row r="6" spans="1:176" x14ac:dyDescent="0.5">
      <c r="A6" s="250"/>
      <c r="B6" s="250" t="s">
        <v>795</v>
      </c>
      <c r="C6" s="367">
        <v>100</v>
      </c>
      <c r="D6" s="266">
        <v>100</v>
      </c>
      <c r="E6" s="268">
        <f t="shared" si="0"/>
        <v>0</v>
      </c>
      <c r="F6" s="266">
        <v>0</v>
      </c>
      <c r="G6" s="266">
        <v>100</v>
      </c>
      <c r="H6" s="249" t="e">
        <f>((G6-F6)/F6)*100</f>
        <v>#DIV/0!</v>
      </c>
      <c r="I6" s="250"/>
      <c r="J6" s="250" t="s">
        <v>795</v>
      </c>
      <c r="K6" s="266">
        <v>100</v>
      </c>
      <c r="L6" s="266">
        <v>0</v>
      </c>
      <c r="M6" s="268">
        <f t="shared" si="2"/>
        <v>-100</v>
      </c>
      <c r="N6" s="309">
        <v>100</v>
      </c>
      <c r="O6" s="266">
        <v>0</v>
      </c>
      <c r="P6" s="249">
        <f t="shared" si="3"/>
        <v>-100</v>
      </c>
      <c r="Q6" s="307"/>
      <c r="R6" s="307" t="s">
        <v>763</v>
      </c>
      <c r="S6" s="266">
        <v>0</v>
      </c>
      <c r="T6" s="309">
        <v>100</v>
      </c>
      <c r="U6" s="308">
        <v>0</v>
      </c>
      <c r="V6" s="309">
        <v>0</v>
      </c>
      <c r="W6" s="309">
        <v>100</v>
      </c>
      <c r="X6" s="308">
        <v>0</v>
      </c>
      <c r="Y6" s="307"/>
      <c r="Z6" s="307"/>
      <c r="AA6" s="266"/>
      <c r="AB6" s="309"/>
      <c r="AC6" s="308"/>
      <c r="AD6" s="309"/>
      <c r="AE6" s="309"/>
      <c r="AF6" s="308"/>
      <c r="AG6" s="307"/>
      <c r="AH6" s="307"/>
      <c r="AI6" s="266"/>
      <c r="AJ6" s="309"/>
      <c r="AK6" s="308"/>
      <c r="AL6" s="309"/>
      <c r="AM6" s="309"/>
      <c r="AN6" s="308"/>
      <c r="AO6" s="307"/>
      <c r="AP6" s="307"/>
      <c r="AQ6" s="266"/>
      <c r="AR6" s="309"/>
      <c r="AS6" s="308"/>
      <c r="AT6" s="309"/>
      <c r="AU6" s="309"/>
      <c r="AV6" s="308"/>
      <c r="AW6" s="307"/>
      <c r="AX6" s="307"/>
      <c r="AY6" s="266"/>
      <c r="AZ6" s="309"/>
      <c r="BA6" s="308"/>
      <c r="BB6" s="309"/>
      <c r="BC6" s="309"/>
      <c r="BD6" s="308"/>
      <c r="BE6" s="307"/>
      <c r="BF6" s="307"/>
      <c r="BG6" s="309"/>
      <c r="BH6" s="309"/>
      <c r="BI6" s="308"/>
      <c r="BJ6" s="309"/>
      <c r="BK6" s="309"/>
      <c r="BL6" s="308"/>
      <c r="BM6" s="307"/>
      <c r="BN6" s="307"/>
      <c r="BO6" s="309"/>
      <c r="BP6" s="309"/>
      <c r="BQ6" s="308"/>
      <c r="BR6" s="309"/>
      <c r="BS6" s="309"/>
      <c r="BT6" s="308"/>
      <c r="BU6" s="59"/>
      <c r="BV6" s="307"/>
      <c r="BW6" s="309"/>
      <c r="BX6" s="309"/>
      <c r="BY6" s="308"/>
      <c r="BZ6" s="309"/>
      <c r="CA6" s="309"/>
      <c r="CB6" s="308"/>
      <c r="CC6" s="59"/>
      <c r="CD6" s="250"/>
      <c r="CE6" s="250"/>
      <c r="CF6" s="286"/>
      <c r="CG6" s="288"/>
      <c r="CH6" s="268"/>
      <c r="CI6" s="286"/>
      <c r="CJ6" s="286"/>
      <c r="CK6" s="268"/>
      <c r="CL6" s="73"/>
      <c r="CM6" s="250"/>
      <c r="CN6" s="250"/>
      <c r="CO6" s="251"/>
      <c r="CP6" s="251"/>
      <c r="CQ6" s="249"/>
      <c r="CR6" s="251"/>
      <c r="CS6" s="251"/>
      <c r="CT6" s="249"/>
      <c r="CU6" s="73"/>
      <c r="CV6" s="209"/>
      <c r="CW6" s="209"/>
      <c r="CX6" s="210"/>
      <c r="CY6" s="210"/>
      <c r="CZ6" s="208"/>
      <c r="DA6" s="210"/>
      <c r="DB6" s="210"/>
      <c r="DC6" s="208"/>
      <c r="DD6" s="73"/>
      <c r="DE6" s="159"/>
      <c r="DF6" s="159"/>
      <c r="DG6" s="160"/>
      <c r="DH6" s="160"/>
      <c r="DI6" s="158"/>
      <c r="DJ6" s="160"/>
      <c r="DK6" s="160"/>
      <c r="DL6" s="158"/>
      <c r="DM6" s="73"/>
      <c r="DN6" s="103"/>
      <c r="DO6" s="103"/>
      <c r="DP6" s="104"/>
      <c r="DQ6" s="104"/>
      <c r="DR6" s="102"/>
      <c r="DS6" s="104"/>
      <c r="DT6" s="104"/>
      <c r="DU6" s="102"/>
      <c r="DV6" s="73"/>
      <c r="DW6" s="24"/>
      <c r="DX6" s="24"/>
      <c r="DY6" s="123"/>
      <c r="DZ6" s="123"/>
      <c r="EA6" s="122"/>
      <c r="EB6" s="123"/>
      <c r="EC6" s="123"/>
      <c r="ED6" s="122"/>
      <c r="EE6" s="117"/>
      <c r="EF6" s="103"/>
      <c r="EG6" s="103"/>
      <c r="EH6" s="104"/>
      <c r="EI6" s="104"/>
      <c r="EJ6" s="102"/>
      <c r="EK6" s="104"/>
      <c r="EL6" s="104"/>
      <c r="EM6" s="102"/>
      <c r="EN6" s="61"/>
      <c r="EO6" s="77"/>
      <c r="EP6" s="77"/>
      <c r="EQ6" s="78"/>
      <c r="ER6" s="78"/>
      <c r="ES6" s="79"/>
      <c r="ET6" s="81"/>
      <c r="EU6" s="78"/>
      <c r="EV6" s="79"/>
      <c r="EX6" s="42"/>
      <c r="EY6" s="43"/>
      <c r="EZ6" s="56"/>
      <c r="FA6" s="44"/>
      <c r="FB6" s="45"/>
      <c r="FC6" s="56"/>
      <c r="FD6" s="44"/>
      <c r="FE6" s="53"/>
      <c r="FF6" s="12"/>
      <c r="FG6" s="13"/>
      <c r="FH6" s="14"/>
      <c r="FI6" s="15"/>
      <c r="FJ6" s="17"/>
      <c r="FK6" s="14"/>
      <c r="FL6" s="15"/>
      <c r="FN6" s="4"/>
      <c r="FO6" s="5"/>
      <c r="FP6" s="6"/>
      <c r="FQ6" s="7"/>
      <c r="FR6" s="8"/>
      <c r="FS6" s="6"/>
      <c r="FT6" s="7"/>
    </row>
    <row r="7" spans="1:176" x14ac:dyDescent="0.5">
      <c r="A7" s="250"/>
      <c r="B7" s="250" t="s">
        <v>808</v>
      </c>
      <c r="C7" s="266">
        <v>5465</v>
      </c>
      <c r="D7" s="266">
        <v>5528</v>
      </c>
      <c r="E7" s="268">
        <f t="shared" si="0"/>
        <v>1.1527904849039341</v>
      </c>
      <c r="F7" s="266">
        <v>7434</v>
      </c>
      <c r="G7" s="266">
        <v>5528</v>
      </c>
      <c r="H7" s="249">
        <f t="shared" si="1"/>
        <v>-25.638956147430726</v>
      </c>
      <c r="I7" s="250"/>
      <c r="J7" s="250" t="s">
        <v>808</v>
      </c>
      <c r="K7" s="266">
        <v>6201</v>
      </c>
      <c r="L7" s="266">
        <v>7434</v>
      </c>
      <c r="M7" s="268">
        <f t="shared" si="2"/>
        <v>19.883889695210449</v>
      </c>
      <c r="N7" s="266">
        <v>0</v>
      </c>
      <c r="O7" s="266">
        <v>7434</v>
      </c>
      <c r="P7" s="249" t="e">
        <f t="shared" si="3"/>
        <v>#DIV/0!</v>
      </c>
      <c r="Q7" s="307" t="s">
        <v>1</v>
      </c>
      <c r="R7" s="307"/>
      <c r="S7" s="267">
        <v>144445</v>
      </c>
      <c r="T7" s="267">
        <v>159257</v>
      </c>
      <c r="U7" s="308">
        <f>((T7-S7)/S7)*100</f>
        <v>10.254422098376544</v>
      </c>
      <c r="V7" s="267">
        <v>145095</v>
      </c>
      <c r="W7" s="267">
        <v>159257</v>
      </c>
      <c r="X7" s="308">
        <f t="shared" si="8"/>
        <v>9.7605017402391532</v>
      </c>
      <c r="Y7" s="307" t="s">
        <v>1</v>
      </c>
      <c r="Z7" s="307"/>
      <c r="AA7" s="267">
        <v>145343</v>
      </c>
      <c r="AB7" s="267">
        <v>145095</v>
      </c>
      <c r="AC7" s="308">
        <f>((AB7-AA7)/AA7)*100</f>
        <v>-0.17063085253503782</v>
      </c>
      <c r="AD7" s="267">
        <v>135641</v>
      </c>
      <c r="AE7" s="267">
        <v>145095</v>
      </c>
      <c r="AF7" s="308">
        <f t="shared" si="9"/>
        <v>6.9698689924137982</v>
      </c>
      <c r="AG7" s="307" t="s">
        <v>1</v>
      </c>
      <c r="AH7" s="307"/>
      <c r="AI7" s="267">
        <v>123844</v>
      </c>
      <c r="AJ7" s="267">
        <v>135641</v>
      </c>
      <c r="AK7" s="308">
        <f>((AJ7-AI7)/AI7)*100</f>
        <v>9.5256936145473343</v>
      </c>
      <c r="AL7" s="267">
        <v>144992</v>
      </c>
      <c r="AM7" s="267">
        <v>135641</v>
      </c>
      <c r="AN7" s="308">
        <f t="shared" si="10"/>
        <v>-6.4493213418671367</v>
      </c>
      <c r="AO7" s="307" t="s">
        <v>1</v>
      </c>
      <c r="AP7" s="307"/>
      <c r="AQ7" s="267">
        <v>113615</v>
      </c>
      <c r="AR7" s="267">
        <v>145279</v>
      </c>
      <c r="AS7" s="308">
        <f>((AR7-AQ7)/AQ7)*100</f>
        <v>27.86955947718171</v>
      </c>
      <c r="AT7" s="267">
        <v>148917</v>
      </c>
      <c r="AU7" s="267">
        <v>145279</v>
      </c>
      <c r="AV7" s="308">
        <f t="shared" si="11"/>
        <v>-2.4429715882001384</v>
      </c>
      <c r="AW7" s="307" t="s">
        <v>1</v>
      </c>
      <c r="AX7" s="307"/>
      <c r="AY7" s="267">
        <v>137300</v>
      </c>
      <c r="AZ7" s="267">
        <v>148917</v>
      </c>
      <c r="BA7" s="308">
        <f>((AZ7-AY7)/AY7)*100</f>
        <v>8.4610342316096148</v>
      </c>
      <c r="BB7" s="267">
        <v>155088</v>
      </c>
      <c r="BC7" s="267">
        <v>148917</v>
      </c>
      <c r="BD7" s="308">
        <f t="shared" si="12"/>
        <v>-3.9790312596719279</v>
      </c>
      <c r="BE7" s="307" t="s">
        <v>1</v>
      </c>
      <c r="BF7" s="307"/>
      <c r="BG7" s="267">
        <v>131523</v>
      </c>
      <c r="BH7" s="267">
        <v>155088</v>
      </c>
      <c r="BI7" s="308">
        <f t="shared" si="13"/>
        <v>17.917018316188045</v>
      </c>
      <c r="BJ7" s="267">
        <v>147224</v>
      </c>
      <c r="BK7" s="267">
        <v>155088</v>
      </c>
      <c r="BL7" s="308">
        <f t="shared" si="14"/>
        <v>5.3415204042819102</v>
      </c>
      <c r="BM7" s="307" t="s">
        <v>1</v>
      </c>
      <c r="BN7" s="307"/>
      <c r="BO7" s="267">
        <v>124667</v>
      </c>
      <c r="BP7" s="267">
        <v>147224</v>
      </c>
      <c r="BQ7" s="308">
        <f t="shared" si="15"/>
        <v>18.093801888230246</v>
      </c>
      <c r="BR7" s="267">
        <v>160585</v>
      </c>
      <c r="BS7" s="267">
        <v>147224</v>
      </c>
      <c r="BT7" s="308">
        <f t="shared" si="16"/>
        <v>-8.3202042531992397</v>
      </c>
      <c r="BU7" s="127" t="s">
        <v>1</v>
      </c>
      <c r="BV7" s="307"/>
      <c r="BW7" s="267">
        <v>122720</v>
      </c>
      <c r="BX7" s="267">
        <v>154643</v>
      </c>
      <c r="BY7" s="308">
        <f t="shared" si="17"/>
        <v>26.012874837027379</v>
      </c>
      <c r="BZ7" s="267">
        <v>142931</v>
      </c>
      <c r="CA7" s="267">
        <v>154643</v>
      </c>
      <c r="CB7" s="308">
        <f t="shared" si="18"/>
        <v>8.1941636174097994</v>
      </c>
      <c r="CC7" s="59"/>
      <c r="CD7" s="247" t="s">
        <v>1</v>
      </c>
      <c r="CE7" s="247"/>
      <c r="CF7" s="285">
        <f>'ธ.ค.  '!CL8</f>
        <v>120001</v>
      </c>
      <c r="CG7" s="285">
        <f>'[1]Motorcycle '!B90</f>
        <v>142929</v>
      </c>
      <c r="CH7" s="268">
        <f t="shared" si="19"/>
        <v>19.106507445771285</v>
      </c>
      <c r="CI7" s="285">
        <f>CI8+CI9+CI11</f>
        <v>125605</v>
      </c>
      <c r="CJ7" s="285">
        <f t="shared" si="4"/>
        <v>142929</v>
      </c>
      <c r="CK7" s="268">
        <f t="shared" si="5"/>
        <v>13.792444568289481</v>
      </c>
      <c r="CL7" s="73"/>
      <c r="CM7" s="247" t="s">
        <v>1</v>
      </c>
      <c r="CN7" s="247"/>
      <c r="CO7" s="248">
        <f>SUM(CO8:CO11)</f>
        <v>126852</v>
      </c>
      <c r="CP7" s="248">
        <f>SUM(CP8:CP11)</f>
        <v>125603</v>
      </c>
      <c r="CQ7" s="249">
        <f t="shared" si="20"/>
        <v>-0.98461198877431966</v>
      </c>
      <c r="CR7" s="248">
        <f>SUM(CR8:CR11)</f>
        <v>180253</v>
      </c>
      <c r="CS7" s="248">
        <f>SUM(CS8:CS11)</f>
        <v>125603</v>
      </c>
      <c r="CT7" s="249">
        <f t="shared" si="21"/>
        <v>-30.318496779526555</v>
      </c>
      <c r="CU7" s="73"/>
      <c r="CV7" s="206" t="s">
        <v>1</v>
      </c>
      <c r="CW7" s="206"/>
      <c r="CX7" s="207">
        <f>SUM(CX8:CX11)</f>
        <v>152894</v>
      </c>
      <c r="CY7" s="207">
        <f>SUM(CY8:CY11)</f>
        <v>180253</v>
      </c>
      <c r="CZ7" s="208">
        <f t="shared" si="22"/>
        <v>17.894096563632321</v>
      </c>
      <c r="DA7" s="207">
        <f>SUM(DA8:DA11)</f>
        <v>150036</v>
      </c>
      <c r="DB7" s="207">
        <f>SUM(DB8:DB11)</f>
        <v>180253</v>
      </c>
      <c r="DC7" s="208">
        <f t="shared" si="23"/>
        <v>20.139833106721053</v>
      </c>
      <c r="DD7" s="73"/>
      <c r="DE7" s="156" t="s">
        <v>1</v>
      </c>
      <c r="DF7" s="156"/>
      <c r="DG7" s="157">
        <f>SUM(DG8:DG11)</f>
        <v>122377</v>
      </c>
      <c r="DH7" s="157">
        <f>SUM(DH8:DH11)</f>
        <v>150033</v>
      </c>
      <c r="DI7" s="158">
        <f t="shared" si="24"/>
        <v>22.599017789290471</v>
      </c>
      <c r="DJ7" s="157">
        <f>SUM(DJ8:DJ11)</f>
        <v>161623</v>
      </c>
      <c r="DK7" s="157">
        <f>SUM(DK8:DK11)</f>
        <v>150033</v>
      </c>
      <c r="DL7" s="158">
        <f t="shared" si="25"/>
        <v>-7.1710090766784429</v>
      </c>
      <c r="DM7" s="73"/>
      <c r="DN7" s="100" t="s">
        <v>1</v>
      </c>
      <c r="DO7" s="100"/>
      <c r="DP7" s="101">
        <v>158006</v>
      </c>
      <c r="DQ7" s="101">
        <f>SUM(DQ8:DQ11)</f>
        <v>161573</v>
      </c>
      <c r="DR7" s="102">
        <f t="shared" si="26"/>
        <v>2.2575092085110691</v>
      </c>
      <c r="DS7" s="101">
        <f>SUM(DS8:DS11)</f>
        <v>153312</v>
      </c>
      <c r="DT7" s="101">
        <v>161573</v>
      </c>
      <c r="DU7" s="102">
        <f t="shared" si="27"/>
        <v>5.3883583802963892</v>
      </c>
      <c r="DV7" s="73"/>
      <c r="DW7" s="120" t="s">
        <v>1</v>
      </c>
      <c r="DX7" s="120"/>
      <c r="DY7" s="121">
        <v>147424</v>
      </c>
      <c r="DZ7" s="121">
        <f>SUM(DZ8:DZ11)</f>
        <v>153312</v>
      </c>
      <c r="EA7" s="122">
        <f t="shared" si="28"/>
        <v>3.9939222921640982</v>
      </c>
      <c r="EB7" s="121">
        <f>SUM(EB8:EB11)</f>
        <v>109940</v>
      </c>
      <c r="EC7" s="121">
        <f>SUM(EC8:EC11)</f>
        <v>153312</v>
      </c>
      <c r="ED7" s="122">
        <f t="shared" si="29"/>
        <v>39.450609423321815</v>
      </c>
      <c r="EE7" s="117"/>
      <c r="EF7" s="100" t="s">
        <v>1</v>
      </c>
      <c r="EG7" s="100"/>
      <c r="EH7" s="101">
        <f>SUM(EH8:EH11)</f>
        <v>116026</v>
      </c>
      <c r="EI7" s="101">
        <f>SUM(EI8:EI11)</f>
        <v>109940</v>
      </c>
      <c r="EJ7" s="102">
        <f t="shared" si="30"/>
        <v>-5.2453760364056325</v>
      </c>
      <c r="EK7" s="101">
        <f>SUM(EK8:EK11)</f>
        <v>143208</v>
      </c>
      <c r="EL7" s="101">
        <v>109940</v>
      </c>
      <c r="EM7" s="102">
        <f t="shared" si="31"/>
        <v>-23.230545779565386</v>
      </c>
      <c r="EN7" s="73"/>
      <c r="EO7" s="74" t="s">
        <v>1</v>
      </c>
      <c r="EP7" s="74"/>
      <c r="EQ7" s="75">
        <f>SUM(EQ8:EQ11)</f>
        <v>103218</v>
      </c>
      <c r="ER7" s="75">
        <f>SUM(ER8:ER11)</f>
        <v>143207</v>
      </c>
      <c r="ES7" s="76">
        <f t="shared" si="6"/>
        <v>38.742273634443606</v>
      </c>
      <c r="ET7" s="75">
        <f>SUM(ET8:ET11)</f>
        <v>150685</v>
      </c>
      <c r="EU7" s="75">
        <f>SUM(EU8:EU11)</f>
        <v>143207</v>
      </c>
      <c r="EV7" s="76">
        <f t="shared" si="7"/>
        <v>-4.9626704715134222</v>
      </c>
      <c r="EX7" s="42" t="s">
        <v>1</v>
      </c>
      <c r="EY7" s="43">
        <v>163197</v>
      </c>
      <c r="EZ7" s="56">
        <v>150672</v>
      </c>
      <c r="FA7" s="44">
        <f>(EZ7-EY7)/EY7*100</f>
        <v>-7.6747734333351723</v>
      </c>
      <c r="FB7" s="45">
        <v>170880</v>
      </c>
      <c r="FC7" s="56">
        <v>150672</v>
      </c>
      <c r="FD7" s="44">
        <f>(FC7-FB7)/FB7*100</f>
        <v>-11.825842696629213</v>
      </c>
      <c r="FE7" s="53"/>
      <c r="FF7" s="12" t="s">
        <v>1</v>
      </c>
      <c r="FG7" s="13">
        <v>179958</v>
      </c>
      <c r="FH7" s="14">
        <v>172235</v>
      </c>
      <c r="FI7" s="15">
        <f>(FH7-FG7)/FG7*100</f>
        <v>-4.2915569188366174</v>
      </c>
      <c r="FJ7" s="17">
        <v>171238</v>
      </c>
      <c r="FK7" s="14">
        <v>172235</v>
      </c>
      <c r="FL7" s="15">
        <f>(FK7-FJ7)/FJ7*100</f>
        <v>0.58223057966105651</v>
      </c>
      <c r="FN7" s="4" t="s">
        <v>1</v>
      </c>
      <c r="FO7" s="5">
        <v>197728</v>
      </c>
      <c r="FP7" s="6">
        <v>179958</v>
      </c>
      <c r="FQ7" s="7">
        <f>(FP7-FO7)/FO7*100</f>
        <v>-8.9870933808059554</v>
      </c>
      <c r="FR7" s="9">
        <v>188496</v>
      </c>
      <c r="FS7" s="6">
        <v>179958</v>
      </c>
      <c r="FT7" s="7">
        <f>(FS7-FR7)/FR7*100</f>
        <v>-4.5295390883626174</v>
      </c>
    </row>
    <row r="8" spans="1:176" x14ac:dyDescent="0.5">
      <c r="A8" s="247" t="s">
        <v>1</v>
      </c>
      <c r="B8" s="247"/>
      <c r="C8" s="267">
        <v>124793</v>
      </c>
      <c r="D8" s="267">
        <v>156350</v>
      </c>
      <c r="E8" s="268">
        <f t="shared" si="0"/>
        <v>25.287476060355949</v>
      </c>
      <c r="F8" s="267">
        <v>154003</v>
      </c>
      <c r="G8" s="267">
        <v>156350</v>
      </c>
      <c r="H8" s="249">
        <f t="shared" si="1"/>
        <v>1.5239962857866405</v>
      </c>
      <c r="I8" s="247" t="s">
        <v>1</v>
      </c>
      <c r="J8" s="247"/>
      <c r="K8" s="267">
        <v>132377</v>
      </c>
      <c r="L8" s="267">
        <v>154003</v>
      </c>
      <c r="M8" s="268">
        <f t="shared" si="2"/>
        <v>16.336674800003021</v>
      </c>
      <c r="N8" s="267">
        <v>159257</v>
      </c>
      <c r="O8" s="267">
        <v>154003</v>
      </c>
      <c r="P8" s="249">
        <f t="shared" si="3"/>
        <v>-3.2990700565752213</v>
      </c>
      <c r="Q8" s="307"/>
      <c r="R8" s="247" t="s">
        <v>521</v>
      </c>
      <c r="S8" s="266">
        <v>0</v>
      </c>
      <c r="T8" s="309">
        <v>0</v>
      </c>
      <c r="U8" s="308">
        <v>0</v>
      </c>
      <c r="V8" s="309">
        <v>0</v>
      </c>
      <c r="W8" s="309">
        <v>0</v>
      </c>
      <c r="X8" s="353" t="s">
        <v>530</v>
      </c>
      <c r="Y8" s="307"/>
      <c r="Z8" s="247" t="s">
        <v>521</v>
      </c>
      <c r="AA8" s="266" t="s">
        <v>530</v>
      </c>
      <c r="AB8" s="309">
        <v>0</v>
      </c>
      <c r="AC8" s="308">
        <v>0</v>
      </c>
      <c r="AD8" s="309" t="s">
        <v>530</v>
      </c>
      <c r="AE8" s="309">
        <v>0</v>
      </c>
      <c r="AF8" s="353" t="s">
        <v>530</v>
      </c>
      <c r="AG8" s="307"/>
      <c r="AH8" s="247" t="s">
        <v>521</v>
      </c>
      <c r="AI8" s="266" t="s">
        <v>530</v>
      </c>
      <c r="AJ8" s="309" t="s">
        <v>530</v>
      </c>
      <c r="AK8" s="308">
        <v>0</v>
      </c>
      <c r="AL8" s="309" t="s">
        <v>530</v>
      </c>
      <c r="AM8" s="309" t="s">
        <v>530</v>
      </c>
      <c r="AN8" s="353" t="s">
        <v>530</v>
      </c>
      <c r="AO8" s="307"/>
      <c r="AP8" s="247" t="s">
        <v>521</v>
      </c>
      <c r="AQ8" s="266" t="s">
        <v>530</v>
      </c>
      <c r="AR8" s="309" t="s">
        <v>530</v>
      </c>
      <c r="AS8" s="308">
        <v>0</v>
      </c>
      <c r="AT8" s="309" t="s">
        <v>530</v>
      </c>
      <c r="AU8" s="309" t="s">
        <v>530</v>
      </c>
      <c r="AV8" s="308" t="e">
        <f t="shared" si="11"/>
        <v>#DIV/0!</v>
      </c>
      <c r="AW8" s="307"/>
      <c r="AX8" s="247" t="s">
        <v>521</v>
      </c>
      <c r="AY8" s="266" t="s">
        <v>530</v>
      </c>
      <c r="AZ8" s="309" t="s">
        <v>530</v>
      </c>
      <c r="BA8" s="308">
        <v>0</v>
      </c>
      <c r="BB8" s="309">
        <v>1</v>
      </c>
      <c r="BC8" s="309" t="s">
        <v>530</v>
      </c>
      <c r="BD8" s="308">
        <f t="shared" si="12"/>
        <v>-100</v>
      </c>
      <c r="BE8" s="307"/>
      <c r="BF8" s="247" t="s">
        <v>521</v>
      </c>
      <c r="BG8" s="309">
        <v>0</v>
      </c>
      <c r="BH8" s="309">
        <v>1</v>
      </c>
      <c r="BI8" s="308">
        <v>0</v>
      </c>
      <c r="BJ8" s="309"/>
      <c r="BK8" s="309">
        <v>1</v>
      </c>
      <c r="BL8" s="308"/>
      <c r="BM8" s="307"/>
      <c r="BN8" s="307" t="s">
        <v>435</v>
      </c>
      <c r="BO8" s="309">
        <v>9</v>
      </c>
      <c r="BP8" s="309">
        <v>10</v>
      </c>
      <c r="BQ8" s="308">
        <f t="shared" si="15"/>
        <v>11.111111111111111</v>
      </c>
      <c r="BR8" s="309">
        <v>26</v>
      </c>
      <c r="BS8" s="309">
        <v>10</v>
      </c>
      <c r="BT8" s="308">
        <f t="shared" si="16"/>
        <v>-61.53846153846154</v>
      </c>
      <c r="BU8" s="59"/>
      <c r="BV8" s="307" t="s">
        <v>57</v>
      </c>
      <c r="BW8" s="309">
        <v>62183</v>
      </c>
      <c r="BX8" s="309">
        <v>77783</v>
      </c>
      <c r="BY8" s="308">
        <f t="shared" si="17"/>
        <v>25.087242493929207</v>
      </c>
      <c r="BZ8" s="309">
        <v>72859</v>
      </c>
      <c r="CA8" s="309">
        <v>77783</v>
      </c>
      <c r="CB8" s="308">
        <f t="shared" si="18"/>
        <v>6.7582591031993307</v>
      </c>
      <c r="CC8" s="59"/>
      <c r="CD8" s="250"/>
      <c r="CE8" s="250" t="s">
        <v>57</v>
      </c>
      <c r="CF8" s="289">
        <f>'ธ.ค.  '!CL9</f>
        <v>61058</v>
      </c>
      <c r="CG8" s="289">
        <f>'[1]Motorcycle '!B91</f>
        <v>72825</v>
      </c>
      <c r="CH8" s="268">
        <f t="shared" si="19"/>
        <v>19.271839889940711</v>
      </c>
      <c r="CI8" s="289">
        <v>67629</v>
      </c>
      <c r="CJ8" s="289">
        <f t="shared" si="4"/>
        <v>72825</v>
      </c>
      <c r="CK8" s="268">
        <f t="shared" si="5"/>
        <v>7.6830945304529124</v>
      </c>
      <c r="CL8" s="73"/>
      <c r="CM8" s="250"/>
      <c r="CN8" s="250" t="s">
        <v>57</v>
      </c>
      <c r="CO8" s="252">
        <v>62927</v>
      </c>
      <c r="CP8" s="252">
        <v>66395</v>
      </c>
      <c r="CQ8" s="249">
        <f t="shared" si="20"/>
        <v>5.5111478379709826</v>
      </c>
      <c r="CR8" s="252">
        <v>86632</v>
      </c>
      <c r="CS8" s="252">
        <v>66395</v>
      </c>
      <c r="CT8" s="249">
        <f t="shared" si="21"/>
        <v>-23.359728506787331</v>
      </c>
      <c r="CU8" s="73"/>
      <c r="CV8" s="209"/>
      <c r="CW8" s="209" t="s">
        <v>57</v>
      </c>
      <c r="CX8" s="211">
        <v>71024</v>
      </c>
      <c r="CY8" s="211">
        <v>86632</v>
      </c>
      <c r="CZ8" s="208">
        <f t="shared" si="22"/>
        <v>21.975670195990087</v>
      </c>
      <c r="DA8" s="211">
        <v>68676</v>
      </c>
      <c r="DB8" s="211">
        <v>86632</v>
      </c>
      <c r="DC8" s="208">
        <f t="shared" si="23"/>
        <v>26.145960743199954</v>
      </c>
      <c r="DD8" s="73"/>
      <c r="DE8" s="159"/>
      <c r="DF8" s="159" t="s">
        <v>57</v>
      </c>
      <c r="DG8" s="161">
        <v>50657</v>
      </c>
      <c r="DH8" s="161">
        <v>67877</v>
      </c>
      <c r="DI8" s="158">
        <f t="shared" si="24"/>
        <v>33.993327674358923</v>
      </c>
      <c r="DJ8" s="161">
        <v>74187</v>
      </c>
      <c r="DK8" s="161">
        <v>67877</v>
      </c>
      <c r="DL8" s="158">
        <f t="shared" si="25"/>
        <v>-8.5055333144621024</v>
      </c>
      <c r="DM8" s="73"/>
      <c r="DN8" s="103"/>
      <c r="DO8" s="103" t="s">
        <v>57</v>
      </c>
      <c r="DP8" s="105">
        <v>71313</v>
      </c>
      <c r="DQ8" s="105">
        <v>74161</v>
      </c>
      <c r="DR8" s="102">
        <f t="shared" si="26"/>
        <v>3.9936617447029295</v>
      </c>
      <c r="DS8" s="105">
        <v>75930</v>
      </c>
      <c r="DT8" s="105">
        <v>74161</v>
      </c>
      <c r="DU8" s="102">
        <f t="shared" si="27"/>
        <v>-2.3297774265771105</v>
      </c>
      <c r="DV8" s="73"/>
      <c r="DW8" s="24"/>
      <c r="DX8" s="24" t="s">
        <v>57</v>
      </c>
      <c r="DY8" s="25">
        <v>71790</v>
      </c>
      <c r="DZ8" s="25">
        <v>75930</v>
      </c>
      <c r="EA8" s="122">
        <f t="shared" si="28"/>
        <v>5.7668198913497708</v>
      </c>
      <c r="EB8" s="25">
        <v>54733</v>
      </c>
      <c r="EC8" s="25">
        <v>75930</v>
      </c>
      <c r="ED8" s="122">
        <f t="shared" si="29"/>
        <v>38.728006869712971</v>
      </c>
      <c r="EE8" s="117"/>
      <c r="EF8" s="103"/>
      <c r="EG8" s="103" t="s">
        <v>57</v>
      </c>
      <c r="EH8" s="105">
        <v>60171</v>
      </c>
      <c r="EI8" s="105">
        <v>57809</v>
      </c>
      <c r="EJ8" s="102">
        <f t="shared" si="30"/>
        <v>-3.9254790513702611</v>
      </c>
      <c r="EK8" s="105">
        <v>75305</v>
      </c>
      <c r="EL8" s="105">
        <v>57809</v>
      </c>
      <c r="EM8" s="102">
        <f t="shared" si="31"/>
        <v>-23.233517030741652</v>
      </c>
      <c r="EN8" s="61"/>
      <c r="EO8" s="77"/>
      <c r="EP8" s="77" t="s">
        <v>57</v>
      </c>
      <c r="EQ8" s="80">
        <v>53110</v>
      </c>
      <c r="ER8" s="80">
        <v>75305</v>
      </c>
      <c r="ES8" s="79">
        <f t="shared" si="6"/>
        <v>41.79062323479571</v>
      </c>
      <c r="ET8" s="81">
        <v>83136</v>
      </c>
      <c r="EU8" s="80">
        <v>75305</v>
      </c>
      <c r="EV8" s="79">
        <f t="shared" si="7"/>
        <v>-9.4195053887605855</v>
      </c>
      <c r="EX8" s="42" t="s">
        <v>2</v>
      </c>
      <c r="EY8" s="43">
        <v>4734</v>
      </c>
      <c r="EZ8" s="56">
        <v>3653</v>
      </c>
      <c r="FA8" s="44">
        <f>(EZ8-EY8)/EY8*100</f>
        <v>-22.834811998310098</v>
      </c>
      <c r="FB8" s="45">
        <v>12376</v>
      </c>
      <c r="FC8" s="56">
        <v>3653</v>
      </c>
      <c r="FD8" s="44">
        <f>(FC8-FB8)/FB8*100</f>
        <v>-70.483193277310932</v>
      </c>
      <c r="FE8" s="53"/>
      <c r="FF8" s="12" t="s">
        <v>4</v>
      </c>
      <c r="FG8" s="13">
        <v>11037</v>
      </c>
      <c r="FH8" s="14">
        <v>12376</v>
      </c>
      <c r="FI8" s="15">
        <f>(FH8-FG8)/FG8*100</f>
        <v>12.131919905771497</v>
      </c>
      <c r="FJ8" s="17">
        <v>10588</v>
      </c>
      <c r="FK8" s="14">
        <v>12376</v>
      </c>
      <c r="FL8" s="15">
        <f>(FK8-FJ8)/FJ8*100</f>
        <v>16.887041934265206</v>
      </c>
      <c r="FN8" s="4" t="s">
        <v>4</v>
      </c>
      <c r="FO8" s="5">
        <v>15479</v>
      </c>
      <c r="FP8" s="6">
        <v>11037</v>
      </c>
      <c r="FQ8" s="7">
        <f>(FP8-FO8)/FO8*100</f>
        <v>-28.696944247044382</v>
      </c>
      <c r="FR8" s="8">
        <v>67682</v>
      </c>
      <c r="FS8" s="6">
        <v>11037</v>
      </c>
      <c r="FT8" s="7">
        <f>(FS8-FR8)/FR8*100</f>
        <v>-83.692857776070454</v>
      </c>
    </row>
    <row r="9" spans="1:176" x14ac:dyDescent="0.5">
      <c r="A9" s="250"/>
      <c r="B9" s="250" t="s">
        <v>521</v>
      </c>
      <c r="C9" s="266">
        <v>0</v>
      </c>
      <c r="D9" s="266">
        <v>0</v>
      </c>
      <c r="E9" s="336" t="s">
        <v>530</v>
      </c>
      <c r="F9" s="266">
        <v>0</v>
      </c>
      <c r="G9" s="266">
        <v>0</v>
      </c>
      <c r="H9" s="344" t="s">
        <v>530</v>
      </c>
      <c r="I9" s="250"/>
      <c r="J9" s="250" t="s">
        <v>521</v>
      </c>
      <c r="K9" s="266">
        <v>0</v>
      </c>
      <c r="L9" s="266">
        <v>0</v>
      </c>
      <c r="M9" s="336" t="s">
        <v>530</v>
      </c>
      <c r="N9" s="266">
        <v>0</v>
      </c>
      <c r="O9" s="266">
        <v>0</v>
      </c>
      <c r="P9" s="344" t="s">
        <v>530</v>
      </c>
      <c r="Q9" s="307"/>
      <c r="R9" s="247" t="s">
        <v>522</v>
      </c>
      <c r="S9" s="266">
        <v>64547</v>
      </c>
      <c r="T9" s="309">
        <v>70036</v>
      </c>
      <c r="U9" s="308">
        <f t="shared" ref="U9:U17" si="32">((T9-S9)/S9)*100</f>
        <v>8.5038808929927026</v>
      </c>
      <c r="V9" s="309">
        <v>67245</v>
      </c>
      <c r="W9" s="309">
        <v>70036</v>
      </c>
      <c r="X9" s="308">
        <f t="shared" ref="X9:X13" si="33">((W9-V9)/V9)*100</f>
        <v>4.1504944605546878</v>
      </c>
      <c r="Y9" s="307"/>
      <c r="Z9" s="247" t="s">
        <v>522</v>
      </c>
      <c r="AA9" s="266">
        <v>71294</v>
      </c>
      <c r="AB9" s="309">
        <v>67245</v>
      </c>
      <c r="AC9" s="308">
        <f t="shared" ref="AC9:AC17" si="34">((AB9-AA9)/AA9)*100</f>
        <v>-5.6792998008247535</v>
      </c>
      <c r="AD9" s="309">
        <v>62235</v>
      </c>
      <c r="AE9" s="309">
        <v>67245</v>
      </c>
      <c r="AF9" s="308">
        <f t="shared" ref="AF9:AF13" si="35">((AE9-AD9)/AD9)*100</f>
        <v>8.0501325620631476</v>
      </c>
      <c r="AG9" s="307"/>
      <c r="AH9" s="247" t="s">
        <v>522</v>
      </c>
      <c r="AI9" s="266">
        <v>59235</v>
      </c>
      <c r="AJ9" s="309">
        <v>62235</v>
      </c>
      <c r="AK9" s="308">
        <f t="shared" ref="AK9:AK17" si="36">((AJ9-AI9)/AI9)*100</f>
        <v>5.064573309698658</v>
      </c>
      <c r="AL9" s="309">
        <v>71875</v>
      </c>
      <c r="AM9" s="309">
        <v>62235</v>
      </c>
      <c r="AN9" s="308">
        <f t="shared" si="10"/>
        <v>-13.412173913043478</v>
      </c>
      <c r="AO9" s="307"/>
      <c r="AP9" s="247" t="s">
        <v>522</v>
      </c>
      <c r="AQ9" s="266">
        <v>56243</v>
      </c>
      <c r="AR9" s="309">
        <v>71964</v>
      </c>
      <c r="AS9" s="308">
        <f t="shared" ref="AS9:AS17" si="37">((AR9-AQ9)/AQ9)*100</f>
        <v>27.951922905961631</v>
      </c>
      <c r="AT9" s="309">
        <v>77133</v>
      </c>
      <c r="AU9" s="309">
        <v>71964</v>
      </c>
      <c r="AV9" s="308">
        <f t="shared" si="11"/>
        <v>-6.7014118470693482</v>
      </c>
      <c r="AW9" s="307"/>
      <c r="AX9" s="247" t="s">
        <v>522</v>
      </c>
      <c r="AY9" s="266">
        <v>74240</v>
      </c>
      <c r="AZ9" s="309">
        <v>77133</v>
      </c>
      <c r="BA9" s="308">
        <f t="shared" ref="BA9:BA17" si="38">((AZ9-AY9)/AY9)*100</f>
        <v>3.8968211206896552</v>
      </c>
      <c r="BB9" s="309">
        <v>80691</v>
      </c>
      <c r="BC9" s="309">
        <v>77133</v>
      </c>
      <c r="BD9" s="308">
        <f t="shared" si="12"/>
        <v>-4.4094136892590248</v>
      </c>
      <c r="BE9" s="307"/>
      <c r="BF9" s="247" t="s">
        <v>522</v>
      </c>
      <c r="BG9" s="309">
        <v>67983</v>
      </c>
      <c r="BH9" s="309">
        <v>80691</v>
      </c>
      <c r="BI9" s="308">
        <f t="shared" si="13"/>
        <v>18.692908521247958</v>
      </c>
      <c r="BJ9" s="309"/>
      <c r="BK9" s="309">
        <v>80691</v>
      </c>
      <c r="BL9" s="308"/>
      <c r="BM9" s="307"/>
      <c r="BN9" s="307" t="s">
        <v>436</v>
      </c>
      <c r="BO9" s="309">
        <v>107169</v>
      </c>
      <c r="BP9" s="309">
        <v>124960</v>
      </c>
      <c r="BQ9" s="308">
        <f t="shared" si="15"/>
        <v>16.600882717950153</v>
      </c>
      <c r="BR9" s="309">
        <v>139927</v>
      </c>
      <c r="BS9" s="309">
        <v>124960</v>
      </c>
      <c r="BT9" s="308">
        <f t="shared" si="16"/>
        <v>-10.696291637782558</v>
      </c>
      <c r="BU9" s="59"/>
      <c r="BV9" s="307" t="s">
        <v>59</v>
      </c>
      <c r="BW9" s="309">
        <v>44690</v>
      </c>
      <c r="BX9" s="309">
        <v>53920</v>
      </c>
      <c r="BY9" s="308">
        <f t="shared" si="17"/>
        <v>20.653390020138733</v>
      </c>
      <c r="BZ9" s="309">
        <v>50717</v>
      </c>
      <c r="CA9" s="309">
        <v>53920</v>
      </c>
      <c r="CB9" s="308">
        <f t="shared" si="18"/>
        <v>6.3154366386024412</v>
      </c>
      <c r="CC9" s="59"/>
      <c r="CD9" s="250"/>
      <c r="CE9" s="250" t="s">
        <v>59</v>
      </c>
      <c r="CF9" s="289">
        <f>'ธ.ค.  '!CL10</f>
        <v>44351</v>
      </c>
      <c r="CG9" s="289">
        <f>'[1]Motorcycle '!B92</f>
        <v>50706</v>
      </c>
      <c r="CH9" s="268">
        <f t="shared" si="19"/>
        <v>14.32887646276296</v>
      </c>
      <c r="CI9" s="289">
        <v>47253</v>
      </c>
      <c r="CJ9" s="289">
        <f t="shared" si="4"/>
        <v>50706</v>
      </c>
      <c r="CK9" s="268">
        <f t="shared" si="5"/>
        <v>7.3074725414259412</v>
      </c>
      <c r="CL9" s="73"/>
      <c r="CM9" s="250"/>
      <c r="CN9" s="250" t="s">
        <v>59</v>
      </c>
      <c r="CO9" s="252">
        <v>52484</v>
      </c>
      <c r="CP9" s="252">
        <v>47252</v>
      </c>
      <c r="CQ9" s="249">
        <f t="shared" si="20"/>
        <v>-9.9687523816782253</v>
      </c>
      <c r="CR9" s="252">
        <v>84622</v>
      </c>
      <c r="CS9" s="252">
        <v>47252</v>
      </c>
      <c r="CT9" s="249">
        <f t="shared" si="21"/>
        <v>-44.161092860012765</v>
      </c>
      <c r="CU9" s="73"/>
      <c r="CV9" s="209"/>
      <c r="CW9" s="209" t="s">
        <v>59</v>
      </c>
      <c r="CX9" s="211">
        <v>75702</v>
      </c>
      <c r="CY9" s="211">
        <v>84622</v>
      </c>
      <c r="CZ9" s="208">
        <f t="shared" si="22"/>
        <v>11.783044041108557</v>
      </c>
      <c r="DA9" s="211">
        <v>76609</v>
      </c>
      <c r="DB9" s="211">
        <v>84622</v>
      </c>
      <c r="DC9" s="208">
        <f t="shared" si="23"/>
        <v>10.459606573640173</v>
      </c>
      <c r="DD9" s="73"/>
      <c r="DE9" s="159"/>
      <c r="DF9" s="159" t="s">
        <v>59</v>
      </c>
      <c r="DG9" s="161">
        <v>66637</v>
      </c>
      <c r="DH9" s="161">
        <v>76563</v>
      </c>
      <c r="DI9" s="158">
        <f t="shared" si="24"/>
        <v>14.895628554706844</v>
      </c>
      <c r="DJ9" s="161">
        <v>82401</v>
      </c>
      <c r="DK9" s="161">
        <v>76563</v>
      </c>
      <c r="DL9" s="158">
        <f t="shared" si="25"/>
        <v>-7.0848654749335562</v>
      </c>
      <c r="DM9" s="73"/>
      <c r="DN9" s="103"/>
      <c r="DO9" s="103" t="s">
        <v>59</v>
      </c>
      <c r="DP9" s="105">
        <v>82701</v>
      </c>
      <c r="DQ9" s="105">
        <v>82380</v>
      </c>
      <c r="DR9" s="102">
        <f t="shared" si="26"/>
        <v>-0.38814524612761636</v>
      </c>
      <c r="DS9" s="105">
        <v>70358</v>
      </c>
      <c r="DT9" s="105">
        <v>82380</v>
      </c>
      <c r="DU9" s="102">
        <f t="shared" si="27"/>
        <v>17.086898433724667</v>
      </c>
      <c r="DV9" s="73"/>
      <c r="DW9" s="24"/>
      <c r="DX9" s="24" t="s">
        <v>59</v>
      </c>
      <c r="DY9" s="25">
        <v>69200</v>
      </c>
      <c r="DZ9" s="25">
        <v>70358</v>
      </c>
      <c r="EA9" s="122">
        <f t="shared" si="28"/>
        <v>1.6734104046242773</v>
      </c>
      <c r="EB9" s="25">
        <v>50278</v>
      </c>
      <c r="EC9" s="25">
        <v>70358</v>
      </c>
      <c r="ED9" s="122">
        <f t="shared" si="29"/>
        <v>39.937945025657342</v>
      </c>
      <c r="EE9" s="117"/>
      <c r="EF9" s="103"/>
      <c r="EG9" s="103" t="s">
        <v>58</v>
      </c>
      <c r="EH9" s="105">
        <v>778</v>
      </c>
      <c r="EI9" s="105">
        <v>1685</v>
      </c>
      <c r="EJ9" s="102">
        <f t="shared" si="30"/>
        <v>116.58097686375322</v>
      </c>
      <c r="EK9" s="105">
        <v>1531</v>
      </c>
      <c r="EL9" s="105">
        <v>1685</v>
      </c>
      <c r="EM9" s="102">
        <f t="shared" si="31"/>
        <v>10.058785107772698</v>
      </c>
      <c r="EN9" s="61"/>
      <c r="EO9" s="77"/>
      <c r="EP9" s="77" t="s">
        <v>58</v>
      </c>
      <c r="EQ9" s="80">
        <v>993</v>
      </c>
      <c r="ER9" s="80">
        <v>1530</v>
      </c>
      <c r="ES9" s="79">
        <f t="shared" si="6"/>
        <v>54.0785498489426</v>
      </c>
      <c r="ET9" s="81">
        <v>1293</v>
      </c>
      <c r="EU9" s="80">
        <v>1530</v>
      </c>
      <c r="EV9" s="79">
        <f t="shared" si="7"/>
        <v>18.329466357308586</v>
      </c>
      <c r="FA9" s="59"/>
      <c r="FD9" s="59"/>
    </row>
    <row r="10" spans="1:176" x14ac:dyDescent="0.5">
      <c r="A10" s="250"/>
      <c r="B10" s="250" t="s">
        <v>522</v>
      </c>
      <c r="C10" s="266">
        <v>43663</v>
      </c>
      <c r="D10" s="266">
        <v>55818</v>
      </c>
      <c r="E10" s="268">
        <f t="shared" ref="E10:E18" si="39">((D10-C10)/C10)*100</f>
        <v>27.838215422669077</v>
      </c>
      <c r="F10" s="266">
        <v>61601</v>
      </c>
      <c r="G10" s="266">
        <v>55818</v>
      </c>
      <c r="H10" s="249">
        <f t="shared" ref="H10:H14" si="40">((G10-F10)/F10)*100</f>
        <v>-9.3878346130744621</v>
      </c>
      <c r="I10" s="250"/>
      <c r="J10" s="250" t="s">
        <v>522</v>
      </c>
      <c r="K10" s="266">
        <v>51549</v>
      </c>
      <c r="L10" s="266">
        <v>61601</v>
      </c>
      <c r="M10" s="268">
        <f t="shared" ref="M10:M18" si="41">((L10-K10)/K10)*100</f>
        <v>19.499893305398746</v>
      </c>
      <c r="N10" s="266">
        <v>70036</v>
      </c>
      <c r="O10" s="266">
        <v>61601</v>
      </c>
      <c r="P10" s="249">
        <f t="shared" ref="P10:P14" si="42">((O10-N10)/N10)*100</f>
        <v>-12.04380604260666</v>
      </c>
      <c r="Q10" s="307"/>
      <c r="R10" s="247" t="s">
        <v>523</v>
      </c>
      <c r="S10" s="266">
        <v>43621</v>
      </c>
      <c r="T10" s="309">
        <v>50529</v>
      </c>
      <c r="U10" s="308">
        <f t="shared" si="32"/>
        <v>15.836409069026386</v>
      </c>
      <c r="V10" s="309">
        <v>42291</v>
      </c>
      <c r="W10" s="309">
        <v>50529</v>
      </c>
      <c r="X10" s="308">
        <f t="shared" si="33"/>
        <v>19.479321841526566</v>
      </c>
      <c r="Y10" s="307"/>
      <c r="Z10" s="247" t="s">
        <v>523</v>
      </c>
      <c r="AA10" s="266">
        <v>38866</v>
      </c>
      <c r="AB10" s="309">
        <v>42291</v>
      </c>
      <c r="AC10" s="308">
        <f t="shared" si="34"/>
        <v>8.8123295425307457</v>
      </c>
      <c r="AD10" s="309">
        <v>38042</v>
      </c>
      <c r="AE10" s="309">
        <v>42291</v>
      </c>
      <c r="AF10" s="308">
        <f t="shared" si="35"/>
        <v>11.169234004521318</v>
      </c>
      <c r="AG10" s="307"/>
      <c r="AH10" s="247" t="s">
        <v>523</v>
      </c>
      <c r="AI10" s="266">
        <v>34450</v>
      </c>
      <c r="AJ10" s="309">
        <v>38042</v>
      </c>
      <c r="AK10" s="308">
        <f t="shared" si="36"/>
        <v>10.426705370101597</v>
      </c>
      <c r="AL10" s="309">
        <v>37302</v>
      </c>
      <c r="AM10" s="309">
        <v>38042</v>
      </c>
      <c r="AN10" s="308">
        <f t="shared" si="10"/>
        <v>1.9838078387217843</v>
      </c>
      <c r="AO10" s="307"/>
      <c r="AP10" s="247" t="s">
        <v>523</v>
      </c>
      <c r="AQ10" s="266">
        <v>29234</v>
      </c>
      <c r="AR10" s="309">
        <v>37500</v>
      </c>
      <c r="AS10" s="308">
        <f t="shared" si="37"/>
        <v>28.275295888349184</v>
      </c>
      <c r="AT10" s="309">
        <v>37607</v>
      </c>
      <c r="AU10" s="309">
        <v>37500</v>
      </c>
      <c r="AV10" s="308">
        <f t="shared" si="11"/>
        <v>-0.28452149865716492</v>
      </c>
      <c r="AW10" s="307"/>
      <c r="AX10" s="247" t="s">
        <v>523</v>
      </c>
      <c r="AY10" s="266">
        <v>35097</v>
      </c>
      <c r="AZ10" s="309">
        <v>37607</v>
      </c>
      <c r="BA10" s="308">
        <f t="shared" si="38"/>
        <v>7.1516083995783113</v>
      </c>
      <c r="BB10" s="309">
        <v>45030</v>
      </c>
      <c r="BC10" s="309">
        <v>37607</v>
      </c>
      <c r="BD10" s="308">
        <f t="shared" si="12"/>
        <v>-16.484565844992225</v>
      </c>
      <c r="BE10" s="307"/>
      <c r="BF10" s="247" t="s">
        <v>523</v>
      </c>
      <c r="BG10" s="309">
        <v>39714</v>
      </c>
      <c r="BH10" s="309">
        <v>45030</v>
      </c>
      <c r="BI10" s="308">
        <f t="shared" si="13"/>
        <v>13.385707810847562</v>
      </c>
      <c r="BJ10" s="309"/>
      <c r="BK10" s="309">
        <v>45030</v>
      </c>
      <c r="BL10" s="308"/>
      <c r="BM10" s="307"/>
      <c r="BN10" s="307" t="s">
        <v>437</v>
      </c>
      <c r="BO10" s="309">
        <v>11591</v>
      </c>
      <c r="BP10" s="309">
        <v>13627</v>
      </c>
      <c r="BQ10" s="308">
        <f t="shared" si="15"/>
        <v>17.565352428608403</v>
      </c>
      <c r="BR10" s="309">
        <v>12807</v>
      </c>
      <c r="BS10" s="309">
        <v>13627</v>
      </c>
      <c r="BT10" s="308">
        <f t="shared" si="16"/>
        <v>6.4027484969157484</v>
      </c>
      <c r="BU10" s="59"/>
      <c r="BV10" s="307"/>
      <c r="BW10" s="309"/>
      <c r="BX10" s="309"/>
      <c r="BY10" s="308"/>
      <c r="BZ10" s="309"/>
      <c r="CA10" s="309"/>
      <c r="CB10" s="308"/>
      <c r="CC10" s="59"/>
      <c r="CD10" s="250"/>
      <c r="CE10" s="250"/>
      <c r="CF10" s="289"/>
      <c r="CG10" s="289"/>
      <c r="CH10" s="268"/>
      <c r="CI10" s="289"/>
      <c r="CJ10" s="289"/>
      <c r="CK10" s="268"/>
      <c r="CL10" s="73"/>
      <c r="CM10" s="250"/>
      <c r="CN10" s="250"/>
      <c r="CO10" s="252"/>
      <c r="CP10" s="252"/>
      <c r="CQ10" s="249"/>
      <c r="CR10" s="252"/>
      <c r="CS10" s="252"/>
      <c r="CT10" s="249"/>
      <c r="CU10" s="73"/>
      <c r="CV10" s="209"/>
      <c r="CW10" s="209"/>
      <c r="CX10" s="211"/>
      <c r="CY10" s="211"/>
      <c r="CZ10" s="208"/>
      <c r="DA10" s="211"/>
      <c r="DB10" s="211"/>
      <c r="DC10" s="208"/>
      <c r="DD10" s="73"/>
      <c r="DE10" s="159"/>
      <c r="DF10" s="159"/>
      <c r="DG10" s="161"/>
      <c r="DH10" s="161"/>
      <c r="DI10" s="158"/>
      <c r="DJ10" s="161"/>
      <c r="DK10" s="161"/>
      <c r="DL10" s="158"/>
      <c r="DM10" s="73"/>
      <c r="DN10" s="103"/>
      <c r="DO10" s="103"/>
      <c r="DP10" s="105"/>
      <c r="DQ10" s="105"/>
      <c r="DR10" s="102"/>
      <c r="DS10" s="105"/>
      <c r="DT10" s="105"/>
      <c r="DU10" s="102"/>
      <c r="DV10" s="73"/>
      <c r="DW10" s="24"/>
      <c r="DX10" s="24"/>
      <c r="DY10" s="25"/>
      <c r="DZ10" s="25"/>
      <c r="EA10" s="122"/>
      <c r="EB10" s="25"/>
      <c r="EC10" s="25"/>
      <c r="ED10" s="122"/>
      <c r="EE10" s="117"/>
      <c r="EF10" s="103"/>
      <c r="EG10" s="103"/>
      <c r="EH10" s="105"/>
      <c r="EI10" s="105"/>
      <c r="EJ10" s="102"/>
      <c r="EK10" s="105"/>
      <c r="EL10" s="105"/>
      <c r="EM10" s="102"/>
      <c r="EN10" s="61"/>
      <c r="EO10" s="77"/>
      <c r="EP10" s="77"/>
      <c r="EQ10" s="80"/>
      <c r="ER10" s="80"/>
      <c r="ES10" s="79"/>
      <c r="ET10" s="81"/>
      <c r="EU10" s="80"/>
      <c r="EV10" s="79"/>
      <c r="FA10" s="59"/>
      <c r="FD10" s="59"/>
    </row>
    <row r="11" spans="1:176" x14ac:dyDescent="0.5">
      <c r="A11" s="250"/>
      <c r="B11" s="250" t="s">
        <v>523</v>
      </c>
      <c r="C11" s="266">
        <v>50395</v>
      </c>
      <c r="D11" s="266">
        <v>65847</v>
      </c>
      <c r="E11" s="268">
        <f t="shared" si="39"/>
        <v>30.661772001190595</v>
      </c>
      <c r="F11" s="266">
        <v>53790</v>
      </c>
      <c r="G11" s="266">
        <v>65847</v>
      </c>
      <c r="H11" s="249">
        <f t="shared" si="40"/>
        <v>22.414947016174011</v>
      </c>
      <c r="I11" s="250"/>
      <c r="J11" s="250" t="s">
        <v>523</v>
      </c>
      <c r="K11" s="266">
        <v>46306</v>
      </c>
      <c r="L11" s="266">
        <v>53790</v>
      </c>
      <c r="M11" s="268">
        <f t="shared" si="41"/>
        <v>16.162052433809873</v>
      </c>
      <c r="N11" s="266">
        <v>50529</v>
      </c>
      <c r="O11" s="266">
        <v>53790</v>
      </c>
      <c r="P11" s="249">
        <f t="shared" si="42"/>
        <v>6.4537196461437993</v>
      </c>
      <c r="Q11" s="307"/>
      <c r="R11" s="247" t="s">
        <v>524</v>
      </c>
      <c r="S11" s="266">
        <v>29823</v>
      </c>
      <c r="T11" s="309">
        <v>31602</v>
      </c>
      <c r="U11" s="308">
        <f t="shared" si="32"/>
        <v>5.9651946484257117</v>
      </c>
      <c r="V11" s="309">
        <v>28958</v>
      </c>
      <c r="W11" s="309">
        <v>31602</v>
      </c>
      <c r="X11" s="308">
        <f t="shared" si="33"/>
        <v>9.1304648111057389</v>
      </c>
      <c r="Y11" s="307"/>
      <c r="Z11" s="247" t="s">
        <v>524</v>
      </c>
      <c r="AA11" s="266">
        <v>28669</v>
      </c>
      <c r="AB11" s="309">
        <v>28958</v>
      </c>
      <c r="AC11" s="308">
        <f t="shared" si="34"/>
        <v>1.0080574836931877</v>
      </c>
      <c r="AD11" s="309">
        <v>28275</v>
      </c>
      <c r="AE11" s="309">
        <v>28958</v>
      </c>
      <c r="AF11" s="308">
        <f t="shared" si="35"/>
        <v>2.4155614500442084</v>
      </c>
      <c r="AG11" s="307"/>
      <c r="AH11" s="247" t="s">
        <v>524</v>
      </c>
      <c r="AI11" s="266">
        <v>24427</v>
      </c>
      <c r="AJ11" s="309">
        <v>28275</v>
      </c>
      <c r="AK11" s="308">
        <f t="shared" si="36"/>
        <v>15.753060138371474</v>
      </c>
      <c r="AL11" s="309">
        <v>28184</v>
      </c>
      <c r="AM11" s="309">
        <v>28275</v>
      </c>
      <c r="AN11" s="308">
        <f t="shared" si="10"/>
        <v>0.32287822878228783</v>
      </c>
      <c r="AO11" s="307"/>
      <c r="AP11" s="247" t="s">
        <v>524</v>
      </c>
      <c r="AQ11" s="266">
        <v>23251</v>
      </c>
      <c r="AR11" s="309">
        <v>28184</v>
      </c>
      <c r="AS11" s="308">
        <f t="shared" si="37"/>
        <v>21.216291772396886</v>
      </c>
      <c r="AT11" s="309">
        <v>26376</v>
      </c>
      <c r="AU11" s="309">
        <v>28184</v>
      </c>
      <c r="AV11" s="308">
        <f t="shared" si="11"/>
        <v>6.854716408856536</v>
      </c>
      <c r="AW11" s="307"/>
      <c r="AX11" s="247" t="s">
        <v>524</v>
      </c>
      <c r="AY11" s="266">
        <v>23337</v>
      </c>
      <c r="AZ11" s="309">
        <v>26376</v>
      </c>
      <c r="BA11" s="308">
        <f t="shared" si="38"/>
        <v>13.022239362385909</v>
      </c>
      <c r="BB11" s="309">
        <v>23290</v>
      </c>
      <c r="BC11" s="309">
        <v>26376</v>
      </c>
      <c r="BD11" s="308">
        <f t="shared" si="12"/>
        <v>13.250322026620868</v>
      </c>
      <c r="BE11" s="307"/>
      <c r="BF11" s="247" t="s">
        <v>524</v>
      </c>
      <c r="BG11" s="309">
        <v>19992</v>
      </c>
      <c r="BH11" s="309">
        <v>23290</v>
      </c>
      <c r="BI11" s="308">
        <f t="shared" si="13"/>
        <v>16.49659863945578</v>
      </c>
      <c r="BJ11" s="309"/>
      <c r="BK11" s="309">
        <v>23290</v>
      </c>
      <c r="BL11" s="308"/>
      <c r="BM11" s="307"/>
      <c r="BN11" s="307" t="s">
        <v>438</v>
      </c>
      <c r="BO11" s="309">
        <v>5898</v>
      </c>
      <c r="BP11" s="309">
        <v>8627</v>
      </c>
      <c r="BQ11" s="308">
        <f t="shared" si="15"/>
        <v>46.26992200746016</v>
      </c>
      <c r="BR11" s="309">
        <v>7825</v>
      </c>
      <c r="BS11" s="309">
        <v>8627</v>
      </c>
      <c r="BT11" s="308">
        <f t="shared" si="16"/>
        <v>10.249201277955272</v>
      </c>
      <c r="BU11" s="59"/>
      <c r="BV11" s="307" t="s">
        <v>58</v>
      </c>
      <c r="BW11" s="309">
        <v>15847</v>
      </c>
      <c r="BX11" s="309">
        <v>22940</v>
      </c>
      <c r="BY11" s="308">
        <f t="shared" si="17"/>
        <v>44.759260427841227</v>
      </c>
      <c r="BZ11" s="309">
        <v>19355</v>
      </c>
      <c r="CA11" s="309">
        <v>22940</v>
      </c>
      <c r="CB11" s="308">
        <f t="shared" si="18"/>
        <v>18.522345647119607</v>
      </c>
      <c r="CC11" s="59"/>
      <c r="CD11" s="250"/>
      <c r="CE11" s="250" t="s">
        <v>58</v>
      </c>
      <c r="CF11" s="289">
        <f>'ธ.ค.  '!CL11</f>
        <v>14592</v>
      </c>
      <c r="CG11" s="289">
        <f>'[1]Motorcycle '!B93</f>
        <v>19398</v>
      </c>
      <c r="CH11" s="268">
        <f t="shared" si="19"/>
        <v>32.93585526315789</v>
      </c>
      <c r="CI11" s="289">
        <v>10723</v>
      </c>
      <c r="CJ11" s="289">
        <f t="shared" si="4"/>
        <v>19398</v>
      </c>
      <c r="CK11" s="268">
        <f t="shared" si="5"/>
        <v>80.900867294600388</v>
      </c>
      <c r="CL11" s="73"/>
      <c r="CM11" s="250"/>
      <c r="CN11" s="250" t="s">
        <v>58</v>
      </c>
      <c r="CO11" s="252">
        <v>11441</v>
      </c>
      <c r="CP11" s="252">
        <v>11956</v>
      </c>
      <c r="CQ11" s="249">
        <f t="shared" si="20"/>
        <v>4.5013547766803601</v>
      </c>
      <c r="CR11" s="252">
        <v>8999</v>
      </c>
      <c r="CS11" s="252">
        <v>11956</v>
      </c>
      <c r="CT11" s="249">
        <f t="shared" si="21"/>
        <v>32.859206578508719</v>
      </c>
      <c r="CU11" s="73"/>
      <c r="CV11" s="209"/>
      <c r="CW11" s="209" t="s">
        <v>58</v>
      </c>
      <c r="CX11" s="211">
        <v>6168</v>
      </c>
      <c r="CY11" s="211">
        <v>8999</v>
      </c>
      <c r="CZ11" s="208">
        <f t="shared" si="22"/>
        <v>45.898184176394288</v>
      </c>
      <c r="DA11" s="211">
        <v>4751</v>
      </c>
      <c r="DB11" s="211">
        <v>8999</v>
      </c>
      <c r="DC11" s="208">
        <f t="shared" si="23"/>
        <v>89.412755209429591</v>
      </c>
      <c r="DD11" s="73"/>
      <c r="DE11" s="159"/>
      <c r="DF11" s="159" t="s">
        <v>58</v>
      </c>
      <c r="DG11" s="161">
        <v>5083</v>
      </c>
      <c r="DH11" s="161">
        <v>5593</v>
      </c>
      <c r="DI11" s="158">
        <f t="shared" si="24"/>
        <v>10.033444816053512</v>
      </c>
      <c r="DJ11" s="161">
        <v>5035</v>
      </c>
      <c r="DK11" s="161">
        <v>5593</v>
      </c>
      <c r="DL11" s="158">
        <f t="shared" si="25"/>
        <v>11.082423038728898</v>
      </c>
      <c r="DM11" s="73"/>
      <c r="DN11" s="103"/>
      <c r="DO11" s="103" t="s">
        <v>58</v>
      </c>
      <c r="DP11" s="105">
        <v>3992</v>
      </c>
      <c r="DQ11" s="105">
        <v>5032</v>
      </c>
      <c r="DR11" s="102">
        <f t="shared" si="26"/>
        <v>26.052104208416832</v>
      </c>
      <c r="DS11" s="105">
        <v>7024</v>
      </c>
      <c r="DT11" s="105">
        <v>5032</v>
      </c>
      <c r="DU11" s="102">
        <f t="shared" si="27"/>
        <v>-28.359908883826879</v>
      </c>
      <c r="DV11" s="73"/>
      <c r="DW11" s="24"/>
      <c r="DX11" s="24" t="s">
        <v>58</v>
      </c>
      <c r="DY11" s="25">
        <v>6434</v>
      </c>
      <c r="DZ11" s="25">
        <v>7024</v>
      </c>
      <c r="EA11" s="122">
        <f t="shared" si="28"/>
        <v>9.1700341933478402</v>
      </c>
      <c r="EB11" s="25">
        <v>4929</v>
      </c>
      <c r="EC11" s="25">
        <v>7024</v>
      </c>
      <c r="ED11" s="122">
        <f t="shared" si="29"/>
        <v>42.503550415905863</v>
      </c>
      <c r="EE11" s="117"/>
      <c r="EF11" s="103"/>
      <c r="EG11" s="103" t="s">
        <v>59</v>
      </c>
      <c r="EH11" s="105">
        <v>55077</v>
      </c>
      <c r="EI11" s="105">
        <v>50446</v>
      </c>
      <c r="EJ11" s="102">
        <f t="shared" si="30"/>
        <v>-8.4082284801278195</v>
      </c>
      <c r="EK11" s="105">
        <v>66372</v>
      </c>
      <c r="EL11" s="105">
        <v>50446</v>
      </c>
      <c r="EM11" s="102">
        <f t="shared" si="31"/>
        <v>-23.995058157054181</v>
      </c>
      <c r="EN11" s="61"/>
      <c r="EO11" s="77"/>
      <c r="EP11" s="77" t="s">
        <v>59</v>
      </c>
      <c r="EQ11" s="80">
        <v>49115</v>
      </c>
      <c r="ER11" s="80">
        <v>66372</v>
      </c>
      <c r="ES11" s="79">
        <f t="shared" si="6"/>
        <v>35.135905527842823</v>
      </c>
      <c r="ET11" s="81">
        <v>66256</v>
      </c>
      <c r="EU11" s="80">
        <v>66372</v>
      </c>
      <c r="EV11" s="79">
        <f t="shared" si="7"/>
        <v>0.17507848345810192</v>
      </c>
      <c r="EY11" s="1" t="s">
        <v>44</v>
      </c>
      <c r="FA11" s="59"/>
      <c r="FD11" s="59"/>
      <c r="FG11" t="s">
        <v>8</v>
      </c>
      <c r="FO11" t="s">
        <v>6</v>
      </c>
    </row>
    <row r="12" spans="1:176" x14ac:dyDescent="0.5">
      <c r="A12" s="250"/>
      <c r="B12" s="250" t="s">
        <v>524</v>
      </c>
      <c r="C12" s="266">
        <v>23024</v>
      </c>
      <c r="D12" s="266">
        <v>25571</v>
      </c>
      <c r="E12" s="268">
        <f t="shared" si="39"/>
        <v>11.062369701181376</v>
      </c>
      <c r="F12" s="266">
        <v>28780</v>
      </c>
      <c r="G12" s="266">
        <v>25571</v>
      </c>
      <c r="H12" s="249">
        <f t="shared" si="40"/>
        <v>-11.150104239054899</v>
      </c>
      <c r="I12" s="250"/>
      <c r="J12" s="250" t="s">
        <v>524</v>
      </c>
      <c r="K12" s="266">
        <v>26376</v>
      </c>
      <c r="L12" s="266">
        <v>28780</v>
      </c>
      <c r="M12" s="268">
        <f t="shared" si="41"/>
        <v>9.1143463754928717</v>
      </c>
      <c r="N12" s="266">
        <v>31602</v>
      </c>
      <c r="O12" s="266">
        <v>28780</v>
      </c>
      <c r="P12" s="249">
        <f t="shared" si="42"/>
        <v>-8.929814568698184</v>
      </c>
      <c r="Q12" s="307"/>
      <c r="R12" s="247" t="s">
        <v>525</v>
      </c>
      <c r="S12" s="266">
        <v>5205</v>
      </c>
      <c r="T12" s="309">
        <v>5642</v>
      </c>
      <c r="U12" s="308">
        <f t="shared" si="32"/>
        <v>8.3957732949087411</v>
      </c>
      <c r="V12" s="309">
        <v>4912</v>
      </c>
      <c r="W12" s="309">
        <v>5642</v>
      </c>
      <c r="X12" s="308">
        <f t="shared" si="33"/>
        <v>14.861563517915311</v>
      </c>
      <c r="Y12" s="307"/>
      <c r="Z12" s="247" t="s">
        <v>525</v>
      </c>
      <c r="AA12" s="266">
        <v>5296</v>
      </c>
      <c r="AB12" s="309">
        <v>4912</v>
      </c>
      <c r="AC12" s="308">
        <f t="shared" si="34"/>
        <v>-7.2507552870090644</v>
      </c>
      <c r="AD12" s="309">
        <v>5505</v>
      </c>
      <c r="AE12" s="309">
        <v>4912</v>
      </c>
      <c r="AF12" s="308">
        <f t="shared" si="35"/>
        <v>-10.772025431425975</v>
      </c>
      <c r="AG12" s="307"/>
      <c r="AH12" s="247" t="s">
        <v>525</v>
      </c>
      <c r="AI12" s="266">
        <v>4250</v>
      </c>
      <c r="AJ12" s="309">
        <v>5505</v>
      </c>
      <c r="AK12" s="308">
        <f t="shared" si="36"/>
        <v>29.52941176470588</v>
      </c>
      <c r="AL12" s="309">
        <v>4869</v>
      </c>
      <c r="AM12" s="309">
        <v>5505</v>
      </c>
      <c r="AN12" s="308">
        <f t="shared" si="10"/>
        <v>13.062230437461492</v>
      </c>
      <c r="AO12" s="307"/>
      <c r="AP12" s="247" t="s">
        <v>525</v>
      </c>
      <c r="AQ12" s="266">
        <v>3054</v>
      </c>
      <c r="AR12" s="309">
        <v>4869</v>
      </c>
      <c r="AS12" s="308">
        <f t="shared" si="37"/>
        <v>59.43025540275049</v>
      </c>
      <c r="AT12" s="309">
        <v>4404</v>
      </c>
      <c r="AU12" s="309">
        <v>4869</v>
      </c>
      <c r="AV12" s="308">
        <f t="shared" si="11"/>
        <v>10.558583106267031</v>
      </c>
      <c r="AW12" s="307"/>
      <c r="AX12" s="247" t="s">
        <v>525</v>
      </c>
      <c r="AY12" s="266">
        <v>2737</v>
      </c>
      <c r="AZ12" s="309">
        <v>4404</v>
      </c>
      <c r="BA12" s="308">
        <f t="shared" si="38"/>
        <v>60.906101571063211</v>
      </c>
      <c r="BB12" s="309">
        <v>2768</v>
      </c>
      <c r="BC12" s="309">
        <v>4404</v>
      </c>
      <c r="BD12" s="308">
        <f t="shared" si="12"/>
        <v>59.104046242774565</v>
      </c>
      <c r="BE12" s="307"/>
      <c r="BF12" s="247" t="s">
        <v>525</v>
      </c>
      <c r="BG12" s="309">
        <v>1949</v>
      </c>
      <c r="BH12" s="309">
        <v>2768</v>
      </c>
      <c r="BI12" s="308">
        <f t="shared" si="13"/>
        <v>42.021549512570552</v>
      </c>
      <c r="BJ12" s="309"/>
      <c r="BK12" s="309">
        <v>2768</v>
      </c>
      <c r="BL12" s="308"/>
      <c r="BM12" s="307"/>
      <c r="BN12" s="307"/>
      <c r="BO12" s="309"/>
      <c r="BP12" s="309"/>
      <c r="BQ12" s="308"/>
      <c r="BR12" s="309"/>
      <c r="BS12" s="309"/>
      <c r="BT12" s="308"/>
      <c r="BU12" s="59"/>
      <c r="BV12" s="307"/>
      <c r="BW12" s="309"/>
      <c r="BX12" s="309"/>
      <c r="BY12" s="308"/>
      <c r="BZ12" s="309"/>
      <c r="CA12" s="309"/>
      <c r="CB12" s="308"/>
      <c r="CC12" s="59"/>
      <c r="CD12" s="250"/>
      <c r="CE12" s="250"/>
      <c r="CF12" s="289"/>
      <c r="CG12" s="289"/>
      <c r="CH12" s="268"/>
      <c r="CI12" s="289"/>
      <c r="CJ12" s="289"/>
      <c r="CK12" s="268"/>
      <c r="CL12" s="73"/>
      <c r="CM12" s="250"/>
      <c r="CN12" s="250"/>
      <c r="CO12" s="252"/>
      <c r="CP12" s="252"/>
      <c r="CQ12" s="249"/>
      <c r="CR12" s="252"/>
      <c r="CS12" s="252"/>
      <c r="CT12" s="249"/>
      <c r="CU12" s="73"/>
      <c r="CV12" s="209"/>
      <c r="CW12" s="209"/>
      <c r="CX12" s="211"/>
      <c r="CY12" s="211"/>
      <c r="CZ12" s="208"/>
      <c r="DA12" s="211"/>
      <c r="DB12" s="211"/>
      <c r="DC12" s="208"/>
      <c r="DD12" s="73"/>
      <c r="DE12" s="159"/>
      <c r="DF12" s="159"/>
      <c r="DG12" s="161"/>
      <c r="DH12" s="161"/>
      <c r="DI12" s="158"/>
      <c r="DJ12" s="161"/>
      <c r="DK12" s="161"/>
      <c r="DL12" s="158"/>
      <c r="DM12" s="73"/>
      <c r="DN12" s="103"/>
      <c r="DO12" s="103"/>
      <c r="DP12" s="105"/>
      <c r="DQ12" s="105"/>
      <c r="DR12" s="102"/>
      <c r="DS12" s="105"/>
      <c r="DT12" s="105"/>
      <c r="DU12" s="102"/>
      <c r="DV12" s="73"/>
      <c r="DW12" s="24"/>
      <c r="DX12" s="24"/>
      <c r="DY12" s="25"/>
      <c r="DZ12" s="25"/>
      <c r="EA12" s="122"/>
      <c r="EB12" s="25"/>
      <c r="EC12" s="25"/>
      <c r="ED12" s="122"/>
      <c r="EE12" s="117"/>
      <c r="EF12" s="103"/>
      <c r="EG12" s="103"/>
      <c r="EH12" s="105"/>
      <c r="EI12" s="105"/>
      <c r="EJ12" s="102"/>
      <c r="EK12" s="105"/>
      <c r="EL12" s="105"/>
      <c r="EM12" s="102"/>
      <c r="EN12" s="61"/>
      <c r="EO12" s="77"/>
      <c r="EP12" s="77"/>
      <c r="EQ12" s="80"/>
      <c r="ER12" s="80"/>
      <c r="ES12" s="79"/>
      <c r="ET12" s="81"/>
      <c r="EU12" s="80"/>
      <c r="EV12" s="79"/>
      <c r="EY12" s="1"/>
      <c r="FA12" s="59"/>
      <c r="FD12" s="59"/>
    </row>
    <row r="13" spans="1:176" x14ac:dyDescent="0.5">
      <c r="A13" s="250"/>
      <c r="B13" s="250" t="s">
        <v>525</v>
      </c>
      <c r="C13" s="266">
        <v>6886</v>
      </c>
      <c r="D13" s="266">
        <v>7880</v>
      </c>
      <c r="E13" s="268">
        <f t="shared" si="39"/>
        <v>14.435085681092072</v>
      </c>
      <c r="F13" s="266">
        <v>8383</v>
      </c>
      <c r="G13" s="266">
        <v>7880</v>
      </c>
      <c r="H13" s="249">
        <f t="shared" si="40"/>
        <v>-6.0002385780746748</v>
      </c>
      <c r="I13" s="250"/>
      <c r="J13" s="250" t="s">
        <v>525</v>
      </c>
      <c r="K13" s="266">
        <v>7035</v>
      </c>
      <c r="L13" s="266">
        <v>8383</v>
      </c>
      <c r="M13" s="268">
        <f t="shared" si="41"/>
        <v>19.16133617626155</v>
      </c>
      <c r="N13" s="266">
        <v>5642</v>
      </c>
      <c r="O13" s="266">
        <v>8383</v>
      </c>
      <c r="P13" s="249">
        <f t="shared" si="42"/>
        <v>48.58206309819213</v>
      </c>
      <c r="Q13" s="307"/>
      <c r="R13" s="247" t="s">
        <v>526</v>
      </c>
      <c r="S13" s="266">
        <v>1249</v>
      </c>
      <c r="T13" s="309">
        <v>1448</v>
      </c>
      <c r="U13" s="308">
        <f t="shared" si="32"/>
        <v>15.932746196957567</v>
      </c>
      <c r="V13" s="309">
        <v>1689</v>
      </c>
      <c r="W13" s="309">
        <v>1448</v>
      </c>
      <c r="X13" s="308">
        <f t="shared" si="33"/>
        <v>-14.268798105387804</v>
      </c>
      <c r="Y13" s="307"/>
      <c r="Z13" s="247" t="s">
        <v>526</v>
      </c>
      <c r="AA13" s="266">
        <v>1218</v>
      </c>
      <c r="AB13" s="309">
        <v>1689</v>
      </c>
      <c r="AC13" s="308">
        <f t="shared" si="34"/>
        <v>38.669950738916256</v>
      </c>
      <c r="AD13" s="309">
        <v>1584</v>
      </c>
      <c r="AE13" s="309">
        <v>1689</v>
      </c>
      <c r="AF13" s="308">
        <f t="shared" si="35"/>
        <v>6.6287878787878789</v>
      </c>
      <c r="AG13" s="307"/>
      <c r="AH13" s="247" t="s">
        <v>526</v>
      </c>
      <c r="AI13" s="266">
        <v>1482</v>
      </c>
      <c r="AJ13" s="309">
        <v>1584</v>
      </c>
      <c r="AK13" s="308">
        <f t="shared" si="36"/>
        <v>6.8825910931174086</v>
      </c>
      <c r="AL13" s="309">
        <v>2762</v>
      </c>
      <c r="AM13" s="309">
        <v>1584</v>
      </c>
      <c r="AN13" s="308">
        <f t="shared" si="10"/>
        <v>-42.65025343953657</v>
      </c>
      <c r="AO13" s="307"/>
      <c r="AP13" s="247" t="s">
        <v>526</v>
      </c>
      <c r="AQ13" s="266">
        <v>1833</v>
      </c>
      <c r="AR13" s="309">
        <v>2762</v>
      </c>
      <c r="AS13" s="308">
        <f t="shared" si="37"/>
        <v>50.681942171303874</v>
      </c>
      <c r="AT13" s="309">
        <v>3397</v>
      </c>
      <c r="AU13" s="309">
        <v>2762</v>
      </c>
      <c r="AV13" s="308">
        <f t="shared" si="11"/>
        <v>-18.692964380335592</v>
      </c>
      <c r="AW13" s="307"/>
      <c r="AX13" s="247" t="s">
        <v>526</v>
      </c>
      <c r="AY13" s="266">
        <v>1889</v>
      </c>
      <c r="AZ13" s="309">
        <v>3397</v>
      </c>
      <c r="BA13" s="308">
        <f t="shared" si="38"/>
        <v>79.830598200105868</v>
      </c>
      <c r="BB13" s="309">
        <v>3308</v>
      </c>
      <c r="BC13" s="309">
        <v>3397</v>
      </c>
      <c r="BD13" s="308">
        <f t="shared" si="12"/>
        <v>2.6904474002418377</v>
      </c>
      <c r="BE13" s="307"/>
      <c r="BF13" s="247" t="s">
        <v>526</v>
      </c>
      <c r="BG13" s="309">
        <v>1885</v>
      </c>
      <c r="BH13" s="309">
        <v>3308</v>
      </c>
      <c r="BI13" s="308">
        <f t="shared" si="13"/>
        <v>75.490716180371351</v>
      </c>
      <c r="BJ13" s="309"/>
      <c r="BK13" s="309">
        <v>3308</v>
      </c>
      <c r="BL13" s="308"/>
      <c r="BM13" s="307"/>
      <c r="BN13" s="307"/>
      <c r="BO13" s="309"/>
      <c r="BP13" s="309"/>
      <c r="BQ13" s="308"/>
      <c r="BR13" s="309"/>
      <c r="BS13" s="309"/>
      <c r="BT13" s="308"/>
      <c r="BU13" s="59"/>
      <c r="BV13" s="307"/>
      <c r="BW13" s="309"/>
      <c r="BX13" s="309"/>
      <c r="BY13" s="308"/>
      <c r="BZ13" s="309"/>
      <c r="CA13" s="309"/>
      <c r="CB13" s="308"/>
      <c r="CC13" s="59"/>
      <c r="CD13" s="250"/>
      <c r="CE13" s="250"/>
      <c r="CF13" s="289"/>
      <c r="CG13" s="289"/>
      <c r="CH13" s="268"/>
      <c r="CI13" s="289"/>
      <c r="CJ13" s="289"/>
      <c r="CK13" s="268"/>
      <c r="CL13" s="73"/>
      <c r="CM13" s="250"/>
      <c r="CN13" s="250"/>
      <c r="CO13" s="252"/>
      <c r="CP13" s="252"/>
      <c r="CQ13" s="249"/>
      <c r="CR13" s="252"/>
      <c r="CS13" s="252"/>
      <c r="CT13" s="249"/>
      <c r="CU13" s="73"/>
      <c r="CV13" s="209"/>
      <c r="CW13" s="209"/>
      <c r="CX13" s="211"/>
      <c r="CY13" s="211"/>
      <c r="CZ13" s="208"/>
      <c r="DA13" s="211"/>
      <c r="DB13" s="211"/>
      <c r="DC13" s="208"/>
      <c r="DD13" s="73"/>
      <c r="DE13" s="159"/>
      <c r="DF13" s="159"/>
      <c r="DG13" s="161"/>
      <c r="DH13" s="161"/>
      <c r="DI13" s="158"/>
      <c r="DJ13" s="161"/>
      <c r="DK13" s="161"/>
      <c r="DL13" s="158"/>
      <c r="DM13" s="73"/>
      <c r="DN13" s="103"/>
      <c r="DO13" s="103"/>
      <c r="DP13" s="105"/>
      <c r="DQ13" s="105"/>
      <c r="DR13" s="102"/>
      <c r="DS13" s="105"/>
      <c r="DT13" s="105"/>
      <c r="DU13" s="102"/>
      <c r="DV13" s="73"/>
      <c r="DW13" s="24"/>
      <c r="DX13" s="24"/>
      <c r="DY13" s="25"/>
      <c r="DZ13" s="25"/>
      <c r="EA13" s="122"/>
      <c r="EB13" s="25"/>
      <c r="EC13" s="25"/>
      <c r="ED13" s="122"/>
      <c r="EE13" s="117"/>
      <c r="EF13" s="103"/>
      <c r="EG13" s="103"/>
      <c r="EH13" s="105"/>
      <c r="EI13" s="105"/>
      <c r="EJ13" s="102"/>
      <c r="EK13" s="105"/>
      <c r="EL13" s="105"/>
      <c r="EM13" s="102"/>
      <c r="EN13" s="61"/>
      <c r="EO13" s="77"/>
      <c r="EP13" s="77"/>
      <c r="EQ13" s="80"/>
      <c r="ER13" s="80"/>
      <c r="ES13" s="79"/>
      <c r="ET13" s="81"/>
      <c r="EU13" s="80"/>
      <c r="EV13" s="79"/>
      <c r="EY13" s="1"/>
      <c r="FA13" s="59"/>
      <c r="FD13" s="59"/>
    </row>
    <row r="14" spans="1:176" x14ac:dyDescent="0.5">
      <c r="A14" s="250"/>
      <c r="B14" s="250" t="s">
        <v>526</v>
      </c>
      <c r="C14" s="266">
        <v>825</v>
      </c>
      <c r="D14" s="266">
        <v>1234</v>
      </c>
      <c r="E14" s="268">
        <f t="shared" si="39"/>
        <v>49.575757575757571</v>
      </c>
      <c r="F14" s="266">
        <v>1449</v>
      </c>
      <c r="G14" s="266">
        <v>1234</v>
      </c>
      <c r="H14" s="249">
        <f t="shared" si="40"/>
        <v>-14.837819185645273</v>
      </c>
      <c r="I14" s="250"/>
      <c r="J14" s="250" t="s">
        <v>526</v>
      </c>
      <c r="K14" s="266">
        <v>1111</v>
      </c>
      <c r="L14" s="266">
        <v>1449</v>
      </c>
      <c r="M14" s="268">
        <f t="shared" si="41"/>
        <v>30.423042304230425</v>
      </c>
      <c r="N14" s="266">
        <v>1448</v>
      </c>
      <c r="O14" s="266">
        <v>1449</v>
      </c>
      <c r="P14" s="249">
        <f t="shared" si="42"/>
        <v>6.9060773480662974E-2</v>
      </c>
      <c r="Q14" s="307" t="s">
        <v>2</v>
      </c>
      <c r="R14" s="307" t="s">
        <v>60</v>
      </c>
      <c r="S14" s="267">
        <v>91960</v>
      </c>
      <c r="T14" s="267">
        <v>87574</v>
      </c>
      <c r="U14" s="308">
        <f t="shared" si="32"/>
        <v>-4.7694649847759898</v>
      </c>
      <c r="V14" s="267">
        <v>85864</v>
      </c>
      <c r="W14" s="267">
        <v>87574</v>
      </c>
      <c r="X14" s="308">
        <f>((W14-V14)/V14)*100</f>
        <v>1.9915214758222306</v>
      </c>
      <c r="Y14" s="307" t="s">
        <v>2</v>
      </c>
      <c r="Z14" s="307" t="s">
        <v>60</v>
      </c>
      <c r="AA14" s="267">
        <v>85678</v>
      </c>
      <c r="AB14" s="267">
        <v>85864</v>
      </c>
      <c r="AC14" s="308">
        <f t="shared" si="34"/>
        <v>0.21709190223861435</v>
      </c>
      <c r="AD14" s="267">
        <v>79811</v>
      </c>
      <c r="AE14" s="267">
        <v>85864</v>
      </c>
      <c r="AF14" s="308">
        <f>((AE14-AD14)/AD14)*100</f>
        <v>7.5841675959454209</v>
      </c>
      <c r="AG14" s="307" t="s">
        <v>2</v>
      </c>
      <c r="AH14" s="307" t="s">
        <v>60</v>
      </c>
      <c r="AI14" s="267">
        <v>78429</v>
      </c>
      <c r="AJ14" s="267">
        <v>79811</v>
      </c>
      <c r="AK14" s="308">
        <f t="shared" si="36"/>
        <v>1.7621033036249345</v>
      </c>
      <c r="AL14" s="267">
        <v>78033</v>
      </c>
      <c r="AM14" s="267">
        <v>79811</v>
      </c>
      <c r="AN14" s="308">
        <f>((AM14-AL14)/AL14)*100</f>
        <v>2.2785231889072572</v>
      </c>
      <c r="AO14" s="307" t="s">
        <v>2</v>
      </c>
      <c r="AP14" s="307" t="s">
        <v>60</v>
      </c>
      <c r="AQ14" s="267">
        <v>97156</v>
      </c>
      <c r="AR14" s="267">
        <v>78033</v>
      </c>
      <c r="AS14" s="308">
        <f t="shared" si="37"/>
        <v>-19.682778212359501</v>
      </c>
      <c r="AT14" s="267">
        <v>78613</v>
      </c>
      <c r="AU14" s="267">
        <v>78033</v>
      </c>
      <c r="AV14" s="308">
        <f>((AU14-AT14)/AT14)*100</f>
        <v>-0.73779145942783009</v>
      </c>
      <c r="AW14" s="307" t="s">
        <v>2</v>
      </c>
      <c r="AX14" s="307" t="s">
        <v>60</v>
      </c>
      <c r="AY14" s="267">
        <v>93520</v>
      </c>
      <c r="AZ14" s="267">
        <v>79799</v>
      </c>
      <c r="BA14" s="308">
        <f t="shared" si="38"/>
        <v>-14.671727972626176</v>
      </c>
      <c r="BB14" s="267">
        <v>84003</v>
      </c>
      <c r="BC14" s="267">
        <v>79799</v>
      </c>
      <c r="BD14" s="308">
        <f>((BC14-BB14)/BB14)*100</f>
        <v>-5.0045831696487033</v>
      </c>
      <c r="BE14" s="307" t="s">
        <v>2</v>
      </c>
      <c r="BF14" s="307" t="s">
        <v>60</v>
      </c>
      <c r="BG14" s="267">
        <v>83382</v>
      </c>
      <c r="BH14" s="267">
        <v>84003</v>
      </c>
      <c r="BI14" s="308">
        <f t="shared" si="13"/>
        <v>0.74476505720659136</v>
      </c>
      <c r="BJ14" s="267">
        <v>85637</v>
      </c>
      <c r="BK14" s="267">
        <v>84003</v>
      </c>
      <c r="BL14" s="308">
        <f t="shared" si="14"/>
        <v>-1.908053761808564</v>
      </c>
      <c r="BM14" s="307" t="s">
        <v>2</v>
      </c>
      <c r="BN14" s="307" t="s">
        <v>60</v>
      </c>
      <c r="BO14" s="267">
        <v>98465</v>
      </c>
      <c r="BP14" s="267">
        <v>85637</v>
      </c>
      <c r="BQ14" s="308">
        <f t="shared" si="15"/>
        <v>-13.027979485096228</v>
      </c>
      <c r="BR14" s="267">
        <v>72055</v>
      </c>
      <c r="BS14" s="267">
        <v>85637</v>
      </c>
      <c r="BT14" s="308">
        <f t="shared" si="16"/>
        <v>18.849489972937338</v>
      </c>
      <c r="BU14" s="127" t="s">
        <v>2</v>
      </c>
      <c r="BV14" s="307" t="s">
        <v>60</v>
      </c>
      <c r="BW14" s="267">
        <v>92703</v>
      </c>
      <c r="BX14" s="267">
        <v>72055</v>
      </c>
      <c r="BY14" s="308">
        <f t="shared" si="17"/>
        <v>-22.273281339330982</v>
      </c>
      <c r="BZ14" s="267">
        <v>72675</v>
      </c>
      <c r="CA14" s="267">
        <v>72055</v>
      </c>
      <c r="CB14" s="308">
        <f t="shared" si="18"/>
        <v>-0.85311317509459916</v>
      </c>
      <c r="CC14" s="59"/>
      <c r="CD14" s="247" t="s">
        <v>2</v>
      </c>
      <c r="CE14" s="247" t="s">
        <v>60</v>
      </c>
      <c r="CF14" s="285">
        <f>'ธ.ค.  '!CL15</f>
        <v>81947</v>
      </c>
      <c r="CG14" s="285">
        <f>'[1]Motorcycle '!B145</f>
        <v>72431</v>
      </c>
      <c r="CH14" s="268">
        <f t="shared" si="19"/>
        <v>-11.612383613799162</v>
      </c>
      <c r="CI14" s="285">
        <f>SUM(CI15:CI16)</f>
        <v>78147</v>
      </c>
      <c r="CJ14" s="285">
        <f t="shared" si="4"/>
        <v>72431</v>
      </c>
      <c r="CK14" s="268">
        <f>((CJ14-CI14)/CI14)*100</f>
        <v>-7.3144202592549927</v>
      </c>
      <c r="CL14" s="73"/>
      <c r="CM14" s="247" t="s">
        <v>2</v>
      </c>
      <c r="CN14" s="247" t="s">
        <v>60</v>
      </c>
      <c r="CO14" s="253">
        <f>SUM(CO15:CO16)</f>
        <v>89399</v>
      </c>
      <c r="CP14" s="248">
        <f>SUM(CP15:CP16)</f>
        <v>78147</v>
      </c>
      <c r="CQ14" s="249">
        <f t="shared" si="20"/>
        <v>-12.586270539938926</v>
      </c>
      <c r="CR14" s="248">
        <f>SUM(CR15:CR16)</f>
        <v>69449</v>
      </c>
      <c r="CS14" s="248">
        <f>SUM(CS15:CS16)</f>
        <v>78147</v>
      </c>
      <c r="CT14" s="249">
        <f t="shared" si="21"/>
        <v>12.524298406024565</v>
      </c>
      <c r="CU14" s="73"/>
      <c r="CV14" s="206" t="s">
        <v>2</v>
      </c>
      <c r="CW14" s="206" t="s">
        <v>60</v>
      </c>
      <c r="CX14" s="207">
        <f>SUM(CX15:CX16)</f>
        <v>85959</v>
      </c>
      <c r="CY14" s="207">
        <f>SUM(CY15:CY16)</f>
        <v>69449</v>
      </c>
      <c r="CZ14" s="208">
        <f t="shared" si="22"/>
        <v>-19.206831163694318</v>
      </c>
      <c r="DA14" s="207">
        <f>SUM(DA15:DA16)</f>
        <v>84705</v>
      </c>
      <c r="DB14" s="207">
        <f>SUM(DB15:DB16)</f>
        <v>69449</v>
      </c>
      <c r="DC14" s="208">
        <f t="shared" si="23"/>
        <v>-18.010743167463549</v>
      </c>
      <c r="DD14" s="73"/>
      <c r="DE14" s="156" t="s">
        <v>2</v>
      </c>
      <c r="DF14" s="156" t="s">
        <v>60</v>
      </c>
      <c r="DG14" s="157">
        <f>SUM(DG15:DG16)</f>
        <v>120762</v>
      </c>
      <c r="DH14" s="157">
        <f>SUM(DH15:DH16)</f>
        <v>84705</v>
      </c>
      <c r="DI14" s="158">
        <f t="shared" si="24"/>
        <v>-29.857902320266312</v>
      </c>
      <c r="DJ14" s="157">
        <f>SUM(DJ15:DJ16)</f>
        <v>83832</v>
      </c>
      <c r="DK14" s="157">
        <f>SUM(DK15:DK16)</f>
        <v>84705</v>
      </c>
      <c r="DL14" s="158">
        <f t="shared" si="25"/>
        <v>1.0413684511880905</v>
      </c>
      <c r="DM14" s="73"/>
      <c r="DN14" s="100" t="s">
        <v>2</v>
      </c>
      <c r="DO14" s="100" t="s">
        <v>60</v>
      </c>
      <c r="DP14" s="101">
        <v>91580</v>
      </c>
      <c r="DQ14" s="101">
        <f>SUM(DQ15:DQ16)</f>
        <v>83832</v>
      </c>
      <c r="DR14" s="102">
        <f t="shared" si="26"/>
        <v>-8.4603625245686835</v>
      </c>
      <c r="DS14" s="101">
        <f>SUM(DS15:DS16)</f>
        <v>50063</v>
      </c>
      <c r="DT14" s="101">
        <v>83832</v>
      </c>
      <c r="DU14" s="102">
        <f t="shared" si="27"/>
        <v>67.453009208397418</v>
      </c>
      <c r="DV14" s="73"/>
      <c r="DW14" s="120" t="s">
        <v>2</v>
      </c>
      <c r="DX14" s="120" t="s">
        <v>60</v>
      </c>
      <c r="DY14" s="121">
        <v>63971</v>
      </c>
      <c r="DZ14" s="121">
        <f>SUM(DZ15:DZ16)</f>
        <v>50063</v>
      </c>
      <c r="EA14" s="122">
        <f t="shared" si="28"/>
        <v>-21.741101436588455</v>
      </c>
      <c r="EB14" s="121">
        <v>39995</v>
      </c>
      <c r="EC14" s="121">
        <f>SUM(EC15:EC16)</f>
        <v>50063</v>
      </c>
      <c r="ED14" s="122">
        <f t="shared" si="29"/>
        <v>25.173146643330419</v>
      </c>
      <c r="EE14" s="117"/>
      <c r="EF14" s="100" t="s">
        <v>2</v>
      </c>
      <c r="EG14" s="100" t="s">
        <v>60</v>
      </c>
      <c r="EH14" s="101">
        <f>EH15+EH16</f>
        <v>72961</v>
      </c>
      <c r="EI14" s="101">
        <f>EI15+EI16</f>
        <v>39995</v>
      </c>
      <c r="EJ14" s="102">
        <f t="shared" si="30"/>
        <v>-45.183042995572976</v>
      </c>
      <c r="EK14" s="101">
        <f>SUM(EK15:EK16)</f>
        <v>132945</v>
      </c>
      <c r="EL14" s="101">
        <v>39995</v>
      </c>
      <c r="EM14" s="102">
        <f t="shared" si="31"/>
        <v>-69.916130730753324</v>
      </c>
      <c r="EN14" s="73"/>
      <c r="EO14" s="74" t="s">
        <v>2</v>
      </c>
      <c r="EP14" s="74" t="s">
        <v>60</v>
      </c>
      <c r="EQ14" s="75">
        <f>EQ15+EQ16</f>
        <v>172027</v>
      </c>
      <c r="ER14" s="75">
        <f>SUM(ER15:ER16)</f>
        <v>130317</v>
      </c>
      <c r="ES14" s="76">
        <f t="shared" si="6"/>
        <v>-24.246193911420882</v>
      </c>
      <c r="ET14" s="75">
        <f>SUM(ET15:ET16)</f>
        <v>127837</v>
      </c>
      <c r="EU14" s="75">
        <f>SUM(EU15:EU16)</f>
        <v>130317</v>
      </c>
      <c r="EV14" s="76">
        <f t="shared" si="7"/>
        <v>1.9399704310958485</v>
      </c>
      <c r="EX14" s="54"/>
      <c r="EY14" s="55">
        <v>18233</v>
      </c>
      <c r="EZ14" s="55">
        <v>18264</v>
      </c>
      <c r="FA14" s="60" t="s">
        <v>3</v>
      </c>
      <c r="FB14" s="55">
        <v>17899</v>
      </c>
      <c r="FC14" s="55">
        <v>18264</v>
      </c>
      <c r="FD14" s="60" t="s">
        <v>3</v>
      </c>
      <c r="FE14" s="52"/>
      <c r="FF14" s="10"/>
      <c r="FG14" s="11">
        <v>17868</v>
      </c>
      <c r="FH14" s="11">
        <v>17899</v>
      </c>
      <c r="FI14" s="10" t="s">
        <v>3</v>
      </c>
      <c r="FJ14" s="11">
        <v>17533</v>
      </c>
      <c r="FK14" s="11">
        <v>17899</v>
      </c>
      <c r="FL14" s="10" t="s">
        <v>3</v>
      </c>
      <c r="FN14" s="2"/>
      <c r="FO14" s="3">
        <v>17838</v>
      </c>
      <c r="FP14" s="3">
        <v>17868</v>
      </c>
      <c r="FQ14" s="2" t="s">
        <v>3</v>
      </c>
      <c r="FR14" s="3">
        <v>17502</v>
      </c>
      <c r="FS14" s="3">
        <v>17868</v>
      </c>
      <c r="FT14" s="2" t="s">
        <v>3</v>
      </c>
    </row>
    <row r="15" spans="1:176" x14ac:dyDescent="0.5">
      <c r="A15" s="247" t="s">
        <v>2</v>
      </c>
      <c r="B15" s="247" t="s">
        <v>60</v>
      </c>
      <c r="C15" s="267">
        <v>81175</v>
      </c>
      <c r="D15" s="267">
        <v>72893</v>
      </c>
      <c r="E15" s="268">
        <f t="shared" si="39"/>
        <v>-10.202648598706499</v>
      </c>
      <c r="F15" s="267">
        <v>82853</v>
      </c>
      <c r="G15" s="267">
        <v>72893</v>
      </c>
      <c r="H15" s="249">
        <f>((G15-F15)/F15)*100</f>
        <v>-12.0212907197084</v>
      </c>
      <c r="I15" s="247" t="s">
        <v>2</v>
      </c>
      <c r="J15" s="247" t="s">
        <v>60</v>
      </c>
      <c r="K15" s="267">
        <v>76573</v>
      </c>
      <c r="L15" s="267">
        <v>82853</v>
      </c>
      <c r="M15" s="268">
        <f t="shared" si="41"/>
        <v>8.2013242265550534</v>
      </c>
      <c r="N15" s="267">
        <v>87574</v>
      </c>
      <c r="O15" s="267">
        <v>82853</v>
      </c>
      <c r="P15" s="249">
        <f>((O15-N15)/N15)*100</f>
        <v>-5.3908694361340128</v>
      </c>
      <c r="Q15" s="307"/>
      <c r="R15" s="307" t="s">
        <v>61</v>
      </c>
      <c r="S15" s="266">
        <v>52060</v>
      </c>
      <c r="T15" s="309">
        <v>43663</v>
      </c>
      <c r="U15" s="308">
        <f t="shared" si="32"/>
        <v>-16.129466000768346</v>
      </c>
      <c r="V15" s="309">
        <v>43626</v>
      </c>
      <c r="W15" s="309">
        <v>43663</v>
      </c>
      <c r="X15" s="308">
        <f>((W15-V15)/V15)*100</f>
        <v>8.481180947141613E-2</v>
      </c>
      <c r="Y15" s="307"/>
      <c r="Z15" s="307" t="s">
        <v>61</v>
      </c>
      <c r="AA15" s="266">
        <v>36078</v>
      </c>
      <c r="AB15" s="309">
        <v>43626</v>
      </c>
      <c r="AC15" s="308">
        <f t="shared" si="34"/>
        <v>20.921337102943621</v>
      </c>
      <c r="AD15" s="309">
        <v>25708</v>
      </c>
      <c r="AE15" s="309">
        <v>43626</v>
      </c>
      <c r="AF15" s="308">
        <f>((AE15-AD15)/AD15)*100</f>
        <v>69.698148436284427</v>
      </c>
      <c r="AG15" s="307"/>
      <c r="AH15" s="307" t="s">
        <v>61</v>
      </c>
      <c r="AI15" s="266">
        <v>33059</v>
      </c>
      <c r="AJ15" s="309">
        <v>25708</v>
      </c>
      <c r="AK15" s="308">
        <f t="shared" si="36"/>
        <v>-22.236002298920113</v>
      </c>
      <c r="AL15" s="309">
        <v>31590</v>
      </c>
      <c r="AM15" s="309">
        <v>25708</v>
      </c>
      <c r="AN15" s="308">
        <f>((AM15-AL15)/AL15)*100</f>
        <v>-18.619816397594175</v>
      </c>
      <c r="AO15" s="307"/>
      <c r="AP15" s="307" t="s">
        <v>61</v>
      </c>
      <c r="AQ15" s="266">
        <v>37280</v>
      </c>
      <c r="AR15" s="309">
        <v>31590</v>
      </c>
      <c r="AS15" s="308">
        <f t="shared" si="37"/>
        <v>-15.262875536480685</v>
      </c>
      <c r="AT15" s="309">
        <v>27027</v>
      </c>
      <c r="AU15" s="309">
        <v>31590</v>
      </c>
      <c r="AV15" s="308">
        <f>((AU15-AT15)/AT15)*100</f>
        <v>16.883116883116884</v>
      </c>
      <c r="AW15" s="307"/>
      <c r="AX15" s="307" t="s">
        <v>61</v>
      </c>
      <c r="AY15" s="266">
        <v>38324</v>
      </c>
      <c r="AZ15" s="309">
        <v>28213</v>
      </c>
      <c r="BA15" s="308">
        <f t="shared" si="38"/>
        <v>-26.382945412796161</v>
      </c>
      <c r="BB15" s="309">
        <v>34773</v>
      </c>
      <c r="BC15" s="309">
        <v>28213</v>
      </c>
      <c r="BD15" s="308">
        <f>((BC15-BB15)/BB15)*100</f>
        <v>-18.865211514680929</v>
      </c>
      <c r="BE15" s="307"/>
      <c r="BF15" s="307" t="s">
        <v>61</v>
      </c>
      <c r="BG15" s="309">
        <v>35582</v>
      </c>
      <c r="BH15" s="309">
        <v>34773</v>
      </c>
      <c r="BI15" s="308">
        <f t="shared" si="13"/>
        <v>-2.2736214940138271</v>
      </c>
      <c r="BJ15" s="309">
        <v>33848</v>
      </c>
      <c r="BK15" s="309">
        <v>34773</v>
      </c>
      <c r="BL15" s="308">
        <f t="shared" si="14"/>
        <v>2.7328054833372728</v>
      </c>
      <c r="BM15" s="307"/>
      <c r="BN15" s="307" t="s">
        <v>61</v>
      </c>
      <c r="BO15" s="309">
        <v>34466</v>
      </c>
      <c r="BP15" s="309">
        <v>33848</v>
      </c>
      <c r="BQ15" s="308">
        <f t="shared" si="15"/>
        <v>-1.7930714327163002</v>
      </c>
      <c r="BR15" s="309">
        <v>24646</v>
      </c>
      <c r="BS15" s="309">
        <v>33848</v>
      </c>
      <c r="BT15" s="308">
        <f t="shared" si="16"/>
        <v>37.336687494928185</v>
      </c>
      <c r="BU15" s="59"/>
      <c r="BV15" s="307" t="s">
        <v>61</v>
      </c>
      <c r="BW15" s="309">
        <v>32683</v>
      </c>
      <c r="BX15" s="309">
        <v>24646</v>
      </c>
      <c r="BY15" s="308">
        <f t="shared" si="17"/>
        <v>-24.590765841569013</v>
      </c>
      <c r="BZ15" s="309">
        <v>27601</v>
      </c>
      <c r="CA15" s="309">
        <v>24646</v>
      </c>
      <c r="CB15" s="308">
        <f t="shared" si="18"/>
        <v>-10.70613383573059</v>
      </c>
      <c r="CC15" s="59"/>
      <c r="CD15" s="250"/>
      <c r="CE15" s="250" t="s">
        <v>61</v>
      </c>
      <c r="CF15" s="289">
        <f>'ธ.ค.  '!CL16</f>
        <v>29597</v>
      </c>
      <c r="CG15" s="289">
        <f>'[1]Motorcycle '!B146</f>
        <v>27357</v>
      </c>
      <c r="CH15" s="268">
        <f t="shared" si="19"/>
        <v>-7.5683346285096462</v>
      </c>
      <c r="CI15" s="289">
        <v>25063</v>
      </c>
      <c r="CJ15" s="289">
        <f t="shared" si="4"/>
        <v>27357</v>
      </c>
      <c r="CK15" s="268">
        <f>((CJ15-CI15)/CI15)*100</f>
        <v>9.1529346047959148</v>
      </c>
      <c r="CL15" s="73"/>
      <c r="CM15" s="250"/>
      <c r="CN15" s="250" t="s">
        <v>61</v>
      </c>
      <c r="CO15" s="254">
        <v>28300</v>
      </c>
      <c r="CP15" s="252">
        <v>25063</v>
      </c>
      <c r="CQ15" s="249">
        <f t="shared" si="20"/>
        <v>-11.438162544169611</v>
      </c>
      <c r="CR15" s="252">
        <v>23445</v>
      </c>
      <c r="CS15" s="252">
        <v>25063</v>
      </c>
      <c r="CT15" s="249">
        <f t="shared" si="21"/>
        <v>6.9012582640221796</v>
      </c>
      <c r="CU15" s="73"/>
      <c r="CV15" s="209"/>
      <c r="CW15" s="209" t="s">
        <v>61</v>
      </c>
      <c r="CX15" s="211">
        <v>26449</v>
      </c>
      <c r="CY15" s="211">
        <v>23445</v>
      </c>
      <c r="CZ15" s="208">
        <f t="shared" si="22"/>
        <v>-11.357707285719687</v>
      </c>
      <c r="DA15" s="211">
        <v>25682</v>
      </c>
      <c r="DB15" s="211">
        <v>23445</v>
      </c>
      <c r="DC15" s="208">
        <f t="shared" si="23"/>
        <v>-8.710380811463283</v>
      </c>
      <c r="DD15" s="73"/>
      <c r="DE15" s="159"/>
      <c r="DF15" s="159" t="s">
        <v>61</v>
      </c>
      <c r="DG15" s="161">
        <v>16178</v>
      </c>
      <c r="DH15" s="161">
        <v>25682</v>
      </c>
      <c r="DI15" s="158">
        <f t="shared" si="24"/>
        <v>58.746445790579806</v>
      </c>
      <c r="DJ15" s="161">
        <v>15648</v>
      </c>
      <c r="DK15" s="161">
        <v>25682</v>
      </c>
      <c r="DL15" s="158">
        <f t="shared" si="25"/>
        <v>64.123210633946826</v>
      </c>
      <c r="DM15" s="73"/>
      <c r="DN15" s="103"/>
      <c r="DO15" s="103" t="s">
        <v>61</v>
      </c>
      <c r="DP15" s="134">
        <v>17125</v>
      </c>
      <c r="DQ15" s="105">
        <v>15648</v>
      </c>
      <c r="DR15" s="102">
        <f t="shared" si="26"/>
        <v>-8.6248175182481752</v>
      </c>
      <c r="DS15" s="105">
        <v>6434</v>
      </c>
      <c r="DT15" s="105">
        <v>15648</v>
      </c>
      <c r="DU15" s="102">
        <f t="shared" si="27"/>
        <v>143.20795772458811</v>
      </c>
      <c r="DV15" s="73"/>
      <c r="DW15" s="24"/>
      <c r="DX15" s="24" t="s">
        <v>61</v>
      </c>
      <c r="DY15" s="50">
        <v>8420</v>
      </c>
      <c r="DZ15" s="25">
        <v>6434</v>
      </c>
      <c r="EA15" s="122">
        <f t="shared" si="28"/>
        <v>-23.586698337292162</v>
      </c>
      <c r="EB15" s="25">
        <v>11237</v>
      </c>
      <c r="EC15" s="25">
        <v>6434</v>
      </c>
      <c r="ED15" s="122">
        <f t="shared" si="29"/>
        <v>-42.742724926581829</v>
      </c>
      <c r="EE15" s="117"/>
      <c r="EF15" s="103"/>
      <c r="EG15" s="103" t="s">
        <v>61</v>
      </c>
      <c r="EH15" s="103">
        <v>17512</v>
      </c>
      <c r="EI15" s="105">
        <v>11237</v>
      </c>
      <c r="EJ15" s="102">
        <f t="shared" si="30"/>
        <v>-35.832571950662398</v>
      </c>
      <c r="EK15" s="105">
        <v>9889</v>
      </c>
      <c r="EL15" s="105">
        <v>11237</v>
      </c>
      <c r="EM15" s="102">
        <f t="shared" si="31"/>
        <v>13.631307513398728</v>
      </c>
      <c r="EN15" s="61"/>
      <c r="EO15" s="77"/>
      <c r="EP15" s="77" t="s">
        <v>61</v>
      </c>
      <c r="EQ15" s="80">
        <v>9747</v>
      </c>
      <c r="ER15" s="80">
        <v>9423</v>
      </c>
      <c r="ES15" s="79">
        <f t="shared" si="6"/>
        <v>-3.32409972299169</v>
      </c>
      <c r="ET15" s="81">
        <v>3653</v>
      </c>
      <c r="EU15" s="80">
        <v>9423</v>
      </c>
      <c r="EV15" s="79">
        <f t="shared" si="7"/>
        <v>157.95236791678073</v>
      </c>
      <c r="EX15" s="42" t="s">
        <v>0</v>
      </c>
      <c r="EY15" s="43">
        <v>91751</v>
      </c>
      <c r="EZ15" s="58">
        <v>86458</v>
      </c>
      <c r="FA15" s="44">
        <f>(EZ15-EY15)/EY15*100</f>
        <v>-5.7688744536844281</v>
      </c>
      <c r="FB15" s="57">
        <v>86197</v>
      </c>
      <c r="FC15" s="58">
        <v>86458</v>
      </c>
      <c r="FD15" s="44">
        <f>(FC15-FB15)/FB15*100</f>
        <v>0.30279476083854429</v>
      </c>
      <c r="FE15" s="53"/>
      <c r="FF15" s="12" t="s">
        <v>0</v>
      </c>
      <c r="FG15" s="13">
        <v>99019</v>
      </c>
      <c r="FH15" s="14">
        <v>86197</v>
      </c>
      <c r="FI15" s="15">
        <f>(FH15-FG15)/FG15*100</f>
        <v>-12.949029984144458</v>
      </c>
      <c r="FJ15" s="16">
        <v>76772</v>
      </c>
      <c r="FK15" s="14">
        <v>86197</v>
      </c>
      <c r="FL15" s="15">
        <f>(FK15-FJ15)/FJ15*100</f>
        <v>12.276611264523524</v>
      </c>
      <c r="FN15" s="4" t="s">
        <v>0</v>
      </c>
      <c r="FO15" s="5">
        <v>108176</v>
      </c>
      <c r="FP15" s="6">
        <v>99019</v>
      </c>
      <c r="FQ15" s="7">
        <f>(FP15-FO15)/FO15*100</f>
        <v>-8.464909037124686</v>
      </c>
      <c r="FR15" s="9">
        <v>87504</v>
      </c>
      <c r="FS15" s="6">
        <v>99019</v>
      </c>
      <c r="FT15" s="7">
        <f>(FS15-FR15)/FR15*100</f>
        <v>13.159398427500458</v>
      </c>
    </row>
    <row r="16" spans="1:176" x14ac:dyDescent="0.5">
      <c r="A16" s="250"/>
      <c r="B16" s="250" t="s">
        <v>61</v>
      </c>
      <c r="C16" s="266">
        <v>32263</v>
      </c>
      <c r="D16" s="266">
        <v>34678</v>
      </c>
      <c r="E16" s="268">
        <f t="shared" si="39"/>
        <v>7.4853547407246683</v>
      </c>
      <c r="F16" s="266">
        <v>36086</v>
      </c>
      <c r="G16" s="266">
        <v>34678</v>
      </c>
      <c r="H16" s="249">
        <f>((G16-F16)/F16)*100</f>
        <v>-3.901790167932162</v>
      </c>
      <c r="I16" s="250"/>
      <c r="J16" s="250" t="s">
        <v>61</v>
      </c>
      <c r="K16" s="266">
        <v>39973</v>
      </c>
      <c r="L16" s="266">
        <v>36086</v>
      </c>
      <c r="M16" s="268">
        <f t="shared" si="41"/>
        <v>-9.7240637430265426</v>
      </c>
      <c r="N16" s="266">
        <v>43663</v>
      </c>
      <c r="O16" s="266">
        <v>36086</v>
      </c>
      <c r="P16" s="249">
        <f>((O16-N16)/N16)*100</f>
        <v>-17.353365549778989</v>
      </c>
      <c r="Q16" s="307"/>
      <c r="R16" s="307" t="s">
        <v>62</v>
      </c>
      <c r="S16" s="266">
        <v>39900</v>
      </c>
      <c r="T16" s="309">
        <v>43911</v>
      </c>
      <c r="U16" s="308">
        <f t="shared" si="32"/>
        <v>10.052631578947368</v>
      </c>
      <c r="V16" s="309">
        <v>42238</v>
      </c>
      <c r="W16" s="309">
        <v>43911</v>
      </c>
      <c r="X16" s="308">
        <f>((W16-V16)/V16)*100</f>
        <v>3.9608882996353998</v>
      </c>
      <c r="Y16" s="307"/>
      <c r="Z16" s="307" t="s">
        <v>62</v>
      </c>
      <c r="AA16" s="266">
        <v>49600</v>
      </c>
      <c r="AB16" s="309">
        <v>42238</v>
      </c>
      <c r="AC16" s="308">
        <f t="shared" si="34"/>
        <v>-14.842741935483872</v>
      </c>
      <c r="AD16" s="309">
        <v>54103</v>
      </c>
      <c r="AE16" s="309">
        <v>42238</v>
      </c>
      <c r="AF16" s="308">
        <f>((AE16-AD16)/AD16)*100</f>
        <v>-21.930392030016822</v>
      </c>
      <c r="AG16" s="307"/>
      <c r="AH16" s="307" t="s">
        <v>62</v>
      </c>
      <c r="AI16" s="266">
        <v>45370</v>
      </c>
      <c r="AJ16" s="309">
        <v>54103</v>
      </c>
      <c r="AK16" s="308">
        <f t="shared" si="36"/>
        <v>19.248402027771654</v>
      </c>
      <c r="AL16" s="309">
        <v>46443</v>
      </c>
      <c r="AM16" s="309">
        <v>54103</v>
      </c>
      <c r="AN16" s="308">
        <f>((AM16-AL16)/AL16)*100</f>
        <v>16.49333591714575</v>
      </c>
      <c r="AO16" s="307"/>
      <c r="AP16" s="307" t="s">
        <v>62</v>
      </c>
      <c r="AQ16" s="266">
        <v>59876</v>
      </c>
      <c r="AR16" s="309">
        <v>46443</v>
      </c>
      <c r="AS16" s="308">
        <f t="shared" si="37"/>
        <v>-22.434698376645066</v>
      </c>
      <c r="AT16" s="309">
        <v>51586</v>
      </c>
      <c r="AU16" s="309">
        <v>46443</v>
      </c>
      <c r="AV16" s="308">
        <f>((AU16-AT16)/AT16)*100</f>
        <v>-9.9697592370022878</v>
      </c>
      <c r="AW16" s="307"/>
      <c r="AX16" s="307" t="s">
        <v>62</v>
      </c>
      <c r="AY16" s="266">
        <v>55196</v>
      </c>
      <c r="AZ16" s="309">
        <v>51586</v>
      </c>
      <c r="BA16" s="308">
        <f t="shared" si="38"/>
        <v>-6.540329009348504</v>
      </c>
      <c r="BB16" s="309">
        <v>49230</v>
      </c>
      <c r="BC16" s="309">
        <v>51586</v>
      </c>
      <c r="BD16" s="308">
        <f>((BC16-BB16)/BB16)*100</f>
        <v>4.7856997765590092</v>
      </c>
      <c r="BE16" s="307"/>
      <c r="BF16" s="307" t="s">
        <v>62</v>
      </c>
      <c r="BG16" s="309">
        <v>47800</v>
      </c>
      <c r="BH16" s="309">
        <v>49230</v>
      </c>
      <c r="BI16" s="308">
        <f t="shared" si="13"/>
        <v>2.99163179916318</v>
      </c>
      <c r="BJ16" s="309">
        <v>51789</v>
      </c>
      <c r="BK16" s="309">
        <v>49230</v>
      </c>
      <c r="BL16" s="308">
        <f t="shared" si="14"/>
        <v>-4.9412037305219254</v>
      </c>
      <c r="BM16" s="307"/>
      <c r="BN16" s="307" t="s">
        <v>62</v>
      </c>
      <c r="BO16" s="309">
        <v>63999</v>
      </c>
      <c r="BP16" s="309">
        <v>51789</v>
      </c>
      <c r="BQ16" s="308">
        <f t="shared" si="15"/>
        <v>-19.078423100360943</v>
      </c>
      <c r="BR16" s="309">
        <v>47409</v>
      </c>
      <c r="BS16" s="309">
        <v>51789</v>
      </c>
      <c r="BT16" s="308">
        <f t="shared" si="16"/>
        <v>9.2387521356704436</v>
      </c>
      <c r="BU16" s="59"/>
      <c r="BV16" s="307" t="s">
        <v>62</v>
      </c>
      <c r="BW16" s="309">
        <v>60020</v>
      </c>
      <c r="BX16" s="309">
        <v>47409</v>
      </c>
      <c r="BY16" s="308">
        <f t="shared" si="17"/>
        <v>-21.011329556814395</v>
      </c>
      <c r="BZ16" s="309">
        <v>45074</v>
      </c>
      <c r="CA16" s="309">
        <v>47409</v>
      </c>
      <c r="CB16" s="308">
        <f t="shared" si="18"/>
        <v>5.1803700581266359</v>
      </c>
      <c r="CC16" s="59"/>
      <c r="CD16" s="250"/>
      <c r="CE16" s="250" t="s">
        <v>62</v>
      </c>
      <c r="CF16" s="289">
        <f>'ธ.ค.  '!CL17</f>
        <v>52350</v>
      </c>
      <c r="CG16" s="289">
        <f>'[1]Motorcycle '!B147</f>
        <v>45074</v>
      </c>
      <c r="CH16" s="268">
        <f t="shared" si="19"/>
        <v>-13.898758357211079</v>
      </c>
      <c r="CI16" s="289">
        <v>53084</v>
      </c>
      <c r="CJ16" s="289">
        <f t="shared" si="4"/>
        <v>45074</v>
      </c>
      <c r="CK16" s="268">
        <f>((CJ16-CI16)/CI16)*100</f>
        <v>-15.089292442167132</v>
      </c>
      <c r="CL16" s="73"/>
      <c r="CM16" s="250"/>
      <c r="CN16" s="250" t="s">
        <v>62</v>
      </c>
      <c r="CO16" s="254">
        <v>61099</v>
      </c>
      <c r="CP16" s="252">
        <v>53084</v>
      </c>
      <c r="CQ16" s="249">
        <f t="shared" si="20"/>
        <v>-13.11805430530778</v>
      </c>
      <c r="CR16" s="252">
        <v>46004</v>
      </c>
      <c r="CS16" s="252">
        <v>53084</v>
      </c>
      <c r="CT16" s="249">
        <f t="shared" si="21"/>
        <v>15.389966089905224</v>
      </c>
      <c r="CU16" s="73"/>
      <c r="CV16" s="209"/>
      <c r="CW16" s="209" t="s">
        <v>62</v>
      </c>
      <c r="CX16" s="211">
        <v>59510</v>
      </c>
      <c r="CY16" s="211">
        <v>46004</v>
      </c>
      <c r="CZ16" s="208">
        <f t="shared" si="22"/>
        <v>-22.695345320114267</v>
      </c>
      <c r="DA16" s="211">
        <v>59023</v>
      </c>
      <c r="DB16" s="211">
        <v>46004</v>
      </c>
      <c r="DC16" s="208">
        <f t="shared" si="23"/>
        <v>-22.057503007302238</v>
      </c>
      <c r="DD16" s="73"/>
      <c r="DE16" s="159"/>
      <c r="DF16" s="159" t="s">
        <v>62</v>
      </c>
      <c r="DG16" s="161">
        <v>104584</v>
      </c>
      <c r="DH16" s="161">
        <v>59023</v>
      </c>
      <c r="DI16" s="158">
        <f t="shared" si="24"/>
        <v>-43.564025089879905</v>
      </c>
      <c r="DJ16" s="161">
        <v>68184</v>
      </c>
      <c r="DK16" s="161">
        <v>59023</v>
      </c>
      <c r="DL16" s="158">
        <f t="shared" si="25"/>
        <v>-13.435703390824827</v>
      </c>
      <c r="DM16" s="73"/>
      <c r="DN16" s="103"/>
      <c r="DO16" s="103" t="s">
        <v>62</v>
      </c>
      <c r="DP16" s="134">
        <v>74455</v>
      </c>
      <c r="DQ16" s="105">
        <v>68184</v>
      </c>
      <c r="DR16" s="102">
        <f t="shared" si="26"/>
        <v>-8.4225371029480893</v>
      </c>
      <c r="DS16" s="105">
        <v>43629</v>
      </c>
      <c r="DT16" s="105">
        <v>68184</v>
      </c>
      <c r="DU16" s="102">
        <f t="shared" si="27"/>
        <v>56.281372481606276</v>
      </c>
      <c r="DV16" s="73"/>
      <c r="DW16" s="24"/>
      <c r="DX16" s="24" t="s">
        <v>62</v>
      </c>
      <c r="DY16" s="50">
        <v>55551</v>
      </c>
      <c r="DZ16" s="25">
        <v>43629</v>
      </c>
      <c r="EA16" s="122">
        <f t="shared" si="28"/>
        <v>-21.461359831506183</v>
      </c>
      <c r="EB16" s="25">
        <v>28237</v>
      </c>
      <c r="EC16" s="25">
        <v>43629</v>
      </c>
      <c r="ED16" s="122">
        <f t="shared" si="29"/>
        <v>54.510040018415552</v>
      </c>
      <c r="EE16" s="117"/>
      <c r="EF16" s="103"/>
      <c r="EG16" s="103" t="s">
        <v>62</v>
      </c>
      <c r="EH16" s="103">
        <v>55449</v>
      </c>
      <c r="EI16" s="105">
        <v>28758</v>
      </c>
      <c r="EJ16" s="102">
        <f t="shared" si="30"/>
        <v>-48.136125087918629</v>
      </c>
      <c r="EK16" s="105">
        <v>123056</v>
      </c>
      <c r="EL16" s="105">
        <v>28758</v>
      </c>
      <c r="EM16" s="102">
        <f t="shared" si="31"/>
        <v>-76.6301521258614</v>
      </c>
      <c r="EN16" s="61"/>
      <c r="EO16" s="77"/>
      <c r="EP16" s="77" t="s">
        <v>62</v>
      </c>
      <c r="EQ16" s="80">
        <v>162280</v>
      </c>
      <c r="ER16" s="80">
        <v>120894</v>
      </c>
      <c r="ES16" s="79">
        <f t="shared" si="6"/>
        <v>-25.502834606852353</v>
      </c>
      <c r="ET16" s="81">
        <v>124184</v>
      </c>
      <c r="EU16" s="80">
        <v>120894</v>
      </c>
      <c r="EV16" s="79">
        <f t="shared" si="7"/>
        <v>-2.6492945951169236</v>
      </c>
      <c r="EX16" s="42" t="s">
        <v>1</v>
      </c>
      <c r="EY16" s="43">
        <v>84521</v>
      </c>
      <c r="EZ16" s="58">
        <v>38643</v>
      </c>
      <c r="FA16" s="44">
        <f>((EZ16-EY16)/EY16)*100</f>
        <v>-54.280001419765497</v>
      </c>
      <c r="FB16" s="57">
        <v>50454</v>
      </c>
      <c r="FC16" s="58">
        <v>38643</v>
      </c>
      <c r="FD16" s="44">
        <f>((FC16-FB16)/FB16)*100</f>
        <v>-23.409442264240695</v>
      </c>
      <c r="FE16" s="53"/>
      <c r="FF16" s="12" t="s">
        <v>1</v>
      </c>
      <c r="FG16" s="13">
        <v>77876</v>
      </c>
      <c r="FH16" s="14">
        <v>50454</v>
      </c>
      <c r="FI16" s="15">
        <f>(FH16-FG16)/FG16*100</f>
        <v>-35.212388925984897</v>
      </c>
      <c r="FJ16" s="16">
        <v>51894</v>
      </c>
      <c r="FK16" s="14">
        <v>50454</v>
      </c>
      <c r="FL16" s="15">
        <f>(FK16-FJ16)/FJ16*100</f>
        <v>-2.7748872702046481</v>
      </c>
      <c r="FN16" s="4" t="s">
        <v>1</v>
      </c>
      <c r="FO16" s="5">
        <v>63422</v>
      </c>
      <c r="FP16" s="6">
        <v>77876</v>
      </c>
      <c r="FQ16" s="7">
        <f>(FP16-FO16)/FO16*100</f>
        <v>22.790198984579483</v>
      </c>
      <c r="FR16" s="9">
        <v>73251</v>
      </c>
      <c r="FS16" s="6">
        <v>77876</v>
      </c>
      <c r="FT16" s="7">
        <f>(FS16-FR16)/FR16*100</f>
        <v>6.3139069773791485</v>
      </c>
    </row>
    <row r="17" spans="1:176" x14ac:dyDescent="0.5">
      <c r="A17" s="250"/>
      <c r="B17" s="250" t="s">
        <v>62</v>
      </c>
      <c r="C17" s="266">
        <v>48912</v>
      </c>
      <c r="D17" s="266">
        <v>38215</v>
      </c>
      <c r="E17" s="268">
        <f t="shared" si="39"/>
        <v>-21.869888779849525</v>
      </c>
      <c r="F17" s="266">
        <v>46767</v>
      </c>
      <c r="G17" s="266">
        <v>38215</v>
      </c>
      <c r="H17" s="249">
        <f>((G17-F17)/F17)*100</f>
        <v>-18.2863985288772</v>
      </c>
      <c r="I17" s="250"/>
      <c r="J17" s="250" t="s">
        <v>62</v>
      </c>
      <c r="K17" s="266">
        <v>36600</v>
      </c>
      <c r="L17" s="266">
        <v>46767</v>
      </c>
      <c r="M17" s="268">
        <f t="shared" si="41"/>
        <v>27.778688524590162</v>
      </c>
      <c r="N17" s="266">
        <v>43911</v>
      </c>
      <c r="O17" s="266">
        <v>46767</v>
      </c>
      <c r="P17" s="249">
        <f>((O17-N17)/N17)*100</f>
        <v>6.5040650406504072</v>
      </c>
      <c r="Q17" s="307"/>
      <c r="R17" s="307" t="s">
        <v>63</v>
      </c>
      <c r="S17" s="269">
        <v>7113.9867515640517</v>
      </c>
      <c r="T17" s="310">
        <v>6334.4972631418004</v>
      </c>
      <c r="U17" s="308">
        <f t="shared" si="32"/>
        <v>-10.957140006633775</v>
      </c>
      <c r="V17" s="310">
        <v>6562.900650919395</v>
      </c>
      <c r="W17" s="310">
        <v>6334.4972631418004</v>
      </c>
      <c r="X17" s="308">
        <f>((W17-V17)/V17)*100</f>
        <v>-3.4802201027619954</v>
      </c>
      <c r="Y17" s="307"/>
      <c r="Z17" s="307" t="s">
        <v>63</v>
      </c>
      <c r="AA17" s="269">
        <v>5629.15</v>
      </c>
      <c r="AB17" s="310">
        <v>6562.900650919395</v>
      </c>
      <c r="AC17" s="308">
        <f t="shared" si="34"/>
        <v>16.58777348124309</v>
      </c>
      <c r="AD17" s="310">
        <v>7535.9606545811293</v>
      </c>
      <c r="AE17" s="310">
        <v>6562.900650919395</v>
      </c>
      <c r="AF17" s="308">
        <f>((AE17-AD17)/AD17)*100</f>
        <v>-12.91222245262399</v>
      </c>
      <c r="AG17" s="307"/>
      <c r="AH17" s="307" t="s">
        <v>63</v>
      </c>
      <c r="AI17" s="269">
        <v>32756.806609787302</v>
      </c>
      <c r="AJ17" s="310">
        <v>7535.9606545811293</v>
      </c>
      <c r="AK17" s="308">
        <f t="shared" si="36"/>
        <v>-76.994214532714906</v>
      </c>
      <c r="AL17" s="310">
        <v>6216.5</v>
      </c>
      <c r="AM17" s="310">
        <v>7535.9606545811293</v>
      </c>
      <c r="AN17" s="308">
        <f>((AM17-AL17)/AL17)*100</f>
        <v>21.2251372087369</v>
      </c>
      <c r="AO17" s="307"/>
      <c r="AP17" s="307" t="s">
        <v>63</v>
      </c>
      <c r="AQ17" s="269">
        <v>7121.84</v>
      </c>
      <c r="AR17" s="310">
        <v>6216.5</v>
      </c>
      <c r="AS17" s="308">
        <f t="shared" si="37"/>
        <v>-12.712164272154389</v>
      </c>
      <c r="AT17" s="310">
        <v>5452.56</v>
      </c>
      <c r="AU17" s="310">
        <v>6216.5</v>
      </c>
      <c r="AV17" s="308">
        <f>((AU17-AT17)/AT17)*100</f>
        <v>14.010666549290601</v>
      </c>
      <c r="AW17" s="307"/>
      <c r="AX17" s="307" t="s">
        <v>63</v>
      </c>
      <c r="AY17" s="269">
        <v>6673.09</v>
      </c>
      <c r="AZ17" s="310">
        <v>5866.69</v>
      </c>
      <c r="BA17" s="308">
        <f t="shared" si="38"/>
        <v>-12.084356722298075</v>
      </c>
      <c r="BB17" s="310">
        <v>5391.18</v>
      </c>
      <c r="BC17" s="310">
        <v>5866.69</v>
      </c>
      <c r="BD17" s="308">
        <f>((BC17-BB17)/BB17)*100</f>
        <v>8.8201469808093833</v>
      </c>
      <c r="BE17" s="307"/>
      <c r="BF17" s="307" t="s">
        <v>63</v>
      </c>
      <c r="BG17" s="310">
        <v>5329.61</v>
      </c>
      <c r="BH17" s="310">
        <v>5391.18</v>
      </c>
      <c r="BI17" s="308">
        <f t="shared" si="13"/>
        <v>1.1552440047208072</v>
      </c>
      <c r="BJ17" s="310">
        <v>4504.4799999999996</v>
      </c>
      <c r="BK17" s="310">
        <v>5391.18</v>
      </c>
      <c r="BL17" s="308">
        <f t="shared" si="14"/>
        <v>19.684847085568162</v>
      </c>
      <c r="BM17" s="307"/>
      <c r="BN17" s="307" t="s">
        <v>63</v>
      </c>
      <c r="BO17" s="310">
        <v>4777.3100000000004</v>
      </c>
      <c r="BP17" s="310">
        <v>4504.4799999999996</v>
      </c>
      <c r="BQ17" s="308">
        <f t="shared" si="15"/>
        <v>-5.7109544911257766</v>
      </c>
      <c r="BR17" s="310">
        <v>7236.74</v>
      </c>
      <c r="BS17" s="310">
        <v>4504.4799999999996</v>
      </c>
      <c r="BT17" s="308">
        <f t="shared" si="16"/>
        <v>-37.755398148890251</v>
      </c>
      <c r="BU17" s="59"/>
      <c r="BV17" s="307" t="s">
        <v>63</v>
      </c>
      <c r="BW17" s="310">
        <v>4596.3900000000003</v>
      </c>
      <c r="BX17" s="310">
        <v>7236.74</v>
      </c>
      <c r="BY17" s="308">
        <f t="shared" si="17"/>
        <v>57.443994091014893</v>
      </c>
      <c r="BZ17" s="310">
        <v>3820.55</v>
      </c>
      <c r="CA17" s="310">
        <v>7236.74</v>
      </c>
      <c r="CB17" s="308">
        <f t="shared" si="18"/>
        <v>89.416183533784391</v>
      </c>
      <c r="CC17" s="59"/>
      <c r="CD17" s="250"/>
      <c r="CE17" s="250" t="s">
        <v>63</v>
      </c>
      <c r="CF17" s="290">
        <f>'ธ.ค.  '!CL18</f>
        <v>4400.1499999999996</v>
      </c>
      <c r="CG17" s="290">
        <f>'[1]Motorcycle '!B148</f>
        <v>3738.22</v>
      </c>
      <c r="CH17" s="268">
        <f t="shared" si="19"/>
        <v>-15.043350794859265</v>
      </c>
      <c r="CI17" s="290">
        <v>3921.17</v>
      </c>
      <c r="CJ17" s="290">
        <f t="shared" si="4"/>
        <v>3738.22</v>
      </c>
      <c r="CK17" s="268">
        <f>((CJ17-CI17)/CI17)*100</f>
        <v>-4.6656992683306333</v>
      </c>
      <c r="CL17" s="73"/>
      <c r="CM17" s="250"/>
      <c r="CN17" s="250" t="s">
        <v>63</v>
      </c>
      <c r="CO17" s="255">
        <v>4839.41</v>
      </c>
      <c r="CP17" s="256">
        <v>3921.17</v>
      </c>
      <c r="CQ17" s="249">
        <f t="shared" si="20"/>
        <v>-18.974213798789521</v>
      </c>
      <c r="CR17" s="256">
        <v>3716.41</v>
      </c>
      <c r="CS17" s="256">
        <v>3921.17</v>
      </c>
      <c r="CT17" s="249">
        <f t="shared" si="21"/>
        <v>5.5096181530025001</v>
      </c>
      <c r="CU17" s="73"/>
      <c r="CV17" s="209"/>
      <c r="CW17" s="209" t="s">
        <v>63</v>
      </c>
      <c r="CX17" s="212">
        <v>2912.95</v>
      </c>
      <c r="CY17" s="212">
        <v>2733.04</v>
      </c>
      <c r="CZ17" s="208">
        <f t="shared" si="22"/>
        <v>-6.1762131172865953</v>
      </c>
      <c r="DA17" s="212">
        <v>2156.02</v>
      </c>
      <c r="DB17" s="212">
        <v>2733.04</v>
      </c>
      <c r="DC17" s="208">
        <f t="shared" si="23"/>
        <v>26.763202567694179</v>
      </c>
      <c r="DD17" s="73"/>
      <c r="DE17" s="159"/>
      <c r="DF17" s="159" t="s">
        <v>63</v>
      </c>
      <c r="DG17" s="162">
        <v>1614.05</v>
      </c>
      <c r="DH17" s="162">
        <v>2156.02</v>
      </c>
      <c r="DI17" s="158">
        <f t="shared" si="24"/>
        <v>33.578265852978532</v>
      </c>
      <c r="DJ17" s="162">
        <v>2663.41</v>
      </c>
      <c r="DK17" s="162">
        <v>2156.02</v>
      </c>
      <c r="DL17" s="158">
        <f t="shared" si="25"/>
        <v>-19.050390289140609</v>
      </c>
      <c r="DM17" s="73"/>
      <c r="DN17" s="103"/>
      <c r="DO17" s="103" t="s">
        <v>63</v>
      </c>
      <c r="DP17" s="103">
        <v>2611.31</v>
      </c>
      <c r="DQ17" s="106">
        <v>2663.41</v>
      </c>
      <c r="DR17" s="102">
        <f t="shared" si="26"/>
        <v>1.9951671766278194</v>
      </c>
      <c r="DS17" s="106">
        <v>1499.73</v>
      </c>
      <c r="DT17" s="106">
        <v>2663.41</v>
      </c>
      <c r="DU17" s="102">
        <f t="shared" si="27"/>
        <v>77.592633340667973</v>
      </c>
      <c r="DV17" s="73"/>
      <c r="DW17" s="24"/>
      <c r="DX17" s="24" t="s">
        <v>63</v>
      </c>
      <c r="DY17" s="24">
        <v>1847.88</v>
      </c>
      <c r="DZ17" s="124">
        <v>1499.73</v>
      </c>
      <c r="EA17" s="122">
        <f t="shared" si="28"/>
        <v>-18.840509123969092</v>
      </c>
      <c r="EB17" s="124">
        <v>1578.17</v>
      </c>
      <c r="EC17" s="124">
        <v>1499.73</v>
      </c>
      <c r="ED17" s="122">
        <f t="shared" si="29"/>
        <v>-4.97031371778706</v>
      </c>
      <c r="EE17" s="117"/>
      <c r="EF17" s="103"/>
      <c r="EG17" s="103" t="s">
        <v>63</v>
      </c>
      <c r="EH17" s="103">
        <v>2877.11</v>
      </c>
      <c r="EI17" s="106">
        <v>1578.17</v>
      </c>
      <c r="EJ17" s="102">
        <f t="shared" si="30"/>
        <v>-45.147387482578004</v>
      </c>
      <c r="EK17" s="106">
        <v>2042.59</v>
      </c>
      <c r="EL17" s="106">
        <v>1578.17</v>
      </c>
      <c r="EM17" s="102">
        <f t="shared" si="31"/>
        <v>-22.736819430233176</v>
      </c>
      <c r="EN17" s="61"/>
      <c r="EO17" s="77"/>
      <c r="EP17" s="77" t="s">
        <v>63</v>
      </c>
      <c r="EQ17" s="82">
        <v>2291.58</v>
      </c>
      <c r="ER17" s="82">
        <v>1965.3</v>
      </c>
      <c r="ES17" s="79">
        <f t="shared" si="6"/>
        <v>-14.238211190532295</v>
      </c>
      <c r="ET17" s="83">
        <v>1636.12</v>
      </c>
      <c r="EU17" s="82">
        <v>1965.3</v>
      </c>
      <c r="EV17" s="79">
        <f t="shared" si="7"/>
        <v>20.119551133168724</v>
      </c>
      <c r="EX17" s="42" t="s">
        <v>2</v>
      </c>
      <c r="EY17" s="43">
        <v>54896</v>
      </c>
      <c r="EZ17" s="58">
        <v>40708</v>
      </c>
      <c r="FA17" s="44">
        <f>(EZ17-EY17)/EY17*100</f>
        <v>-25.845234625473623</v>
      </c>
      <c r="FB17" s="57">
        <v>32842</v>
      </c>
      <c r="FC17" s="58">
        <v>40708</v>
      </c>
      <c r="FD17" s="44">
        <f>(FC17-FB17)/FB17*100</f>
        <v>23.951038304609952</v>
      </c>
      <c r="FE17" s="53"/>
      <c r="FF17" s="12" t="s">
        <v>4</v>
      </c>
      <c r="FG17" s="13">
        <v>38303</v>
      </c>
      <c r="FH17" s="14">
        <v>32838</v>
      </c>
      <c r="FI17" s="15">
        <f>(FH17-FG17)/FG17*100</f>
        <v>-14.267811920737278</v>
      </c>
      <c r="FJ17" s="16">
        <v>23638</v>
      </c>
      <c r="FK17" s="14">
        <v>32838</v>
      </c>
      <c r="FL17" s="15">
        <f>(FK17-FJ17)/FJ17*100</f>
        <v>38.920382435062187</v>
      </c>
      <c r="FN17" s="4" t="s">
        <v>4</v>
      </c>
      <c r="FO17" s="5">
        <v>40958</v>
      </c>
      <c r="FP17" s="6">
        <v>38303</v>
      </c>
      <c r="FQ17" s="7">
        <f>(FP17-FO17)/FO17*100</f>
        <v>-6.4822501098686454</v>
      </c>
      <c r="FR17" s="9">
        <v>34383</v>
      </c>
      <c r="FS17" s="6">
        <v>38303</v>
      </c>
      <c r="FT17" s="7">
        <f>(FS17-FR17)/FR17*100</f>
        <v>11.400983043946136</v>
      </c>
    </row>
    <row r="18" spans="1:176" x14ac:dyDescent="0.5">
      <c r="A18" s="250"/>
      <c r="B18" s="250" t="s">
        <v>63</v>
      </c>
      <c r="C18" s="269">
        <v>5361.5808027968496</v>
      </c>
      <c r="D18" s="269">
        <v>6147.5008058798903</v>
      </c>
      <c r="E18" s="268">
        <f t="shared" si="39"/>
        <v>14.658363493711935</v>
      </c>
      <c r="F18" s="269">
        <v>6124.8280227099995</v>
      </c>
      <c r="G18" s="269">
        <v>6147.5008058798903</v>
      </c>
      <c r="H18" s="249">
        <f>((G18-F18)/F18)*100</f>
        <v>0.37017828232602412</v>
      </c>
      <c r="I18" s="250"/>
      <c r="J18" s="250" t="s">
        <v>63</v>
      </c>
      <c r="K18" s="269">
        <v>5764.1398906156719</v>
      </c>
      <c r="L18" s="269">
        <v>6124.8280227099995</v>
      </c>
      <c r="M18" s="268">
        <f t="shared" si="41"/>
        <v>6.2574493148847266</v>
      </c>
      <c r="N18" s="269">
        <v>6334.4972631418004</v>
      </c>
      <c r="O18" s="269">
        <v>6124.8280227099995</v>
      </c>
      <c r="P18" s="249">
        <f>((O18-N18)/N18)*100</f>
        <v>-3.3099586553110085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DN18"/>
      <c r="EE18" s="116"/>
      <c r="EJ18"/>
      <c r="EM18"/>
      <c r="FA18" s="61"/>
      <c r="FD18" s="61"/>
    </row>
    <row r="19" spans="1:176" x14ac:dyDescent="0.5"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59"/>
      <c r="BN19" s="127"/>
      <c r="BO19" s="127" t="s">
        <v>424</v>
      </c>
      <c r="BP19" s="127"/>
      <c r="BQ19" s="127"/>
      <c r="BR19" s="127"/>
      <c r="BS19" s="127"/>
      <c r="BT19" s="127"/>
      <c r="BU19" s="59"/>
      <c r="BX19" t="s">
        <v>373</v>
      </c>
      <c r="CG19" t="s">
        <v>330</v>
      </c>
      <c r="CP19" t="s">
        <v>289</v>
      </c>
      <c r="CY19" s="171" t="s">
        <v>246</v>
      </c>
      <c r="DF19" s="198"/>
      <c r="DH19" t="s">
        <v>207</v>
      </c>
      <c r="DN19"/>
      <c r="DQ19" t="s">
        <v>170</v>
      </c>
      <c r="DW19" s="116"/>
      <c r="DZ19" t="s">
        <v>134</v>
      </c>
      <c r="EI19" t="s">
        <v>82</v>
      </c>
      <c r="EJ19"/>
      <c r="EM19"/>
      <c r="ES19" s="59"/>
      <c r="EV19" s="59"/>
    </row>
    <row r="20" spans="1:176" x14ac:dyDescent="0.5">
      <c r="C20" s="62" t="s">
        <v>855</v>
      </c>
      <c r="K20" s="62" t="s">
        <v>810</v>
      </c>
      <c r="Q20" s="127"/>
      <c r="R20" s="127"/>
      <c r="S20" s="127" t="s">
        <v>759</v>
      </c>
      <c r="T20" s="127"/>
      <c r="U20" s="127"/>
      <c r="V20" s="127"/>
      <c r="W20" s="127"/>
      <c r="X20" s="127"/>
      <c r="Y20" s="127"/>
      <c r="Z20" s="127"/>
      <c r="AA20" s="127" t="s">
        <v>718</v>
      </c>
      <c r="AB20" s="127"/>
      <c r="AC20" s="127"/>
      <c r="AD20" s="127"/>
      <c r="AE20" s="127"/>
      <c r="AF20" s="127"/>
      <c r="AG20" s="127"/>
      <c r="AH20" s="127"/>
      <c r="AI20" s="127" t="s">
        <v>671</v>
      </c>
      <c r="AJ20" s="127"/>
      <c r="AK20" s="127"/>
      <c r="AL20" s="127"/>
      <c r="AM20" s="127"/>
      <c r="AN20" s="127"/>
      <c r="AO20" s="127"/>
      <c r="AP20" s="127"/>
      <c r="AQ20" s="127" t="s">
        <v>625</v>
      </c>
      <c r="AR20" s="127"/>
      <c r="AS20" s="127"/>
      <c r="AT20" s="127"/>
      <c r="AU20" s="127"/>
      <c r="AV20" s="127"/>
      <c r="AW20" s="127"/>
      <c r="AX20" s="127"/>
      <c r="AY20" s="127" t="s">
        <v>626</v>
      </c>
      <c r="AZ20" s="127"/>
      <c r="BA20" s="127"/>
      <c r="BB20" s="127"/>
      <c r="BC20" s="127"/>
      <c r="BD20" s="127"/>
      <c r="BE20" s="127"/>
      <c r="BF20" s="127"/>
      <c r="BG20" s="127" t="s">
        <v>483</v>
      </c>
      <c r="BH20" s="127"/>
      <c r="BI20" s="127"/>
      <c r="BJ20" s="127"/>
      <c r="BK20" s="127"/>
      <c r="BL20" s="127"/>
      <c r="BM20" s="127"/>
      <c r="BN20" s="127"/>
      <c r="BO20" s="127" t="s">
        <v>483</v>
      </c>
      <c r="BP20" s="127"/>
      <c r="BQ20" s="127"/>
      <c r="BR20" s="127"/>
      <c r="BS20" s="127"/>
      <c r="BT20" s="127"/>
      <c r="BU20" s="59"/>
      <c r="BV20" s="312"/>
      <c r="BW20" s="312" t="s">
        <v>420</v>
      </c>
      <c r="BX20" s="312" t="s">
        <v>421</v>
      </c>
      <c r="BY20" s="312" t="s">
        <v>3</v>
      </c>
      <c r="BZ20" s="312" t="s">
        <v>376</v>
      </c>
      <c r="CA20" s="312" t="s">
        <v>422</v>
      </c>
      <c r="CB20" s="312" t="s">
        <v>3</v>
      </c>
      <c r="CC20" s="59"/>
      <c r="CD20" s="163"/>
      <c r="CE20" s="163"/>
      <c r="CF20" s="263" t="s">
        <v>377</v>
      </c>
      <c r="CG20" s="263" t="s">
        <v>375</v>
      </c>
      <c r="CH20" s="265" t="s">
        <v>3</v>
      </c>
      <c r="CI20" s="263" t="s">
        <v>328</v>
      </c>
      <c r="CJ20" s="263" t="s">
        <v>376</v>
      </c>
      <c r="CK20" s="265" t="s">
        <v>3</v>
      </c>
      <c r="CL20" s="62"/>
      <c r="CM20" s="163"/>
      <c r="CN20" s="163"/>
      <c r="CO20" s="175" t="s">
        <v>325</v>
      </c>
      <c r="CP20" s="172" t="s">
        <v>329</v>
      </c>
      <c r="CQ20" s="163" t="s">
        <v>3</v>
      </c>
      <c r="CR20" s="172" t="s">
        <v>288</v>
      </c>
      <c r="CS20" s="172" t="s">
        <v>328</v>
      </c>
      <c r="CT20" s="163" t="s">
        <v>3</v>
      </c>
      <c r="CU20" s="62"/>
      <c r="CV20" s="213"/>
      <c r="CW20" s="213"/>
      <c r="CX20" s="214" t="s">
        <v>282</v>
      </c>
      <c r="CY20" s="215" t="s">
        <v>287</v>
      </c>
      <c r="CZ20" s="213" t="s">
        <v>3</v>
      </c>
      <c r="DA20" s="215" t="s">
        <v>247</v>
      </c>
      <c r="DB20" s="215" t="s">
        <v>288</v>
      </c>
      <c r="DC20" s="213" t="s">
        <v>3</v>
      </c>
      <c r="DD20" s="62"/>
      <c r="DE20" s="163"/>
      <c r="DF20" s="163"/>
      <c r="DG20" s="172" t="s">
        <v>244</v>
      </c>
      <c r="DH20" s="175" t="s">
        <v>248</v>
      </c>
      <c r="DI20" s="163" t="s">
        <v>3</v>
      </c>
      <c r="DJ20" s="164" t="s">
        <v>208</v>
      </c>
      <c r="DK20" s="175" t="s">
        <v>247</v>
      </c>
      <c r="DL20" s="163" t="s">
        <v>3</v>
      </c>
      <c r="DM20" s="62"/>
      <c r="DN20" s="107"/>
      <c r="DO20" s="107"/>
      <c r="DP20" s="108">
        <v>19694</v>
      </c>
      <c r="DQ20" s="108" t="s">
        <v>208</v>
      </c>
      <c r="DR20" s="107" t="s">
        <v>3</v>
      </c>
      <c r="DS20" s="108" t="s">
        <v>171</v>
      </c>
      <c r="DT20" s="108" t="s">
        <v>208</v>
      </c>
      <c r="DU20" s="107" t="s">
        <v>3</v>
      </c>
      <c r="DV20" s="62"/>
      <c r="DW20" s="95"/>
      <c r="DX20" s="95"/>
      <c r="DY20" s="96">
        <v>19329</v>
      </c>
      <c r="DZ20" s="96" t="s">
        <v>171</v>
      </c>
      <c r="EA20" s="95" t="s">
        <v>3</v>
      </c>
      <c r="EB20" s="96" t="s">
        <v>132</v>
      </c>
      <c r="EC20" s="96" t="s">
        <v>171</v>
      </c>
      <c r="ED20" s="95" t="s">
        <v>3</v>
      </c>
      <c r="EE20" s="116"/>
      <c r="EF20" s="107"/>
      <c r="EG20" s="107"/>
      <c r="EH20" s="108">
        <v>18963</v>
      </c>
      <c r="EI20" s="108" t="s">
        <v>132</v>
      </c>
      <c r="EJ20" s="107" t="s">
        <v>3</v>
      </c>
      <c r="EK20" s="108" t="s">
        <v>83</v>
      </c>
      <c r="EL20" s="108" t="s">
        <v>132</v>
      </c>
      <c r="EM20" s="107" t="s">
        <v>3</v>
      </c>
      <c r="EN20" s="62"/>
      <c r="EO20" s="95"/>
      <c r="EP20" s="95"/>
      <c r="EQ20" s="96">
        <v>18598</v>
      </c>
      <c r="ER20" s="96" t="s">
        <v>83</v>
      </c>
      <c r="ES20" s="95" t="s">
        <v>3</v>
      </c>
      <c r="ET20" s="96" t="s">
        <v>84</v>
      </c>
      <c r="EU20" s="96" t="s">
        <v>83</v>
      </c>
      <c r="EV20" s="95" t="s">
        <v>3</v>
      </c>
      <c r="FA20" s="59"/>
      <c r="FD20" s="59"/>
    </row>
    <row r="21" spans="1:176" x14ac:dyDescent="0.5">
      <c r="A21" s="163"/>
      <c r="B21" s="163"/>
      <c r="C21" s="366" t="s">
        <v>854</v>
      </c>
      <c r="D21" s="366" t="s">
        <v>856</v>
      </c>
      <c r="E21" s="302" t="s">
        <v>3</v>
      </c>
      <c r="F21" s="366" t="s">
        <v>815</v>
      </c>
      <c r="G21" s="366" t="s">
        <v>856</v>
      </c>
      <c r="H21" s="302" t="s">
        <v>3</v>
      </c>
      <c r="I21" s="163"/>
      <c r="J21" s="163"/>
      <c r="K21" s="264" t="s">
        <v>807</v>
      </c>
      <c r="L21" s="302" t="s">
        <v>811</v>
      </c>
      <c r="M21" s="302" t="s">
        <v>3</v>
      </c>
      <c r="N21" s="264" t="s">
        <v>761</v>
      </c>
      <c r="O21" s="302" t="s">
        <v>811</v>
      </c>
      <c r="P21" s="302" t="s">
        <v>3</v>
      </c>
      <c r="Q21" s="312"/>
      <c r="R21" s="312"/>
      <c r="S21" s="331" t="s">
        <v>760</v>
      </c>
      <c r="T21" s="331" t="s">
        <v>761</v>
      </c>
      <c r="U21" s="331" t="s">
        <v>3</v>
      </c>
      <c r="V21" s="331" t="s">
        <v>721</v>
      </c>
      <c r="W21" s="331" t="s">
        <v>762</v>
      </c>
      <c r="X21" s="331" t="s">
        <v>3</v>
      </c>
      <c r="Y21" s="312"/>
      <c r="Z21" s="312"/>
      <c r="AA21" s="331" t="s">
        <v>719</v>
      </c>
      <c r="AB21" s="331" t="s">
        <v>720</v>
      </c>
      <c r="AC21" s="331" t="s">
        <v>3</v>
      </c>
      <c r="AD21" s="331" t="s">
        <v>669</v>
      </c>
      <c r="AE21" s="331" t="s">
        <v>721</v>
      </c>
      <c r="AF21" s="331" t="s">
        <v>3</v>
      </c>
      <c r="AG21" s="312"/>
      <c r="AH21" s="312"/>
      <c r="AI21" s="331" t="s">
        <v>667</v>
      </c>
      <c r="AJ21" s="331" t="s">
        <v>668</v>
      </c>
      <c r="AK21" s="331" t="s">
        <v>3</v>
      </c>
      <c r="AL21" s="331" t="s">
        <v>629</v>
      </c>
      <c r="AM21" s="331" t="s">
        <v>669</v>
      </c>
      <c r="AN21" s="331" t="s">
        <v>3</v>
      </c>
      <c r="AO21" s="312"/>
      <c r="AP21" s="312"/>
      <c r="AQ21" s="331" t="s">
        <v>627</v>
      </c>
      <c r="AR21" s="331" t="s">
        <v>628</v>
      </c>
      <c r="AS21" s="331" t="s">
        <v>3</v>
      </c>
      <c r="AT21" s="331" t="s">
        <v>579</v>
      </c>
      <c r="AU21" s="331" t="s">
        <v>629</v>
      </c>
      <c r="AV21" s="331" t="s">
        <v>3</v>
      </c>
      <c r="AW21" s="312"/>
      <c r="AX21" s="312"/>
      <c r="AY21" s="331" t="s">
        <v>577</v>
      </c>
      <c r="AZ21" s="331" t="s">
        <v>578</v>
      </c>
      <c r="BA21" s="331" t="s">
        <v>3</v>
      </c>
      <c r="BB21" s="331" t="s">
        <v>538</v>
      </c>
      <c r="BC21" s="331" t="s">
        <v>579</v>
      </c>
      <c r="BD21" s="331" t="s">
        <v>3</v>
      </c>
      <c r="BE21" s="312"/>
      <c r="BF21" s="312"/>
      <c r="BG21" s="331" t="s">
        <v>536</v>
      </c>
      <c r="BH21" s="331" t="s">
        <v>537</v>
      </c>
      <c r="BI21" s="331" t="s">
        <v>3</v>
      </c>
      <c r="BJ21" s="331" t="s">
        <v>482</v>
      </c>
      <c r="BK21" s="331" t="s">
        <v>538</v>
      </c>
      <c r="BL21" s="331" t="s">
        <v>3</v>
      </c>
      <c r="BM21" s="312"/>
      <c r="BN21" s="312"/>
      <c r="BO21" s="331" t="s">
        <v>479</v>
      </c>
      <c r="BP21" s="331" t="s">
        <v>480</v>
      </c>
      <c r="BQ21" s="331" t="s">
        <v>3</v>
      </c>
      <c r="BR21" s="331" t="s">
        <v>481</v>
      </c>
      <c r="BS21" s="331" t="s">
        <v>482</v>
      </c>
      <c r="BT21" s="331" t="s">
        <v>3</v>
      </c>
      <c r="BU21" s="59"/>
      <c r="BV21" s="313"/>
      <c r="BW21" s="292">
        <v>152692</v>
      </c>
      <c r="BX21" s="292">
        <v>147651</v>
      </c>
      <c r="BY21" s="314">
        <f>((BX21-BW21)/BW21)*100</f>
        <v>-3.3014172320750266</v>
      </c>
      <c r="BZ21" s="292">
        <v>167165</v>
      </c>
      <c r="CA21" s="292">
        <v>147651</v>
      </c>
      <c r="CB21" s="314">
        <f>((CA21-BZ21)/BZ21)*100</f>
        <v>-11.673496246223792</v>
      </c>
      <c r="CC21" s="59"/>
      <c r="CD21" s="165" t="s">
        <v>0</v>
      </c>
      <c r="CE21" s="165"/>
      <c r="CF21" s="291">
        <f>'ธ.ค.  '!CL22</f>
        <v>153669</v>
      </c>
      <c r="CG21" s="292">
        <v>166400</v>
      </c>
      <c r="CH21" s="293">
        <f>((CG21-CF21)/CF21)*100</f>
        <v>8.2846898203281079</v>
      </c>
      <c r="CI21" s="291">
        <f>SUM(CI22:CI24)</f>
        <v>162652</v>
      </c>
      <c r="CJ21" s="291">
        <f t="shared" ref="CJ21:CJ31" si="43">CG21</f>
        <v>166400</v>
      </c>
      <c r="CK21" s="293">
        <f t="shared" ref="CK21:CK31" si="44">((CJ21-CI21)/CI21)*100</f>
        <v>2.3043061259621767</v>
      </c>
      <c r="CL21" s="73"/>
      <c r="CM21" s="165" t="s">
        <v>0</v>
      </c>
      <c r="CN21" s="165"/>
      <c r="CO21" s="166">
        <f>SUM(CO22:CO24)</f>
        <v>158893</v>
      </c>
      <c r="CP21" s="166">
        <f>SUM(CP22:CP24)</f>
        <v>162652</v>
      </c>
      <c r="CQ21" s="167">
        <f>((CP21-CO21)/CO21)*100</f>
        <v>2.3657429842724351</v>
      </c>
      <c r="CR21" s="166">
        <f>SUM(CR22:CR24)</f>
        <v>236025</v>
      </c>
      <c r="CS21" s="166">
        <f>SUM(CS22:CS24)</f>
        <v>162652</v>
      </c>
      <c r="CT21" s="167">
        <f t="shared" ref="CT21:CT31" si="45">((CS21-CR21)/CR21)*100</f>
        <v>-31.086961126999256</v>
      </c>
      <c r="CU21" s="73"/>
      <c r="CV21" s="216" t="s">
        <v>0</v>
      </c>
      <c r="CW21" s="216"/>
      <c r="CX21" s="217">
        <f>SUM(CX22:CX24)</f>
        <v>221353</v>
      </c>
      <c r="CY21" s="217">
        <f>SUM(CY22:CY24)</f>
        <v>236025</v>
      </c>
      <c r="CZ21" s="218">
        <f>((CY21-CX21)/CX21)*100</f>
        <v>6.6283266998866068</v>
      </c>
      <c r="DA21" s="217">
        <f>SUM(DA22:DA24)</f>
        <v>140534</v>
      </c>
      <c r="DB21" s="217">
        <f>SUM(DB22:DB24)</f>
        <v>236025</v>
      </c>
      <c r="DC21" s="218">
        <f>((DB21-DA21)/DA21)*100</f>
        <v>67.948681457867849</v>
      </c>
      <c r="DD21" s="73"/>
      <c r="DE21" s="165" t="s">
        <v>0</v>
      </c>
      <c r="DF21" s="165"/>
      <c r="DG21" s="166">
        <f>SUM(DG22:DG24)</f>
        <v>99426</v>
      </c>
      <c r="DH21" s="166">
        <f>SUM(DH22:DH24)</f>
        <v>140404</v>
      </c>
      <c r="DI21" s="167">
        <f>((DH21-DG21)/DG21)*100</f>
        <v>41.214571641220601</v>
      </c>
      <c r="DJ21" s="166">
        <f>SUM(DJ22:DJ24)</f>
        <v>146231</v>
      </c>
      <c r="DK21" s="166">
        <f>SUM(DK22:DK24)</f>
        <v>140404</v>
      </c>
      <c r="DL21" s="167">
        <f>((DK21-DJ21)/DJ21)*100</f>
        <v>-3.9847911865473122</v>
      </c>
      <c r="DM21" s="73"/>
      <c r="DN21" s="135" t="s">
        <v>0</v>
      </c>
      <c r="DO21" s="135"/>
      <c r="DP21" s="136">
        <v>137403</v>
      </c>
      <c r="DQ21" s="136">
        <f>SUM(DQ22:DQ24)</f>
        <v>146234</v>
      </c>
      <c r="DR21" s="137">
        <f>((DQ21-DP21)/DP21)*100</f>
        <v>6.4270794669694249</v>
      </c>
      <c r="DS21" s="136">
        <f>SUM(DS22:DS24)</f>
        <v>103849</v>
      </c>
      <c r="DT21" s="136">
        <v>146234</v>
      </c>
      <c r="DU21" s="137">
        <f>((DT21-DS21)/DS21)*100</f>
        <v>40.814066577434545</v>
      </c>
      <c r="DV21" s="73"/>
      <c r="DW21" s="86" t="s">
        <v>0</v>
      </c>
      <c r="DX21" s="86"/>
      <c r="DY21" s="87">
        <v>111722</v>
      </c>
      <c r="DZ21" s="87">
        <f>SUM(DZ22:DZ24)</f>
        <v>103849</v>
      </c>
      <c r="EA21" s="88">
        <f>((DZ21-DY21)/DY21)*100</f>
        <v>-7.0469558368092224</v>
      </c>
      <c r="EB21" s="87">
        <v>72456</v>
      </c>
      <c r="EC21" s="87">
        <f>SUM(EC22:EC24)</f>
        <v>103849</v>
      </c>
      <c r="ED21" s="88">
        <f>((EC21-EB21)/EB21)*100</f>
        <v>43.326984652754774</v>
      </c>
      <c r="EE21" s="117"/>
      <c r="EF21" s="63" t="s">
        <v>0</v>
      </c>
      <c r="EG21" s="63"/>
      <c r="EH21" s="68">
        <f>SUM(EH22:EH24)</f>
        <v>84602</v>
      </c>
      <c r="EI21" s="68">
        <f>SUM(EI22:EI24)</f>
        <v>72456</v>
      </c>
      <c r="EJ21" s="65">
        <f>((EI21-EH21)/EH21)*100</f>
        <v>-14.356634594926835</v>
      </c>
      <c r="EK21" s="68">
        <f>SUM(EK22:EK24)</f>
        <v>108129</v>
      </c>
      <c r="EL21" s="68">
        <v>72456</v>
      </c>
      <c r="EM21" s="65">
        <f>((EL21-EK21)/EK21)*100</f>
        <v>-32.991149460366785</v>
      </c>
      <c r="EN21" s="73"/>
      <c r="EO21" s="86" t="s">
        <v>0</v>
      </c>
      <c r="EP21" s="86"/>
      <c r="EQ21" s="87">
        <f>SUM(EQ22:EQ24)</f>
        <v>105024</v>
      </c>
      <c r="ER21" s="87">
        <f>SUM(ER22:ER24)</f>
        <v>108129</v>
      </c>
      <c r="ES21" s="88">
        <f t="shared" ref="ES21:ES31" si="46">(ER21-EQ21)/EQ21*100</f>
        <v>2.9564670932358315</v>
      </c>
      <c r="ET21" s="87">
        <f>SUM(ET22:ET24)</f>
        <v>86458</v>
      </c>
      <c r="EU21" s="87">
        <f>SUM(EU22:EU24)</f>
        <v>108129</v>
      </c>
      <c r="EV21" s="88">
        <f t="shared" ref="EV21:EV31" si="47">(EU21-ET21)/ET21*100</f>
        <v>25.065349649540821</v>
      </c>
      <c r="FA21" s="59"/>
      <c r="FD21" s="59"/>
    </row>
    <row r="22" spans="1:176" x14ac:dyDescent="0.5">
      <c r="A22" s="165" t="s">
        <v>0</v>
      </c>
      <c r="B22" s="165"/>
      <c r="C22" s="292">
        <v>104878</v>
      </c>
      <c r="D22" s="292">
        <v>107103</v>
      </c>
      <c r="E22" s="167">
        <f>((D22-C22)/C22)*100</f>
        <v>2.1215126146570302</v>
      </c>
      <c r="F22" s="292">
        <v>142102</v>
      </c>
      <c r="G22" s="292">
        <v>107103</v>
      </c>
      <c r="H22" s="167">
        <f t="shared" ref="H22:H32" si="48">((G22-F22)/F22)*100</f>
        <v>-24.629491492026855</v>
      </c>
      <c r="I22" s="165" t="s">
        <v>0</v>
      </c>
      <c r="J22" s="165"/>
      <c r="K22" s="292">
        <v>133621</v>
      </c>
      <c r="L22" s="292">
        <v>142102</v>
      </c>
      <c r="M22" s="167">
        <f>((L22-K22)/K22)*100</f>
        <v>6.3470562261919907</v>
      </c>
      <c r="N22" s="292">
        <v>162327</v>
      </c>
      <c r="O22" s="292">
        <v>142102</v>
      </c>
      <c r="P22" s="167">
        <f t="shared" ref="P22:P32" si="49">((O22-N22)/N22)*100</f>
        <v>-12.459418334596215</v>
      </c>
      <c r="Q22" s="313" t="s">
        <v>0</v>
      </c>
      <c r="R22" s="313"/>
      <c r="S22" s="292">
        <v>158606</v>
      </c>
      <c r="T22" s="292">
        <v>162327</v>
      </c>
      <c r="U22" s="314">
        <f>((T22-S22)/S22)*100</f>
        <v>2.3460650921150523</v>
      </c>
      <c r="V22" s="292">
        <v>151747</v>
      </c>
      <c r="W22" s="292">
        <v>162327</v>
      </c>
      <c r="X22" s="314">
        <f>((W22-V22)/V22)*100</f>
        <v>6.9721312447692547</v>
      </c>
      <c r="Y22" s="313" t="s">
        <v>0</v>
      </c>
      <c r="Z22" s="313"/>
      <c r="AA22" s="292">
        <v>154368</v>
      </c>
      <c r="AB22" s="292">
        <v>151747</v>
      </c>
      <c r="AC22" s="314">
        <f>((AB22-AA22)/AA22)*100</f>
        <v>-1.6978907545605306</v>
      </c>
      <c r="AD22" s="292">
        <v>148118</v>
      </c>
      <c r="AE22" s="292">
        <v>151747</v>
      </c>
      <c r="AF22" s="314">
        <f>((AE22-AD22)/AD22)*100</f>
        <v>2.4500735899755597</v>
      </c>
      <c r="AG22" s="313" t="s">
        <v>0</v>
      </c>
      <c r="AH22" s="313"/>
      <c r="AI22" s="292">
        <v>143073</v>
      </c>
      <c r="AJ22" s="292">
        <v>148118</v>
      </c>
      <c r="AK22" s="314">
        <f>((AJ22-AI22)/AI22)*100</f>
        <v>3.5261719541772383</v>
      </c>
      <c r="AL22" s="292">
        <v>156266</v>
      </c>
      <c r="AM22" s="292">
        <v>148118</v>
      </c>
      <c r="AN22" s="314">
        <f>((AM22-AL22)/AL22)*100</f>
        <v>-5.214186067346704</v>
      </c>
      <c r="AO22" s="313" t="s">
        <v>0</v>
      </c>
      <c r="AP22" s="313"/>
      <c r="AQ22" s="292">
        <v>134208</v>
      </c>
      <c r="AR22" s="292">
        <v>156266</v>
      </c>
      <c r="AS22" s="314">
        <f>((AR22-AQ22)/AQ22)*100</f>
        <v>16.435681926561756</v>
      </c>
      <c r="AT22" s="292">
        <v>179595</v>
      </c>
      <c r="AU22" s="292">
        <v>156266</v>
      </c>
      <c r="AV22" s="314">
        <f>((AU22-AT22)/AT22)*100</f>
        <v>-12.989782566329797</v>
      </c>
      <c r="AW22" s="313" t="s">
        <v>0</v>
      </c>
      <c r="AX22" s="313"/>
      <c r="AY22" s="292">
        <v>169355</v>
      </c>
      <c r="AZ22" s="292">
        <v>179595</v>
      </c>
      <c r="BA22" s="314">
        <f>((AZ22-AY22)/AY22)*100</f>
        <v>6.0464704319329217</v>
      </c>
      <c r="BB22" s="292">
        <v>166196</v>
      </c>
      <c r="BC22" s="292">
        <v>179595</v>
      </c>
      <c r="BD22" s="314">
        <f>((BC22-BB22)/BB22)*100</f>
        <v>8.0621675611928083</v>
      </c>
      <c r="BE22" s="313" t="s">
        <v>0</v>
      </c>
      <c r="BF22" s="313"/>
      <c r="BG22" s="292">
        <v>157207</v>
      </c>
      <c r="BH22" s="292">
        <v>166196</v>
      </c>
      <c r="BI22" s="314">
        <f>((BH22-BG22)/BG22)*100</f>
        <v>5.717938768629895</v>
      </c>
      <c r="BJ22" s="292">
        <v>152261</v>
      </c>
      <c r="BK22" s="292">
        <v>166196</v>
      </c>
      <c r="BL22" s="314">
        <f>((BK22-BJ22)/BJ22)*100</f>
        <v>9.1520481278856707</v>
      </c>
      <c r="BM22" s="313" t="s">
        <v>0</v>
      </c>
      <c r="BN22" s="313"/>
      <c r="BO22" s="292">
        <v>135792</v>
      </c>
      <c r="BP22" s="292">
        <v>152261</v>
      </c>
      <c r="BQ22" s="314">
        <f>((BP22-BO22)/BO22)*100</f>
        <v>12.12810769412042</v>
      </c>
      <c r="BR22" s="292">
        <v>147651</v>
      </c>
      <c r="BS22" s="292">
        <v>152261</v>
      </c>
      <c r="BT22" s="314">
        <f>((BS22-BR22)/BR22)*100</f>
        <v>3.1222274146467006</v>
      </c>
      <c r="BU22" s="59"/>
      <c r="BV22" s="313" t="s">
        <v>51</v>
      </c>
      <c r="BW22" s="315">
        <v>56735</v>
      </c>
      <c r="BX22" s="315">
        <v>57120</v>
      </c>
      <c r="BY22" s="314">
        <f t="shared" ref="BY22:BY31" si="50">((BX22-BW22)/BW22)*100</f>
        <v>0.67859346082665017</v>
      </c>
      <c r="BZ22" s="315">
        <v>65890</v>
      </c>
      <c r="CA22" s="315">
        <v>57120</v>
      </c>
      <c r="CB22" s="314">
        <f t="shared" ref="CB22:CB31" si="51">((CA22-BZ22)/BZ22)*100</f>
        <v>-13.310062224920321</v>
      </c>
      <c r="CC22" s="59"/>
      <c r="CD22" s="168"/>
      <c r="CE22" s="168" t="s">
        <v>51</v>
      </c>
      <c r="CF22" s="294">
        <f>'ธ.ค.  '!CL23</f>
        <v>63533</v>
      </c>
      <c r="CG22" s="277">
        <v>65890</v>
      </c>
      <c r="CH22" s="293">
        <f t="shared" ref="CH22:CH31" si="52">((CG22-CF22)/CF22)*100</f>
        <v>3.7098830529016413</v>
      </c>
      <c r="CI22" s="294">
        <v>65304</v>
      </c>
      <c r="CJ22" s="294">
        <f t="shared" si="43"/>
        <v>65890</v>
      </c>
      <c r="CK22" s="293">
        <f t="shared" si="44"/>
        <v>0.89734166360406709</v>
      </c>
      <c r="CL22" s="73"/>
      <c r="CM22" s="168"/>
      <c r="CN22" s="168" t="s">
        <v>51</v>
      </c>
      <c r="CO22" s="169">
        <v>64717</v>
      </c>
      <c r="CP22" s="169">
        <v>65304</v>
      </c>
      <c r="CQ22" s="167">
        <f t="shared" ref="CQ22:CQ31" si="53">((CP22-CO22)/CO22)*100</f>
        <v>0.90702597462799572</v>
      </c>
      <c r="CR22" s="169">
        <v>104120</v>
      </c>
      <c r="CS22" s="169">
        <v>65304</v>
      </c>
      <c r="CT22" s="167">
        <f t="shared" si="45"/>
        <v>-37.280061467537458</v>
      </c>
      <c r="CU22" s="73"/>
      <c r="CV22" s="219"/>
      <c r="CW22" s="219" t="s">
        <v>51</v>
      </c>
      <c r="CX22" s="220">
        <v>97713</v>
      </c>
      <c r="CY22" s="220">
        <v>104120</v>
      </c>
      <c r="CZ22" s="218">
        <f t="shared" ref="CZ22:CZ31" si="54">((CY22-CX22)/CX22)*100</f>
        <v>6.5569576207874087</v>
      </c>
      <c r="DA22" s="220">
        <v>40278</v>
      </c>
      <c r="DB22" s="220">
        <v>104120</v>
      </c>
      <c r="DC22" s="218">
        <f t="shared" ref="DC22:DC31" si="55">((DB22-DA22)/DA22)*100</f>
        <v>158.50340136054422</v>
      </c>
      <c r="DD22" s="73"/>
      <c r="DE22" s="168"/>
      <c r="DF22" s="168" t="s">
        <v>51</v>
      </c>
      <c r="DG22" s="169">
        <v>34036</v>
      </c>
      <c r="DH22" s="169">
        <f>9972+16798+8516+3003+1857+98+34</f>
        <v>40278</v>
      </c>
      <c r="DI22" s="167">
        <f t="shared" ref="DI22:DI31" si="56">((DH22-DG22)/DG22)*100</f>
        <v>18.33940533552709</v>
      </c>
      <c r="DJ22" s="169">
        <f>10017+23362+15320+4714+2958+81+213</f>
        <v>56665</v>
      </c>
      <c r="DK22" s="169">
        <f>9972+16798+8516+3003+1857+98+34</f>
        <v>40278</v>
      </c>
      <c r="DL22" s="167">
        <f t="shared" ref="DL22:DL31" si="57">((DK22-DJ22)/DJ22)*100</f>
        <v>-28.919085855466335</v>
      </c>
      <c r="DM22" s="73"/>
      <c r="DN22" s="138"/>
      <c r="DO22" s="138" t="s">
        <v>51</v>
      </c>
      <c r="DP22" s="139">
        <v>50580</v>
      </c>
      <c r="DQ22" s="139">
        <f>10017+23362+15320+4714+2958+81+213</f>
        <v>56665</v>
      </c>
      <c r="DR22" s="137">
        <f t="shared" ref="DR22:DR31" si="58">((DQ22-DP22)/DP22)*100</f>
        <v>12.030446816923686</v>
      </c>
      <c r="DS22" s="139">
        <v>32672</v>
      </c>
      <c r="DT22" s="139">
        <v>56665</v>
      </c>
      <c r="DU22" s="137">
        <f t="shared" ref="DU22:DU31" si="59">((DT22-DS22)/DS22)*100</f>
        <v>73.435969637610185</v>
      </c>
      <c r="DV22" s="73"/>
      <c r="DW22" s="89"/>
      <c r="DX22" s="89" t="s">
        <v>51</v>
      </c>
      <c r="DY22" s="90">
        <v>33635</v>
      </c>
      <c r="DZ22" s="90">
        <v>32672</v>
      </c>
      <c r="EA22" s="88">
        <f t="shared" ref="EA22:EA31" si="60">((DZ22-DY22)/DY22)*100</f>
        <v>-2.8630890441504384</v>
      </c>
      <c r="EB22" s="90">
        <v>19115</v>
      </c>
      <c r="EC22" s="90">
        <v>32672</v>
      </c>
      <c r="ED22" s="88">
        <f t="shared" ref="ED22:ED31" si="61">((EC22-EB22)/EB22)*100</f>
        <v>70.923358618885686</v>
      </c>
      <c r="EE22" s="117"/>
      <c r="EF22" s="42"/>
      <c r="EG22" s="42" t="s">
        <v>51</v>
      </c>
      <c r="EH22" s="43">
        <v>24693</v>
      </c>
      <c r="EI22" s="43">
        <v>19115</v>
      </c>
      <c r="EJ22" s="65">
        <f t="shared" ref="EJ22:EJ31" si="62">((EI22-EH22)/EH22)*100</f>
        <v>-22.589397805045962</v>
      </c>
      <c r="EK22" s="43">
        <v>28048</v>
      </c>
      <c r="EL22" s="43">
        <v>19115</v>
      </c>
      <c r="EM22" s="65">
        <f t="shared" ref="EM22:EM31" si="63">((EL22-EK22)/EK22)*100</f>
        <v>-31.848973188819169</v>
      </c>
      <c r="EN22" s="61"/>
      <c r="EO22" s="89"/>
      <c r="EP22" s="89" t="s">
        <v>51</v>
      </c>
      <c r="EQ22" s="90">
        <v>24861</v>
      </c>
      <c r="ER22" s="90">
        <v>28048</v>
      </c>
      <c r="ES22" s="91">
        <f t="shared" si="46"/>
        <v>12.819275169944893</v>
      </c>
      <c r="ET22" s="92">
        <v>21843</v>
      </c>
      <c r="EU22" s="90">
        <v>28048</v>
      </c>
      <c r="EV22" s="91">
        <f t="shared" si="47"/>
        <v>28.407270063635949</v>
      </c>
      <c r="FA22" s="59"/>
      <c r="FD22" s="59"/>
    </row>
    <row r="23" spans="1:176" x14ac:dyDescent="0.5">
      <c r="A23" s="168"/>
      <c r="B23" s="168" t="s">
        <v>51</v>
      </c>
      <c r="C23" s="272">
        <v>37893</v>
      </c>
      <c r="D23" s="272">
        <v>34886</v>
      </c>
      <c r="E23" s="167">
        <f>((D23-C23)/C23)*100</f>
        <v>-7.9355025994246962</v>
      </c>
      <c r="F23" s="272">
        <v>51854</v>
      </c>
      <c r="G23" s="272">
        <v>34886</v>
      </c>
      <c r="H23" s="167">
        <f t="shared" si="48"/>
        <v>-32.722644347591313</v>
      </c>
      <c r="I23" s="168"/>
      <c r="J23" s="168" t="s">
        <v>51</v>
      </c>
      <c r="K23" s="272">
        <v>49422</v>
      </c>
      <c r="L23" s="272">
        <v>51854</v>
      </c>
      <c r="M23" s="167">
        <f>((L23-K23)/K23)*100</f>
        <v>4.9208854356359515</v>
      </c>
      <c r="N23" s="272">
        <v>55918</v>
      </c>
      <c r="O23" s="272">
        <v>51854</v>
      </c>
      <c r="P23" s="167">
        <f t="shared" si="49"/>
        <v>-7.2677849708501734</v>
      </c>
      <c r="Q23" s="313"/>
      <c r="R23" s="313" t="s">
        <v>51</v>
      </c>
      <c r="S23" s="272">
        <v>53731</v>
      </c>
      <c r="T23" s="315">
        <v>55918</v>
      </c>
      <c r="U23" s="314">
        <f t="shared" ref="U23:U32" si="64">((T23-S23)/S23)*100</f>
        <v>4.0702760045411406</v>
      </c>
      <c r="V23" s="315">
        <v>44829</v>
      </c>
      <c r="W23" s="315">
        <v>55918</v>
      </c>
      <c r="X23" s="314">
        <f t="shared" ref="X23:X32" si="65">((W23-V23)/V23)*100</f>
        <v>24.736219857681412</v>
      </c>
      <c r="Y23" s="313"/>
      <c r="Z23" s="313" t="s">
        <v>51</v>
      </c>
      <c r="AA23" s="272">
        <v>49868</v>
      </c>
      <c r="AB23" s="315">
        <v>44829</v>
      </c>
      <c r="AC23" s="314">
        <f t="shared" ref="AC23:AC32" si="66">((AB23-AA23)/AA23)*100</f>
        <v>-10.104676345552258</v>
      </c>
      <c r="AD23" s="315">
        <v>53153</v>
      </c>
      <c r="AE23" s="315">
        <v>44829</v>
      </c>
      <c r="AF23" s="314">
        <f t="shared" ref="AF23:AF32" si="67">((AE23-AD23)/AD23)*100</f>
        <v>-15.660451902997007</v>
      </c>
      <c r="AG23" s="313"/>
      <c r="AH23" s="313" t="s">
        <v>51</v>
      </c>
      <c r="AI23" s="272">
        <v>53737</v>
      </c>
      <c r="AJ23" s="315">
        <v>53153</v>
      </c>
      <c r="AK23" s="314">
        <f t="shared" ref="AK23:AK32" si="68">((AJ23-AI23)/AI23)*100</f>
        <v>-1.0867744756871429</v>
      </c>
      <c r="AL23" s="315">
        <v>58906</v>
      </c>
      <c r="AM23" s="315">
        <v>53153</v>
      </c>
      <c r="AN23" s="314">
        <f t="shared" ref="AN23:AN32" si="69">((AM23-AL23)/AL23)*100</f>
        <v>-9.7664074966896415</v>
      </c>
      <c r="AO23" s="313"/>
      <c r="AP23" s="313" t="s">
        <v>51</v>
      </c>
      <c r="AQ23" s="272">
        <v>51379</v>
      </c>
      <c r="AR23" s="315">
        <v>58906</v>
      </c>
      <c r="AS23" s="314">
        <f t="shared" ref="AS23:AS32" si="70">((AR23-AQ23)/AQ23)*100</f>
        <v>14.649954261468693</v>
      </c>
      <c r="AT23" s="315">
        <v>72756</v>
      </c>
      <c r="AU23" s="315">
        <v>58906</v>
      </c>
      <c r="AV23" s="314">
        <f t="shared" ref="AV23:AV32" si="71">((AU23-AT23)/AT23)*100</f>
        <v>-19.036230688877893</v>
      </c>
      <c r="AW23" s="313"/>
      <c r="AX23" s="313" t="s">
        <v>51</v>
      </c>
      <c r="AY23" s="272">
        <v>66484</v>
      </c>
      <c r="AZ23" s="315">
        <v>72756</v>
      </c>
      <c r="BA23" s="314">
        <f t="shared" ref="BA23:BA32" si="72">((AZ23-AY23)/AY23)*100</f>
        <v>9.4338487455628428</v>
      </c>
      <c r="BB23" s="315">
        <v>67734</v>
      </c>
      <c r="BC23" s="315">
        <v>72756</v>
      </c>
      <c r="BD23" s="314">
        <f t="shared" ref="BD23:BD32" si="73">((BC23-BB23)/BB23)*100</f>
        <v>7.4142971033749667</v>
      </c>
      <c r="BE23" s="313"/>
      <c r="BF23" s="313" t="s">
        <v>51</v>
      </c>
      <c r="BG23" s="315">
        <v>64307</v>
      </c>
      <c r="BH23" s="315">
        <v>67734</v>
      </c>
      <c r="BI23" s="314">
        <f t="shared" ref="BI23:BI32" si="74">((BH23-BG23)/BG23)*100</f>
        <v>5.3291243566019251</v>
      </c>
      <c r="BJ23" s="315">
        <v>64615</v>
      </c>
      <c r="BK23" s="315">
        <v>67734</v>
      </c>
      <c r="BL23" s="314">
        <f t="shared" ref="BL23:BL32" si="75">((BK23-BJ23)/BJ23)*100</f>
        <v>4.827052541979417</v>
      </c>
      <c r="BM23" s="313"/>
      <c r="BN23" s="313" t="s">
        <v>51</v>
      </c>
      <c r="BO23" s="315">
        <v>55918</v>
      </c>
      <c r="BP23" s="315">
        <v>64615</v>
      </c>
      <c r="BQ23" s="314">
        <f t="shared" ref="BQ23:BQ32" si="76">((BP23-BO23)/BO23)*100</f>
        <v>15.553131370936013</v>
      </c>
      <c r="BR23" s="315">
        <v>57120</v>
      </c>
      <c r="BS23" s="315">
        <v>64615</v>
      </c>
      <c r="BT23" s="314">
        <f t="shared" ref="BT23:BT32" si="77">((BS23-BR23)/BR23)*100</f>
        <v>13.121498599439777</v>
      </c>
      <c r="BU23" s="59"/>
      <c r="BV23" s="313" t="s">
        <v>52</v>
      </c>
      <c r="BW23" s="315">
        <v>93444</v>
      </c>
      <c r="BX23" s="315">
        <v>88621</v>
      </c>
      <c r="BY23" s="314">
        <f t="shared" si="50"/>
        <v>-5.1613800779076238</v>
      </c>
      <c r="BZ23" s="315">
        <v>97900</v>
      </c>
      <c r="CA23" s="315">
        <v>88621</v>
      </c>
      <c r="CB23" s="314">
        <f t="shared" si="51"/>
        <v>-9.4780388151174666</v>
      </c>
      <c r="CC23" s="59"/>
      <c r="CD23" s="168"/>
      <c r="CE23" s="168" t="s">
        <v>52</v>
      </c>
      <c r="CF23" s="294">
        <f>'ธ.ค.  '!CL24</f>
        <v>87343</v>
      </c>
      <c r="CG23" s="277">
        <f>8587+32411+56902</f>
        <v>97900</v>
      </c>
      <c r="CH23" s="293">
        <f t="shared" si="52"/>
        <v>12.086830083693027</v>
      </c>
      <c r="CI23" s="294">
        <f>10752+32699+51821</f>
        <v>95272</v>
      </c>
      <c r="CJ23" s="294">
        <f t="shared" si="43"/>
        <v>97900</v>
      </c>
      <c r="CK23" s="293">
        <f t="shared" si="44"/>
        <v>2.7584180031908643</v>
      </c>
      <c r="CL23" s="73"/>
      <c r="CM23" s="168"/>
      <c r="CN23" s="168" t="s">
        <v>52</v>
      </c>
      <c r="CO23" s="169">
        <v>91737</v>
      </c>
      <c r="CP23" s="169">
        <f>10752+32699+51821</f>
        <v>95272</v>
      </c>
      <c r="CQ23" s="167">
        <f t="shared" si="53"/>
        <v>3.8534070222483843</v>
      </c>
      <c r="CR23" s="169">
        <v>127689</v>
      </c>
      <c r="CS23" s="169">
        <f>10752+32699+51821</f>
        <v>95272</v>
      </c>
      <c r="CT23" s="167">
        <f t="shared" si="45"/>
        <v>-25.387464856017356</v>
      </c>
      <c r="CU23" s="73"/>
      <c r="CV23" s="219"/>
      <c r="CW23" s="219" t="s">
        <v>52</v>
      </c>
      <c r="CX23" s="220">
        <v>119319</v>
      </c>
      <c r="CY23" s="220">
        <v>127689</v>
      </c>
      <c r="CZ23" s="218">
        <f t="shared" si="54"/>
        <v>7.0148090413094302</v>
      </c>
      <c r="DA23" s="220">
        <v>97175</v>
      </c>
      <c r="DB23" s="220">
        <v>127689</v>
      </c>
      <c r="DC23" s="218">
        <f t="shared" si="55"/>
        <v>31.401080524826348</v>
      </c>
      <c r="DD23" s="73"/>
      <c r="DE23" s="168"/>
      <c r="DF23" s="168" t="s">
        <v>52</v>
      </c>
      <c r="DG23" s="169">
        <v>63170</v>
      </c>
      <c r="DH23" s="169">
        <f>10167+34498+52510</f>
        <v>97175</v>
      </c>
      <c r="DI23" s="167">
        <f t="shared" si="56"/>
        <v>53.830932404622445</v>
      </c>
      <c r="DJ23" s="169">
        <f>7996+32422+46732</f>
        <v>87150</v>
      </c>
      <c r="DK23" s="169">
        <f>10167+34498+52510</f>
        <v>97175</v>
      </c>
      <c r="DL23" s="167">
        <f t="shared" si="57"/>
        <v>11.503155479059094</v>
      </c>
      <c r="DM23" s="73"/>
      <c r="DN23" s="138"/>
      <c r="DO23" s="138" t="s">
        <v>52</v>
      </c>
      <c r="DP23" s="139">
        <v>84535</v>
      </c>
      <c r="DQ23" s="139">
        <f>7996+32422+46732</f>
        <v>87150</v>
      </c>
      <c r="DR23" s="137">
        <f t="shared" si="58"/>
        <v>3.0933932690601527</v>
      </c>
      <c r="DS23" s="139">
        <v>69586</v>
      </c>
      <c r="DT23" s="139">
        <v>87150</v>
      </c>
      <c r="DU23" s="137">
        <f t="shared" si="59"/>
        <v>25.240709338085249</v>
      </c>
      <c r="DV23" s="73"/>
      <c r="DW23" s="89"/>
      <c r="DX23" s="89" t="s">
        <v>52</v>
      </c>
      <c r="DY23" s="90">
        <v>76473</v>
      </c>
      <c r="DZ23" s="90">
        <v>69586</v>
      </c>
      <c r="EA23" s="88">
        <f t="shared" si="60"/>
        <v>-9.0057928942241059</v>
      </c>
      <c r="EB23" s="90">
        <v>52180</v>
      </c>
      <c r="EC23" s="90">
        <v>69586</v>
      </c>
      <c r="ED23" s="88">
        <f t="shared" si="61"/>
        <v>33.35760827903411</v>
      </c>
      <c r="EE23" s="117"/>
      <c r="EF23" s="42"/>
      <c r="EG23" s="42" t="s">
        <v>52</v>
      </c>
      <c r="EH23" s="43">
        <v>58841</v>
      </c>
      <c r="EI23" s="43">
        <v>52180</v>
      </c>
      <c r="EJ23" s="65">
        <f t="shared" si="62"/>
        <v>-11.320337859655682</v>
      </c>
      <c r="EK23" s="43">
        <v>78349</v>
      </c>
      <c r="EL23" s="43">
        <v>52180</v>
      </c>
      <c r="EM23" s="65">
        <f t="shared" si="63"/>
        <v>-33.400553931766837</v>
      </c>
      <c r="EN23" s="61"/>
      <c r="EO23" s="89"/>
      <c r="EP23" s="89" t="s">
        <v>52</v>
      </c>
      <c r="EQ23" s="90">
        <v>78268</v>
      </c>
      <c r="ER23" s="90">
        <v>78349</v>
      </c>
      <c r="ES23" s="91">
        <f t="shared" si="46"/>
        <v>0.10349057085909952</v>
      </c>
      <c r="ET23" s="92">
        <v>62971</v>
      </c>
      <c r="EU23" s="90">
        <v>78349</v>
      </c>
      <c r="EV23" s="91">
        <f t="shared" si="47"/>
        <v>24.420765114100142</v>
      </c>
      <c r="FA23" s="59"/>
      <c r="FD23" s="59"/>
    </row>
    <row r="24" spans="1:176" x14ac:dyDescent="0.5">
      <c r="A24" s="168"/>
      <c r="B24" s="168" t="s">
        <v>52</v>
      </c>
      <c r="C24" s="272">
        <v>65168</v>
      </c>
      <c r="D24" s="272">
        <v>70604</v>
      </c>
      <c r="E24" s="167">
        <f>((D24-C24)/C24)*100</f>
        <v>8.3415173091087649</v>
      </c>
      <c r="F24" s="272">
        <v>86788</v>
      </c>
      <c r="G24" s="272">
        <v>70604</v>
      </c>
      <c r="H24" s="167">
        <f t="shared" si="48"/>
        <v>-18.647739318799832</v>
      </c>
      <c r="I24" s="168"/>
      <c r="J24" s="168" t="s">
        <v>52</v>
      </c>
      <c r="K24" s="272">
        <v>80489</v>
      </c>
      <c r="L24" s="272">
        <v>86788</v>
      </c>
      <c r="M24" s="167">
        <f>((L24-K24)/K24)*100</f>
        <v>7.8259141000633621</v>
      </c>
      <c r="N24" s="272">
        <v>103348</v>
      </c>
      <c r="O24" s="272">
        <v>86788</v>
      </c>
      <c r="P24" s="167">
        <f t="shared" si="49"/>
        <v>-16.023532143824749</v>
      </c>
      <c r="Q24" s="313"/>
      <c r="R24" s="313" t="s">
        <v>52</v>
      </c>
      <c r="S24" s="272">
        <v>102362</v>
      </c>
      <c r="T24" s="315">
        <v>103348</v>
      </c>
      <c r="U24" s="314">
        <f t="shared" si="64"/>
        <v>0.96324808034231446</v>
      </c>
      <c r="V24" s="315">
        <v>103308</v>
      </c>
      <c r="W24" s="315">
        <v>103348</v>
      </c>
      <c r="X24" s="314">
        <f t="shared" si="65"/>
        <v>3.871916986099818E-2</v>
      </c>
      <c r="Y24" s="313"/>
      <c r="Z24" s="313" t="s">
        <v>52</v>
      </c>
      <c r="AA24" s="272">
        <v>100662</v>
      </c>
      <c r="AB24" s="315">
        <v>103308</v>
      </c>
      <c r="AC24" s="314">
        <f t="shared" si="66"/>
        <v>2.6285986767598502</v>
      </c>
      <c r="AD24" s="315">
        <v>92339</v>
      </c>
      <c r="AE24" s="315">
        <v>103308</v>
      </c>
      <c r="AF24" s="314">
        <f t="shared" si="67"/>
        <v>11.879054354064914</v>
      </c>
      <c r="AG24" s="313"/>
      <c r="AH24" s="313" t="s">
        <v>52</v>
      </c>
      <c r="AI24" s="272">
        <v>86423</v>
      </c>
      <c r="AJ24" s="315">
        <v>92339</v>
      </c>
      <c r="AK24" s="314">
        <f t="shared" si="68"/>
        <v>6.8453999514018262</v>
      </c>
      <c r="AL24" s="315">
        <v>94587</v>
      </c>
      <c r="AM24" s="315">
        <v>92339</v>
      </c>
      <c r="AN24" s="314">
        <f t="shared" si="69"/>
        <v>-2.3766479537357141</v>
      </c>
      <c r="AO24" s="313"/>
      <c r="AP24" s="313" t="s">
        <v>52</v>
      </c>
      <c r="AQ24" s="272">
        <v>80032</v>
      </c>
      <c r="AR24" s="315">
        <v>94587</v>
      </c>
      <c r="AS24" s="314">
        <f t="shared" si="70"/>
        <v>18.186475409836063</v>
      </c>
      <c r="AT24" s="315">
        <v>103670</v>
      </c>
      <c r="AU24" s="315">
        <v>94587</v>
      </c>
      <c r="AV24" s="314">
        <f t="shared" si="71"/>
        <v>-8.7614546156072155</v>
      </c>
      <c r="AW24" s="313"/>
      <c r="AX24" s="313" t="s">
        <v>52</v>
      </c>
      <c r="AY24" s="272">
        <v>99295</v>
      </c>
      <c r="AZ24" s="315">
        <v>103670</v>
      </c>
      <c r="BA24" s="314">
        <f t="shared" si="72"/>
        <v>4.4060627423334511</v>
      </c>
      <c r="BB24" s="315">
        <v>95587</v>
      </c>
      <c r="BC24" s="315">
        <v>103670</v>
      </c>
      <c r="BD24" s="314">
        <f t="shared" si="73"/>
        <v>8.4561708182074966</v>
      </c>
      <c r="BE24" s="313"/>
      <c r="BF24" s="313" t="s">
        <v>52</v>
      </c>
      <c r="BG24" s="315">
        <v>89828</v>
      </c>
      <c r="BH24" s="315">
        <v>95587</v>
      </c>
      <c r="BI24" s="314">
        <f t="shared" si="74"/>
        <v>6.4111412922474065</v>
      </c>
      <c r="BJ24" s="315">
        <v>84777</v>
      </c>
      <c r="BK24" s="315">
        <v>95587</v>
      </c>
      <c r="BL24" s="314">
        <f t="shared" si="75"/>
        <v>12.751099944560435</v>
      </c>
      <c r="BM24" s="313"/>
      <c r="BN24" s="313" t="s">
        <v>52</v>
      </c>
      <c r="BO24" s="315">
        <v>76619</v>
      </c>
      <c r="BP24" s="315">
        <v>84777</v>
      </c>
      <c r="BQ24" s="314">
        <f t="shared" si="76"/>
        <v>10.64748952609666</v>
      </c>
      <c r="BR24" s="315">
        <v>88621</v>
      </c>
      <c r="BS24" s="315">
        <v>84777</v>
      </c>
      <c r="BT24" s="314">
        <f t="shared" si="77"/>
        <v>-4.3375723586960202</v>
      </c>
      <c r="BU24" s="59"/>
      <c r="BV24" s="313" t="s">
        <v>53</v>
      </c>
      <c r="BW24" s="315">
        <v>2513</v>
      </c>
      <c r="BX24" s="315">
        <v>1910</v>
      </c>
      <c r="BY24" s="314">
        <f t="shared" si="50"/>
        <v>-23.995224830879426</v>
      </c>
      <c r="BZ24" s="315">
        <v>3375</v>
      </c>
      <c r="CA24" s="315">
        <v>1910</v>
      </c>
      <c r="CB24" s="314">
        <f t="shared" si="51"/>
        <v>-43.407407407407405</v>
      </c>
      <c r="CC24" s="59"/>
      <c r="CD24" s="168"/>
      <c r="CE24" s="168" t="s">
        <v>53</v>
      </c>
      <c r="CF24" s="294">
        <f>'ธ.ค.  '!CL25</f>
        <v>2793</v>
      </c>
      <c r="CG24" s="277">
        <f>507+389+1681+33</f>
        <v>2610</v>
      </c>
      <c r="CH24" s="293">
        <f t="shared" si="52"/>
        <v>-6.5520945220193347</v>
      </c>
      <c r="CI24" s="294">
        <f>49+375+250+1402</f>
        <v>2076</v>
      </c>
      <c r="CJ24" s="294">
        <f t="shared" si="43"/>
        <v>2610</v>
      </c>
      <c r="CK24" s="293">
        <f t="shared" si="44"/>
        <v>25.722543352601157</v>
      </c>
      <c r="CL24" s="73"/>
      <c r="CM24" s="168"/>
      <c r="CN24" s="168" t="s">
        <v>53</v>
      </c>
      <c r="CO24" s="169">
        <v>2439</v>
      </c>
      <c r="CP24" s="169">
        <f>49+375+250+1402</f>
        <v>2076</v>
      </c>
      <c r="CQ24" s="167">
        <f t="shared" si="53"/>
        <v>-14.883148831488317</v>
      </c>
      <c r="CR24" s="169">
        <v>4216</v>
      </c>
      <c r="CS24" s="169">
        <f>49+375+250+1402</f>
        <v>2076</v>
      </c>
      <c r="CT24" s="167">
        <f t="shared" si="45"/>
        <v>-50.759013282732447</v>
      </c>
      <c r="CU24" s="73"/>
      <c r="CV24" s="219"/>
      <c r="CW24" s="219" t="s">
        <v>53</v>
      </c>
      <c r="CX24" s="220">
        <v>4321</v>
      </c>
      <c r="CY24" s="220">
        <v>4216</v>
      </c>
      <c r="CZ24" s="218">
        <f t="shared" si="54"/>
        <v>-2.4299930571626938</v>
      </c>
      <c r="DA24" s="220">
        <v>3081</v>
      </c>
      <c r="DB24" s="220">
        <v>4216</v>
      </c>
      <c r="DC24" s="218">
        <f t="shared" si="55"/>
        <v>36.838688737422913</v>
      </c>
      <c r="DD24" s="73"/>
      <c r="DE24" s="168"/>
      <c r="DF24" s="168" t="s">
        <v>53</v>
      </c>
      <c r="DG24" s="169">
        <v>2220</v>
      </c>
      <c r="DH24" s="169">
        <f>37+380+516+2018</f>
        <v>2951</v>
      </c>
      <c r="DI24" s="167">
        <f t="shared" si="56"/>
        <v>32.927927927927932</v>
      </c>
      <c r="DJ24" s="169">
        <f>48+817+614+937</f>
        <v>2416</v>
      </c>
      <c r="DK24" s="169">
        <f>37+380+516+2018</f>
        <v>2951</v>
      </c>
      <c r="DL24" s="167">
        <f t="shared" si="57"/>
        <v>22.144039735099337</v>
      </c>
      <c r="DM24" s="73"/>
      <c r="DN24" s="138"/>
      <c r="DO24" s="138" t="s">
        <v>53</v>
      </c>
      <c r="DP24" s="139">
        <v>2288</v>
      </c>
      <c r="DQ24" s="139">
        <f>51+817+614+937</f>
        <v>2419</v>
      </c>
      <c r="DR24" s="137">
        <f t="shared" si="58"/>
        <v>5.725524475524475</v>
      </c>
      <c r="DS24" s="139">
        <v>1591</v>
      </c>
      <c r="DT24" s="139">
        <v>2419</v>
      </c>
      <c r="DU24" s="137">
        <f t="shared" si="59"/>
        <v>52.042740414833432</v>
      </c>
      <c r="DV24" s="73"/>
      <c r="DW24" s="89"/>
      <c r="DX24" s="89" t="s">
        <v>53</v>
      </c>
      <c r="DY24" s="90">
        <v>1614</v>
      </c>
      <c r="DZ24" s="90">
        <v>1591</v>
      </c>
      <c r="EA24" s="88">
        <f t="shared" si="60"/>
        <v>-1.4250309789343247</v>
      </c>
      <c r="EB24" s="90">
        <v>1161</v>
      </c>
      <c r="EC24" s="90">
        <v>1591</v>
      </c>
      <c r="ED24" s="88">
        <f t="shared" si="61"/>
        <v>37.037037037037038</v>
      </c>
      <c r="EE24" s="117"/>
      <c r="EF24" s="42"/>
      <c r="EG24" s="42" t="s">
        <v>53</v>
      </c>
      <c r="EH24" s="43">
        <v>1068</v>
      </c>
      <c r="EI24" s="43">
        <v>1161</v>
      </c>
      <c r="EJ24" s="65">
        <f t="shared" si="62"/>
        <v>8.7078651685393265</v>
      </c>
      <c r="EK24" s="43">
        <v>1732</v>
      </c>
      <c r="EL24" s="43">
        <v>1161</v>
      </c>
      <c r="EM24" s="65">
        <f t="shared" si="63"/>
        <v>-32.967667436489606</v>
      </c>
      <c r="EN24" s="61"/>
      <c r="EO24" s="89"/>
      <c r="EP24" s="89" t="s">
        <v>53</v>
      </c>
      <c r="EQ24" s="90">
        <v>1895</v>
      </c>
      <c r="ER24" s="90">
        <v>1732</v>
      </c>
      <c r="ES24" s="91">
        <f t="shared" si="46"/>
        <v>-8.6015831134564635</v>
      </c>
      <c r="ET24" s="92">
        <v>1644</v>
      </c>
      <c r="EU24" s="90">
        <v>1732</v>
      </c>
      <c r="EV24" s="91">
        <f t="shared" si="47"/>
        <v>5.3527980535279802</v>
      </c>
      <c r="FA24" s="59"/>
      <c r="FD24" s="59"/>
    </row>
    <row r="25" spans="1:176" x14ac:dyDescent="0.5">
      <c r="A25" s="168"/>
      <c r="B25" s="168" t="s">
        <v>53</v>
      </c>
      <c r="C25" s="272">
        <v>1817</v>
      </c>
      <c r="D25" s="272">
        <v>1613</v>
      </c>
      <c r="E25" s="167">
        <f>((D25-C25)/C25)*100</f>
        <v>-11.227297743533295</v>
      </c>
      <c r="F25" s="272">
        <v>3460</v>
      </c>
      <c r="G25" s="272">
        <v>1613</v>
      </c>
      <c r="H25" s="167">
        <f t="shared" si="48"/>
        <v>-53.381502890173415</v>
      </c>
      <c r="I25" s="168"/>
      <c r="J25" s="168" t="s">
        <v>53</v>
      </c>
      <c r="K25" s="272">
        <v>3710</v>
      </c>
      <c r="L25" s="272">
        <v>3460</v>
      </c>
      <c r="M25" s="167">
        <f>((L25-K25)/K25)*100</f>
        <v>-6.7385444743935308</v>
      </c>
      <c r="N25" s="272">
        <v>3061</v>
      </c>
      <c r="O25" s="272">
        <v>3460</v>
      </c>
      <c r="P25" s="167">
        <f t="shared" si="49"/>
        <v>13.034955896765762</v>
      </c>
      <c r="Q25" s="313"/>
      <c r="R25" s="313" t="s">
        <v>53</v>
      </c>
      <c r="S25" s="272">
        <v>2513</v>
      </c>
      <c r="T25" s="315">
        <v>3061</v>
      </c>
      <c r="U25" s="314">
        <f t="shared" si="64"/>
        <v>21.806605650616792</v>
      </c>
      <c r="V25" s="315">
        <v>3610</v>
      </c>
      <c r="W25" s="315">
        <v>3061</v>
      </c>
      <c r="X25" s="314">
        <f t="shared" si="65"/>
        <v>-15.207756232686981</v>
      </c>
      <c r="Y25" s="313"/>
      <c r="Z25" s="313" t="s">
        <v>53</v>
      </c>
      <c r="AA25" s="272">
        <v>3838</v>
      </c>
      <c r="AB25" s="315">
        <v>3610</v>
      </c>
      <c r="AC25" s="314">
        <f t="shared" si="66"/>
        <v>-5.9405940594059405</v>
      </c>
      <c r="AD25" s="315">
        <v>2626</v>
      </c>
      <c r="AE25" s="315">
        <v>3610</v>
      </c>
      <c r="AF25" s="314">
        <f t="shared" si="67"/>
        <v>37.471439451637472</v>
      </c>
      <c r="AG25" s="313"/>
      <c r="AH25" s="313" t="s">
        <v>53</v>
      </c>
      <c r="AI25" s="272">
        <v>2913</v>
      </c>
      <c r="AJ25" s="315">
        <v>2626</v>
      </c>
      <c r="AK25" s="314">
        <f t="shared" si="68"/>
        <v>-9.8523858565053199</v>
      </c>
      <c r="AL25" s="315">
        <v>2773</v>
      </c>
      <c r="AM25" s="315">
        <v>2626</v>
      </c>
      <c r="AN25" s="314">
        <f t="shared" si="69"/>
        <v>-5.3011179228272631</v>
      </c>
      <c r="AO25" s="313"/>
      <c r="AP25" s="313" t="s">
        <v>53</v>
      </c>
      <c r="AQ25" s="272">
        <v>2797</v>
      </c>
      <c r="AR25" s="315">
        <v>2773</v>
      </c>
      <c r="AS25" s="314">
        <f t="shared" si="70"/>
        <v>-0.85806220951018952</v>
      </c>
      <c r="AT25" s="315">
        <v>3169</v>
      </c>
      <c r="AU25" s="315">
        <v>2773</v>
      </c>
      <c r="AV25" s="314">
        <f t="shared" si="71"/>
        <v>-12.496055538024613</v>
      </c>
      <c r="AW25" s="313"/>
      <c r="AX25" s="313" t="s">
        <v>53</v>
      </c>
      <c r="AY25" s="272">
        <v>3576</v>
      </c>
      <c r="AZ25" s="315">
        <v>3169</v>
      </c>
      <c r="BA25" s="314">
        <f t="shared" si="72"/>
        <v>-11.381431767337807</v>
      </c>
      <c r="BB25" s="315">
        <v>2875</v>
      </c>
      <c r="BC25" s="315">
        <v>3169</v>
      </c>
      <c r="BD25" s="314">
        <f t="shared" si="73"/>
        <v>10.226086956521739</v>
      </c>
      <c r="BE25" s="313"/>
      <c r="BF25" s="313" t="s">
        <v>53</v>
      </c>
      <c r="BG25" s="315">
        <v>3072</v>
      </c>
      <c r="BH25" s="315">
        <v>2875</v>
      </c>
      <c r="BI25" s="314">
        <f t="shared" si="74"/>
        <v>-6.412760416666667</v>
      </c>
      <c r="BJ25" s="315">
        <v>2869</v>
      </c>
      <c r="BK25" s="315">
        <v>2875</v>
      </c>
      <c r="BL25" s="314">
        <f t="shared" si="75"/>
        <v>0.20913210177762287</v>
      </c>
      <c r="BM25" s="313"/>
      <c r="BN25" s="313" t="s">
        <v>53</v>
      </c>
      <c r="BO25" s="315">
        <v>3255</v>
      </c>
      <c r="BP25" s="315">
        <v>2869</v>
      </c>
      <c r="BQ25" s="314">
        <f t="shared" si="76"/>
        <v>-11.858678955453149</v>
      </c>
      <c r="BR25" s="315">
        <v>1910</v>
      </c>
      <c r="BS25" s="315">
        <v>2869</v>
      </c>
      <c r="BT25" s="314">
        <f t="shared" si="77"/>
        <v>50.20942408376964</v>
      </c>
      <c r="BU25" s="59"/>
      <c r="BV25" s="313"/>
      <c r="BW25" s="292">
        <v>101464</v>
      </c>
      <c r="BX25" s="292">
        <v>51821</v>
      </c>
      <c r="BY25" s="314">
        <f t="shared" si="50"/>
        <v>-48.926712922810061</v>
      </c>
      <c r="BZ25" s="292">
        <f t="shared" ref="BZ25:BZ31" si="78">CJ25</f>
        <v>59721</v>
      </c>
      <c r="CA25" s="292">
        <v>51821</v>
      </c>
      <c r="CB25" s="314">
        <f t="shared" si="51"/>
        <v>-13.228177692938834</v>
      </c>
      <c r="CC25" s="59"/>
      <c r="CD25" s="165" t="s">
        <v>1</v>
      </c>
      <c r="CE25" s="165"/>
      <c r="CF25" s="291">
        <f>'ธ.ค.  '!CL26</f>
        <v>89504</v>
      </c>
      <c r="CG25" s="292">
        <v>59721</v>
      </c>
      <c r="CH25" s="293">
        <f t="shared" si="52"/>
        <v>-33.275607794065074</v>
      </c>
      <c r="CI25" s="291">
        <f>SUM(CI26:CI29)</f>
        <v>68508</v>
      </c>
      <c r="CJ25" s="291">
        <f t="shared" si="43"/>
        <v>59721</v>
      </c>
      <c r="CK25" s="293">
        <f t="shared" si="44"/>
        <v>-12.826239271325976</v>
      </c>
      <c r="CL25" s="73"/>
      <c r="CM25" s="165" t="s">
        <v>1</v>
      </c>
      <c r="CN25" s="165"/>
      <c r="CO25" s="166">
        <f>SUM(CO26:CO29)</f>
        <v>113921</v>
      </c>
      <c r="CP25" s="166">
        <f>SUM(CP26:CP29)</f>
        <v>68508</v>
      </c>
      <c r="CQ25" s="167">
        <f t="shared" si="53"/>
        <v>-39.863589680568111</v>
      </c>
      <c r="CR25" s="166">
        <f>SUM(CR26:CR29)</f>
        <v>124649</v>
      </c>
      <c r="CS25" s="166">
        <f>SUM(CS26:CS29)</f>
        <v>68508</v>
      </c>
      <c r="CT25" s="167">
        <f t="shared" si="45"/>
        <v>-45.039270270920746</v>
      </c>
      <c r="CU25" s="73"/>
      <c r="CV25" s="216" t="s">
        <v>1</v>
      </c>
      <c r="CW25" s="216"/>
      <c r="CX25" s="217">
        <f>SUM(CX26:CX29)</f>
        <v>144676</v>
      </c>
      <c r="CY25" s="217">
        <f>SUM(CY26:CY29)</f>
        <v>124649</v>
      </c>
      <c r="CZ25" s="218">
        <f t="shared" si="54"/>
        <v>-13.842655312560481</v>
      </c>
      <c r="DA25" s="217">
        <f>SUM(DA26:DA29)</f>
        <v>77019</v>
      </c>
      <c r="DB25" s="217">
        <f>SUM(DB26:DB29)</f>
        <v>124649</v>
      </c>
      <c r="DC25" s="218">
        <f t="shared" si="55"/>
        <v>61.841883171684906</v>
      </c>
      <c r="DD25" s="73"/>
      <c r="DE25" s="165" t="s">
        <v>1</v>
      </c>
      <c r="DF25" s="165"/>
      <c r="DG25" s="166">
        <f>SUM(DG26:DG29)</f>
        <v>54575</v>
      </c>
      <c r="DH25" s="166">
        <f>SUM(DH26:DH29)</f>
        <v>77006</v>
      </c>
      <c r="DI25" s="167">
        <f t="shared" si="56"/>
        <v>41.101236830050389</v>
      </c>
      <c r="DJ25" s="166">
        <f>SUM(DJ26:DJ29)</f>
        <v>68398</v>
      </c>
      <c r="DK25" s="166">
        <f>SUM(DK26:DK29)</f>
        <v>77006</v>
      </c>
      <c r="DL25" s="167">
        <f t="shared" si="57"/>
        <v>12.58516330886868</v>
      </c>
      <c r="DM25" s="73"/>
      <c r="DN25" s="135" t="s">
        <v>1</v>
      </c>
      <c r="DO25" s="135"/>
      <c r="DP25" s="136">
        <v>93122</v>
      </c>
      <c r="DQ25" s="136">
        <f>SUM(DQ26:DQ29)</f>
        <v>68398</v>
      </c>
      <c r="DR25" s="137">
        <f t="shared" si="58"/>
        <v>-26.550117050750625</v>
      </c>
      <c r="DS25" s="136">
        <f>SUM(DS26:DS29)</f>
        <v>49560</v>
      </c>
      <c r="DT25" s="136">
        <v>68398</v>
      </c>
      <c r="DU25" s="137">
        <f t="shared" si="59"/>
        <v>38.010492332526233</v>
      </c>
      <c r="DV25" s="73"/>
      <c r="DW25" s="86" t="s">
        <v>1</v>
      </c>
      <c r="DX25" s="86"/>
      <c r="DY25" s="87">
        <v>72085</v>
      </c>
      <c r="DZ25" s="87">
        <f>SUM(DZ26:DZ29)</f>
        <v>49560</v>
      </c>
      <c r="EA25" s="88">
        <f t="shared" si="60"/>
        <v>-31.247832420059652</v>
      </c>
      <c r="EB25" s="87">
        <v>32085</v>
      </c>
      <c r="EC25" s="87">
        <f>SUM(EC26:EC29)</f>
        <v>49560</v>
      </c>
      <c r="ED25" s="88">
        <f t="shared" si="61"/>
        <v>54.464703132304813</v>
      </c>
      <c r="EE25" s="117"/>
      <c r="EF25" s="63" t="s">
        <v>1</v>
      </c>
      <c r="EG25" s="63"/>
      <c r="EH25" s="68">
        <f>SUM(EH26:EH29)</f>
        <v>59002</v>
      </c>
      <c r="EI25" s="68">
        <f>SUM(EI26:EI29)</f>
        <v>32085</v>
      </c>
      <c r="EJ25" s="65">
        <f t="shared" si="62"/>
        <v>-45.620487441103691</v>
      </c>
      <c r="EK25" s="68">
        <f>SUM(EK26:EK29)</f>
        <v>45431</v>
      </c>
      <c r="EL25" s="68">
        <v>32085</v>
      </c>
      <c r="EM25" s="65">
        <f t="shared" si="63"/>
        <v>-29.376416983997711</v>
      </c>
      <c r="EN25" s="73"/>
      <c r="EO25" s="86" t="s">
        <v>1</v>
      </c>
      <c r="EP25" s="86"/>
      <c r="EQ25" s="87">
        <f>SUM(EQ26:EQ29)</f>
        <v>64346</v>
      </c>
      <c r="ER25" s="87">
        <f>SUM(ER26:ER29)</f>
        <v>45431</v>
      </c>
      <c r="ES25" s="88">
        <f t="shared" si="46"/>
        <v>-29.395766636620767</v>
      </c>
      <c r="ET25" s="87">
        <f>SUM(ET26:ET29)</f>
        <v>38643</v>
      </c>
      <c r="EU25" s="87">
        <f>SUM(EU26:EU29)</f>
        <v>45431</v>
      </c>
      <c r="EV25" s="88">
        <f t="shared" si="47"/>
        <v>17.565923970706208</v>
      </c>
      <c r="FA25" s="59"/>
      <c r="FD25" s="59"/>
    </row>
    <row r="26" spans="1:176" x14ac:dyDescent="0.5">
      <c r="A26" s="165" t="s">
        <v>1</v>
      </c>
      <c r="B26" s="165"/>
      <c r="C26" s="292">
        <v>54016</v>
      </c>
      <c r="D26" s="292">
        <v>48092</v>
      </c>
      <c r="E26" s="167">
        <f t="shared" ref="E26:E31" si="79">((D26-C26)/C26)*100</f>
        <v>-10.967120853080567</v>
      </c>
      <c r="F26" s="292">
        <v>54814</v>
      </c>
      <c r="G26" s="292">
        <v>48092</v>
      </c>
      <c r="H26" s="167">
        <f t="shared" si="48"/>
        <v>-12.263290400262706</v>
      </c>
      <c r="I26" s="165" t="s">
        <v>1</v>
      </c>
      <c r="J26" s="165"/>
      <c r="K26" s="292">
        <v>68326</v>
      </c>
      <c r="L26" s="292">
        <v>54814</v>
      </c>
      <c r="M26" s="167">
        <f t="shared" ref="M26:M31" si="80">((L26-K26)/K26)*100</f>
        <v>-19.775780815502149</v>
      </c>
      <c r="N26" s="292">
        <v>65579</v>
      </c>
      <c r="O26" s="292">
        <v>54814</v>
      </c>
      <c r="P26" s="167">
        <f t="shared" si="49"/>
        <v>-16.415315878558683</v>
      </c>
      <c r="Q26" s="313" t="s">
        <v>1</v>
      </c>
      <c r="R26" s="313"/>
      <c r="S26" s="292">
        <v>82799</v>
      </c>
      <c r="T26" s="292">
        <v>65579</v>
      </c>
      <c r="U26" s="314">
        <f t="shared" si="64"/>
        <v>-20.797352625031703</v>
      </c>
      <c r="V26" s="292">
        <v>69455</v>
      </c>
      <c r="W26" s="292">
        <v>65579</v>
      </c>
      <c r="X26" s="314">
        <f t="shared" si="65"/>
        <v>-5.5805917500539914</v>
      </c>
      <c r="Y26" s="313" t="s">
        <v>1</v>
      </c>
      <c r="Z26" s="313"/>
      <c r="AA26" s="292">
        <v>86145</v>
      </c>
      <c r="AB26" s="292">
        <v>69455</v>
      </c>
      <c r="AC26" s="314">
        <f t="shared" si="66"/>
        <v>-19.374310755122178</v>
      </c>
      <c r="AD26" s="292">
        <v>55208</v>
      </c>
      <c r="AE26" s="292">
        <v>69455</v>
      </c>
      <c r="AF26" s="314">
        <f t="shared" si="67"/>
        <v>25.806042602521373</v>
      </c>
      <c r="AG26" s="313" t="s">
        <v>1</v>
      </c>
      <c r="AH26" s="313"/>
      <c r="AI26" s="292">
        <v>104089</v>
      </c>
      <c r="AJ26" s="292">
        <v>55208</v>
      </c>
      <c r="AK26" s="314">
        <f t="shared" si="68"/>
        <v>-46.960773953059402</v>
      </c>
      <c r="AL26" s="292">
        <v>70239</v>
      </c>
      <c r="AM26" s="292">
        <v>55208</v>
      </c>
      <c r="AN26" s="314">
        <f t="shared" si="69"/>
        <v>-21.399792138270762</v>
      </c>
      <c r="AO26" s="313" t="s">
        <v>1</v>
      </c>
      <c r="AP26" s="313"/>
      <c r="AQ26" s="292">
        <v>89285</v>
      </c>
      <c r="AR26" s="292">
        <v>71688</v>
      </c>
      <c r="AS26" s="314">
        <f t="shared" si="70"/>
        <v>-19.708797670381365</v>
      </c>
      <c r="AT26" s="292">
        <v>78061</v>
      </c>
      <c r="AU26" s="292">
        <v>71688</v>
      </c>
      <c r="AV26" s="314">
        <f t="shared" si="71"/>
        <v>-8.1641280537015923</v>
      </c>
      <c r="AW26" s="313" t="s">
        <v>1</v>
      </c>
      <c r="AX26" s="313"/>
      <c r="AY26" s="292">
        <v>113581</v>
      </c>
      <c r="AZ26" s="292">
        <v>78061</v>
      </c>
      <c r="BA26" s="314">
        <f t="shared" si="72"/>
        <v>-31.272836125760474</v>
      </c>
      <c r="BB26" s="292">
        <v>66545</v>
      </c>
      <c r="BC26" s="292">
        <v>78061</v>
      </c>
      <c r="BD26" s="314">
        <f t="shared" si="73"/>
        <v>17.305582688406343</v>
      </c>
      <c r="BE26" s="313" t="s">
        <v>1</v>
      </c>
      <c r="BF26" s="313"/>
      <c r="BG26" s="292">
        <v>104302</v>
      </c>
      <c r="BH26" s="292">
        <v>66545</v>
      </c>
      <c r="BI26" s="314">
        <f t="shared" si="74"/>
        <v>-36.199689363578841</v>
      </c>
      <c r="BJ26" s="292">
        <v>57254</v>
      </c>
      <c r="BK26" s="292">
        <v>66545</v>
      </c>
      <c r="BL26" s="314">
        <f t="shared" si="75"/>
        <v>16.227687148496177</v>
      </c>
      <c r="BM26" s="313" t="s">
        <v>1</v>
      </c>
      <c r="BN26" s="313"/>
      <c r="BO26" s="292">
        <v>86858</v>
      </c>
      <c r="BP26" s="292">
        <v>57254</v>
      </c>
      <c r="BQ26" s="314">
        <f t="shared" si="76"/>
        <v>-34.083216284049826</v>
      </c>
      <c r="BR26" s="292">
        <v>51821</v>
      </c>
      <c r="BS26" s="292">
        <v>57254</v>
      </c>
      <c r="BT26" s="314">
        <f t="shared" si="77"/>
        <v>10.484166650585671</v>
      </c>
      <c r="BU26" s="59"/>
      <c r="BV26" s="313" t="s">
        <v>51</v>
      </c>
      <c r="BW26" s="315">
        <v>34842</v>
      </c>
      <c r="BX26" s="315">
        <v>16384</v>
      </c>
      <c r="BY26" s="314">
        <f t="shared" si="50"/>
        <v>-52.976292979737096</v>
      </c>
      <c r="BZ26" s="315">
        <f t="shared" si="78"/>
        <v>23405</v>
      </c>
      <c r="CA26" s="315">
        <v>16384</v>
      </c>
      <c r="CB26" s="314">
        <f t="shared" si="51"/>
        <v>-29.99786370433668</v>
      </c>
      <c r="CC26" s="59"/>
      <c r="CD26" s="168"/>
      <c r="CE26" s="168" t="s">
        <v>51</v>
      </c>
      <c r="CF26" s="294">
        <f>'ธ.ค.  '!CL27</f>
        <v>36738</v>
      </c>
      <c r="CG26" s="277">
        <v>23405</v>
      </c>
      <c r="CH26" s="293">
        <f t="shared" si="52"/>
        <v>-36.292122597855084</v>
      </c>
      <c r="CI26" s="294">
        <v>26406</v>
      </c>
      <c r="CJ26" s="294">
        <f t="shared" si="43"/>
        <v>23405</v>
      </c>
      <c r="CK26" s="293">
        <f t="shared" si="44"/>
        <v>-11.364841323941528</v>
      </c>
      <c r="CL26" s="73"/>
      <c r="CM26" s="168"/>
      <c r="CN26" s="168" t="s">
        <v>51</v>
      </c>
      <c r="CO26" s="169">
        <v>51056</v>
      </c>
      <c r="CP26" s="169">
        <v>26406</v>
      </c>
      <c r="CQ26" s="167">
        <f t="shared" si="53"/>
        <v>-48.280319649012846</v>
      </c>
      <c r="CR26" s="169">
        <v>58853</v>
      </c>
      <c r="CS26" s="169">
        <v>26406</v>
      </c>
      <c r="CT26" s="167">
        <f t="shared" si="45"/>
        <v>-55.1322787283571</v>
      </c>
      <c r="CU26" s="73"/>
      <c r="CV26" s="219"/>
      <c r="CW26" s="219" t="s">
        <v>51</v>
      </c>
      <c r="CX26" s="220">
        <v>71240</v>
      </c>
      <c r="CY26" s="220">
        <v>58853</v>
      </c>
      <c r="CZ26" s="218">
        <f t="shared" si="54"/>
        <v>-17.387703537338574</v>
      </c>
      <c r="DA26" s="220">
        <v>28722</v>
      </c>
      <c r="DB26" s="220">
        <v>58853</v>
      </c>
      <c r="DC26" s="218">
        <f t="shared" si="55"/>
        <v>104.90564723905021</v>
      </c>
      <c r="DD26" s="73"/>
      <c r="DE26" s="168"/>
      <c r="DF26" s="168" t="s">
        <v>51</v>
      </c>
      <c r="DG26" s="169">
        <v>25826</v>
      </c>
      <c r="DH26" s="169">
        <v>28722</v>
      </c>
      <c r="DI26" s="167">
        <f t="shared" si="56"/>
        <v>11.213505769379694</v>
      </c>
      <c r="DJ26" s="169">
        <f>26880+2655+1026+447</f>
        <v>31008</v>
      </c>
      <c r="DK26" s="169">
        <v>28722</v>
      </c>
      <c r="DL26" s="167">
        <f t="shared" si="57"/>
        <v>-7.3722910216718267</v>
      </c>
      <c r="DM26" s="73"/>
      <c r="DN26" s="138"/>
      <c r="DO26" s="138" t="s">
        <v>51</v>
      </c>
      <c r="DP26" s="139">
        <v>39015</v>
      </c>
      <c r="DQ26" s="139">
        <f>26880+2655+1026+447</f>
        <v>31008</v>
      </c>
      <c r="DR26" s="137">
        <f t="shared" si="58"/>
        <v>-20.522875816993462</v>
      </c>
      <c r="DS26" s="139">
        <v>20721</v>
      </c>
      <c r="DT26" s="139">
        <v>31008</v>
      </c>
      <c r="DU26" s="137">
        <f t="shared" si="59"/>
        <v>49.645287389604746</v>
      </c>
      <c r="DV26" s="73"/>
      <c r="DW26" s="89"/>
      <c r="DX26" s="89" t="s">
        <v>51</v>
      </c>
      <c r="DY26" s="90">
        <v>30431</v>
      </c>
      <c r="DZ26" s="90">
        <v>20721</v>
      </c>
      <c r="EA26" s="88">
        <f t="shared" si="60"/>
        <v>-31.908251454109298</v>
      </c>
      <c r="EB26" s="90">
        <v>13527</v>
      </c>
      <c r="EC26" s="90">
        <v>20721</v>
      </c>
      <c r="ED26" s="88">
        <f t="shared" si="61"/>
        <v>53.182523841206475</v>
      </c>
      <c r="EE26" s="117"/>
      <c r="EF26" s="42"/>
      <c r="EG26" s="42" t="s">
        <v>51</v>
      </c>
      <c r="EH26" s="43">
        <v>23825</v>
      </c>
      <c r="EI26" s="43">
        <v>13527</v>
      </c>
      <c r="EJ26" s="65">
        <f t="shared" si="62"/>
        <v>-43.223504721930745</v>
      </c>
      <c r="EK26" s="43">
        <v>14794</v>
      </c>
      <c r="EL26" s="43">
        <v>13527</v>
      </c>
      <c r="EM26" s="65">
        <f t="shared" si="63"/>
        <v>-8.5642828173583894</v>
      </c>
      <c r="EN26" s="61"/>
      <c r="EO26" s="89"/>
      <c r="EP26" s="89" t="s">
        <v>51</v>
      </c>
      <c r="EQ26" s="90">
        <v>12019</v>
      </c>
      <c r="ER26" s="90">
        <v>14794</v>
      </c>
      <c r="ES26" s="91">
        <f t="shared" si="46"/>
        <v>23.088443298111326</v>
      </c>
      <c r="ET26" s="92">
        <v>11137</v>
      </c>
      <c r="EU26" s="90">
        <v>14794</v>
      </c>
      <c r="EV26" s="91">
        <f t="shared" si="47"/>
        <v>32.836490976025864</v>
      </c>
      <c r="FA26" s="59"/>
      <c r="FD26" s="59"/>
    </row>
    <row r="27" spans="1:176" x14ac:dyDescent="0.5">
      <c r="A27" s="168"/>
      <c r="B27" s="168" t="s">
        <v>51</v>
      </c>
      <c r="C27" s="277">
        <v>20727</v>
      </c>
      <c r="D27" s="277">
        <v>18325</v>
      </c>
      <c r="E27" s="167">
        <f t="shared" si="79"/>
        <v>-11.588748974767212</v>
      </c>
      <c r="F27" s="277">
        <v>23412</v>
      </c>
      <c r="G27" s="277">
        <v>18325</v>
      </c>
      <c r="H27" s="167">
        <f t="shared" si="48"/>
        <v>-21.728173586195112</v>
      </c>
      <c r="I27" s="168"/>
      <c r="J27" s="168" t="s">
        <v>51</v>
      </c>
      <c r="K27" s="277">
        <v>26141</v>
      </c>
      <c r="L27" s="277">
        <v>23412</v>
      </c>
      <c r="M27" s="167">
        <f t="shared" si="80"/>
        <v>-10.439539420833174</v>
      </c>
      <c r="N27" s="277">
        <v>22864</v>
      </c>
      <c r="O27" s="277">
        <v>23412</v>
      </c>
      <c r="P27" s="167">
        <f t="shared" si="49"/>
        <v>2.396780965710287</v>
      </c>
      <c r="Q27" s="313"/>
      <c r="R27" s="313" t="s">
        <v>51</v>
      </c>
      <c r="S27" s="277">
        <v>24698</v>
      </c>
      <c r="T27" s="315">
        <v>22864</v>
      </c>
      <c r="U27" s="314">
        <f t="shared" si="64"/>
        <v>-7.4257024860312573</v>
      </c>
      <c r="V27" s="315">
        <v>23365</v>
      </c>
      <c r="W27" s="315">
        <v>22864</v>
      </c>
      <c r="X27" s="314">
        <f t="shared" si="65"/>
        <v>-2.1442328268778086</v>
      </c>
      <c r="Y27" s="313"/>
      <c r="Z27" s="313" t="s">
        <v>51</v>
      </c>
      <c r="AA27" s="277">
        <v>27052</v>
      </c>
      <c r="AB27" s="315">
        <v>23365</v>
      </c>
      <c r="AC27" s="314">
        <f t="shared" si="66"/>
        <v>-13.629306520774803</v>
      </c>
      <c r="AD27" s="315">
        <v>16104</v>
      </c>
      <c r="AE27" s="315">
        <v>23365</v>
      </c>
      <c r="AF27" s="314">
        <f t="shared" si="67"/>
        <v>45.088176850471932</v>
      </c>
      <c r="AG27" s="313"/>
      <c r="AH27" s="313" t="s">
        <v>51</v>
      </c>
      <c r="AI27" s="277">
        <v>38130</v>
      </c>
      <c r="AJ27" s="315">
        <v>16104</v>
      </c>
      <c r="AK27" s="314">
        <f t="shared" si="68"/>
        <v>-57.765538945712038</v>
      </c>
      <c r="AL27" s="315">
        <v>30331</v>
      </c>
      <c r="AM27" s="315">
        <v>16104</v>
      </c>
      <c r="AN27" s="314">
        <f t="shared" si="69"/>
        <v>-46.905805941116355</v>
      </c>
      <c r="AO27" s="313"/>
      <c r="AP27" s="313" t="s">
        <v>51</v>
      </c>
      <c r="AQ27" s="277">
        <v>32766</v>
      </c>
      <c r="AR27" s="315">
        <v>30331</v>
      </c>
      <c r="AS27" s="314">
        <f t="shared" si="70"/>
        <v>-7.4314838552157729</v>
      </c>
      <c r="AT27" s="315">
        <v>30221</v>
      </c>
      <c r="AU27" s="315">
        <v>30331</v>
      </c>
      <c r="AV27" s="314">
        <f t="shared" si="71"/>
        <v>0.36398530822937691</v>
      </c>
      <c r="AW27" s="313"/>
      <c r="AX27" s="313" t="s">
        <v>51</v>
      </c>
      <c r="AY27" s="277">
        <v>40315</v>
      </c>
      <c r="AZ27" s="315">
        <v>30221</v>
      </c>
      <c r="BA27" s="314">
        <f t="shared" si="72"/>
        <v>-25.037827111496963</v>
      </c>
      <c r="BB27" s="315">
        <v>25749</v>
      </c>
      <c r="BC27" s="315">
        <v>30221</v>
      </c>
      <c r="BD27" s="314">
        <f t="shared" si="73"/>
        <v>17.367664763680143</v>
      </c>
      <c r="BE27" s="313"/>
      <c r="BF27" s="313" t="s">
        <v>51</v>
      </c>
      <c r="BG27" s="315">
        <v>41449</v>
      </c>
      <c r="BH27" s="315">
        <v>25749</v>
      </c>
      <c r="BI27" s="314">
        <f t="shared" si="74"/>
        <v>-37.877874013848341</v>
      </c>
      <c r="BJ27" s="315">
        <v>20228</v>
      </c>
      <c r="BK27" s="315">
        <v>25749</v>
      </c>
      <c r="BL27" s="314">
        <f t="shared" si="75"/>
        <v>27.293850108760136</v>
      </c>
      <c r="BM27" s="313"/>
      <c r="BN27" s="313" t="s">
        <v>51</v>
      </c>
      <c r="BO27" s="315">
        <v>29467</v>
      </c>
      <c r="BP27" s="315">
        <v>20228</v>
      </c>
      <c r="BQ27" s="314">
        <f t="shared" si="76"/>
        <v>-31.353717718125363</v>
      </c>
      <c r="BR27" s="315">
        <v>16384</v>
      </c>
      <c r="BS27" s="315">
        <v>20228</v>
      </c>
      <c r="BT27" s="314">
        <f t="shared" si="77"/>
        <v>23.4619140625</v>
      </c>
      <c r="BU27" s="59"/>
      <c r="BV27" s="313" t="s">
        <v>52</v>
      </c>
      <c r="BW27" s="315">
        <v>38231</v>
      </c>
      <c r="BX27" s="315">
        <v>24066</v>
      </c>
      <c r="BY27" s="314">
        <f t="shared" si="50"/>
        <v>-37.051084198686929</v>
      </c>
      <c r="BZ27" s="315">
        <f t="shared" si="78"/>
        <v>26236</v>
      </c>
      <c r="CA27" s="315">
        <v>24066</v>
      </c>
      <c r="CB27" s="314">
        <f t="shared" si="51"/>
        <v>-8.2710779082177162</v>
      </c>
      <c r="CC27" s="59"/>
      <c r="CD27" s="168"/>
      <c r="CE27" s="168" t="s">
        <v>52</v>
      </c>
      <c r="CF27" s="294">
        <f>'ธ.ค.  '!CL28</f>
        <v>37453</v>
      </c>
      <c r="CG27" s="277">
        <v>26236</v>
      </c>
      <c r="CH27" s="293">
        <f t="shared" si="52"/>
        <v>-29.94953675273009</v>
      </c>
      <c r="CI27" s="294">
        <f>35080-4552</f>
        <v>30528</v>
      </c>
      <c r="CJ27" s="294">
        <f t="shared" si="43"/>
        <v>26236</v>
      </c>
      <c r="CK27" s="293">
        <f t="shared" si="44"/>
        <v>-14.059224318658281</v>
      </c>
      <c r="CL27" s="73"/>
      <c r="CM27" s="168"/>
      <c r="CN27" s="168" t="s">
        <v>52</v>
      </c>
      <c r="CO27" s="169">
        <v>46649</v>
      </c>
      <c r="CP27" s="169">
        <f>35080-4552</f>
        <v>30528</v>
      </c>
      <c r="CQ27" s="167">
        <f t="shared" si="53"/>
        <v>-34.558082702737465</v>
      </c>
      <c r="CR27" s="169">
        <v>49677</v>
      </c>
      <c r="CS27" s="169">
        <f>35080-4552</f>
        <v>30528</v>
      </c>
      <c r="CT27" s="167">
        <f t="shared" si="45"/>
        <v>-38.54701370855728</v>
      </c>
      <c r="CU27" s="73"/>
      <c r="CV27" s="219"/>
      <c r="CW27" s="219" t="s">
        <v>52</v>
      </c>
      <c r="CX27" s="220">
        <v>56097</v>
      </c>
      <c r="CY27" s="220">
        <v>49677</v>
      </c>
      <c r="CZ27" s="218">
        <f t="shared" si="54"/>
        <v>-11.444462270709664</v>
      </c>
      <c r="DA27" s="220">
        <v>37728</v>
      </c>
      <c r="DB27" s="220">
        <v>49677</v>
      </c>
      <c r="DC27" s="218">
        <f t="shared" si="55"/>
        <v>31.671437659033082</v>
      </c>
      <c r="DD27" s="73"/>
      <c r="DE27" s="168"/>
      <c r="DF27" s="168" t="s">
        <v>52</v>
      </c>
      <c r="DG27" s="169">
        <v>18823</v>
      </c>
      <c r="DH27" s="169">
        <f>42801-5073</f>
        <v>37728</v>
      </c>
      <c r="DI27" s="167">
        <f t="shared" si="56"/>
        <v>100.43563725229771</v>
      </c>
      <c r="DJ27" s="169">
        <f>31638-2457</f>
        <v>29181</v>
      </c>
      <c r="DK27" s="169">
        <f>42801-5073</f>
        <v>37728</v>
      </c>
      <c r="DL27" s="167">
        <f t="shared" si="57"/>
        <v>29.289606250642542</v>
      </c>
      <c r="DM27" s="73"/>
      <c r="DN27" s="138"/>
      <c r="DO27" s="138" t="s">
        <v>52</v>
      </c>
      <c r="DP27" s="139">
        <v>41599</v>
      </c>
      <c r="DQ27" s="139">
        <f>31638-2457</f>
        <v>29181</v>
      </c>
      <c r="DR27" s="137">
        <f t="shared" si="58"/>
        <v>-29.851679126902088</v>
      </c>
      <c r="DS27" s="139">
        <v>22277</v>
      </c>
      <c r="DT27" s="139">
        <v>29181</v>
      </c>
      <c r="DU27" s="137">
        <f t="shared" si="59"/>
        <v>30.991605691969298</v>
      </c>
      <c r="DV27" s="73"/>
      <c r="DW27" s="89"/>
      <c r="DX27" s="89" t="s">
        <v>52</v>
      </c>
      <c r="DY27" s="90">
        <v>31874</v>
      </c>
      <c r="DZ27" s="90">
        <v>22277</v>
      </c>
      <c r="EA27" s="88">
        <f t="shared" si="60"/>
        <v>-30.109179895839873</v>
      </c>
      <c r="EB27" s="90">
        <v>14540</v>
      </c>
      <c r="EC27" s="90">
        <v>22277</v>
      </c>
      <c r="ED27" s="88">
        <f t="shared" si="61"/>
        <v>53.211829436038514</v>
      </c>
      <c r="EE27" s="117"/>
      <c r="EF27" s="42"/>
      <c r="EG27" s="42" t="s">
        <v>52</v>
      </c>
      <c r="EH27" s="43">
        <v>28620</v>
      </c>
      <c r="EI27" s="43">
        <v>14540</v>
      </c>
      <c r="EJ27" s="65">
        <f t="shared" si="62"/>
        <v>-49.196366177498248</v>
      </c>
      <c r="EK27" s="43">
        <v>24586</v>
      </c>
      <c r="EL27" s="43">
        <v>14540</v>
      </c>
      <c r="EM27" s="65">
        <f t="shared" si="63"/>
        <v>-40.860652403807045</v>
      </c>
      <c r="EN27" s="61"/>
      <c r="EO27" s="89"/>
      <c r="EP27" s="89" t="s">
        <v>52</v>
      </c>
      <c r="EQ27" s="90">
        <v>44549</v>
      </c>
      <c r="ER27" s="90">
        <v>24586</v>
      </c>
      <c r="ES27" s="91">
        <f t="shared" si="46"/>
        <v>-44.811331343015553</v>
      </c>
      <c r="ET27" s="92">
        <v>21851</v>
      </c>
      <c r="EU27" s="90">
        <v>24586</v>
      </c>
      <c r="EV27" s="91">
        <f t="shared" si="47"/>
        <v>12.516589629765228</v>
      </c>
      <c r="FA27" s="59"/>
      <c r="FD27" s="59"/>
    </row>
    <row r="28" spans="1:176" x14ac:dyDescent="0.5">
      <c r="A28" s="168"/>
      <c r="B28" s="168" t="s">
        <v>52</v>
      </c>
      <c r="C28" s="277">
        <v>14410</v>
      </c>
      <c r="D28" s="277">
        <v>12255</v>
      </c>
      <c r="E28" s="167">
        <f t="shared" si="79"/>
        <v>-14.954892435808468</v>
      </c>
      <c r="F28" s="277">
        <v>14864</v>
      </c>
      <c r="G28" s="277">
        <v>12255</v>
      </c>
      <c r="H28" s="167">
        <f t="shared" si="48"/>
        <v>-17.55247578040904</v>
      </c>
      <c r="I28" s="168"/>
      <c r="J28" s="168" t="s">
        <v>52</v>
      </c>
      <c r="K28" s="277">
        <v>19543</v>
      </c>
      <c r="L28" s="277">
        <v>14864</v>
      </c>
      <c r="M28" s="167">
        <f t="shared" si="80"/>
        <v>-23.942076446809597</v>
      </c>
      <c r="N28" s="277">
        <v>27180</v>
      </c>
      <c r="O28" s="277">
        <v>14864</v>
      </c>
      <c r="P28" s="167">
        <f t="shared" si="49"/>
        <v>-45.312729948491537</v>
      </c>
      <c r="Q28" s="313"/>
      <c r="R28" s="313" t="s">
        <v>52</v>
      </c>
      <c r="S28" s="277">
        <v>35491</v>
      </c>
      <c r="T28" s="315">
        <v>27180</v>
      </c>
      <c r="U28" s="314">
        <f t="shared" si="64"/>
        <v>-23.417204361669157</v>
      </c>
      <c r="V28" s="315">
        <v>30201</v>
      </c>
      <c r="W28" s="315">
        <v>27180</v>
      </c>
      <c r="X28" s="314">
        <f t="shared" si="65"/>
        <v>-10.002980033773715</v>
      </c>
      <c r="Y28" s="313"/>
      <c r="Z28" s="313" t="s">
        <v>52</v>
      </c>
      <c r="AA28" s="277">
        <v>36505</v>
      </c>
      <c r="AB28" s="315">
        <v>30201</v>
      </c>
      <c r="AC28" s="314">
        <f t="shared" si="66"/>
        <v>-17.268867278455005</v>
      </c>
      <c r="AD28" s="315">
        <v>25813</v>
      </c>
      <c r="AE28" s="315">
        <v>30201</v>
      </c>
      <c r="AF28" s="314">
        <f t="shared" si="67"/>
        <v>16.999186456436679</v>
      </c>
      <c r="AG28" s="313"/>
      <c r="AH28" s="313" t="s">
        <v>52</v>
      </c>
      <c r="AI28" s="277">
        <v>44004</v>
      </c>
      <c r="AJ28" s="315">
        <v>25813</v>
      </c>
      <c r="AK28" s="314">
        <f t="shared" si="68"/>
        <v>-41.339423688755566</v>
      </c>
      <c r="AL28" s="315">
        <v>30071</v>
      </c>
      <c r="AM28" s="315">
        <v>25813</v>
      </c>
      <c r="AN28" s="314">
        <f t="shared" si="69"/>
        <v>-14.159821755179408</v>
      </c>
      <c r="AO28" s="313"/>
      <c r="AP28" s="313" t="s">
        <v>52</v>
      </c>
      <c r="AQ28" s="277">
        <v>39593</v>
      </c>
      <c r="AR28" s="315">
        <v>30071</v>
      </c>
      <c r="AS28" s="314">
        <f t="shared" si="70"/>
        <v>-24.04970575606799</v>
      </c>
      <c r="AT28" s="315">
        <v>34786</v>
      </c>
      <c r="AU28" s="315">
        <v>30071</v>
      </c>
      <c r="AV28" s="314">
        <f t="shared" si="71"/>
        <v>-13.554303455413097</v>
      </c>
      <c r="AW28" s="313"/>
      <c r="AX28" s="313" t="s">
        <v>52</v>
      </c>
      <c r="AY28" s="277">
        <v>51528</v>
      </c>
      <c r="AZ28" s="315">
        <v>34786</v>
      </c>
      <c r="BA28" s="314">
        <f t="shared" si="72"/>
        <v>-32.491072814780317</v>
      </c>
      <c r="BB28" s="315">
        <v>28315</v>
      </c>
      <c r="BC28" s="315">
        <v>34786</v>
      </c>
      <c r="BD28" s="314">
        <f t="shared" si="73"/>
        <v>22.853611160162458</v>
      </c>
      <c r="BE28" s="313"/>
      <c r="BF28" s="313" t="s">
        <v>52</v>
      </c>
      <c r="BG28" s="315">
        <v>42556</v>
      </c>
      <c r="BH28" s="315">
        <v>28315</v>
      </c>
      <c r="BI28" s="314">
        <f t="shared" si="74"/>
        <v>-33.4641413666698</v>
      </c>
      <c r="BJ28" s="315">
        <v>26267</v>
      </c>
      <c r="BK28" s="315">
        <v>28315</v>
      </c>
      <c r="BL28" s="314">
        <f t="shared" si="75"/>
        <v>7.7968553698557121</v>
      </c>
      <c r="BM28" s="313"/>
      <c r="BN28" s="313" t="s">
        <v>52</v>
      </c>
      <c r="BO28" s="315">
        <v>39631</v>
      </c>
      <c r="BP28" s="315">
        <v>26267</v>
      </c>
      <c r="BQ28" s="314">
        <f t="shared" si="76"/>
        <v>-33.721076934722817</v>
      </c>
      <c r="BR28" s="315">
        <v>24066</v>
      </c>
      <c r="BS28" s="315">
        <v>26267</v>
      </c>
      <c r="BT28" s="314">
        <f t="shared" si="77"/>
        <v>9.1456827058921295</v>
      </c>
      <c r="BU28" s="59"/>
      <c r="BV28" s="313" t="s">
        <v>53</v>
      </c>
      <c r="BW28" s="315">
        <v>5036</v>
      </c>
      <c r="BX28" s="315">
        <v>3239</v>
      </c>
      <c r="BY28" s="314">
        <f t="shared" si="50"/>
        <v>-35.683081810961085</v>
      </c>
      <c r="BZ28" s="315">
        <f t="shared" si="78"/>
        <v>3554</v>
      </c>
      <c r="CA28" s="315">
        <v>3239</v>
      </c>
      <c r="CB28" s="314">
        <f t="shared" si="51"/>
        <v>-8.8632526730444567</v>
      </c>
      <c r="CC28" s="59"/>
      <c r="CD28" s="168"/>
      <c r="CE28" s="168" t="s">
        <v>53</v>
      </c>
      <c r="CF28" s="294">
        <f>'ธ.ค.  '!CL29</f>
        <v>5207</v>
      </c>
      <c r="CG28" s="277">
        <v>3554</v>
      </c>
      <c r="CH28" s="293">
        <f t="shared" si="52"/>
        <v>-31.745726906087956</v>
      </c>
      <c r="CI28" s="294">
        <f>42102-CI27-CI29</f>
        <v>3696</v>
      </c>
      <c r="CJ28" s="294">
        <f t="shared" si="43"/>
        <v>3554</v>
      </c>
      <c r="CK28" s="293">
        <f t="shared" si="44"/>
        <v>-3.8419913419913416</v>
      </c>
      <c r="CL28" s="73"/>
      <c r="CM28" s="168"/>
      <c r="CN28" s="168" t="s">
        <v>53</v>
      </c>
      <c r="CO28" s="169">
        <v>5383</v>
      </c>
      <c r="CP28" s="169">
        <f>42102-CP27-CP29</f>
        <v>3696</v>
      </c>
      <c r="CQ28" s="167">
        <f t="shared" si="53"/>
        <v>-31.339401820546165</v>
      </c>
      <c r="CR28" s="169">
        <v>6458</v>
      </c>
      <c r="CS28" s="169">
        <f>42102-CS27-CS29</f>
        <v>3696</v>
      </c>
      <c r="CT28" s="167">
        <f t="shared" si="45"/>
        <v>-42.768659027562713</v>
      </c>
      <c r="CU28" s="73"/>
      <c r="CV28" s="219"/>
      <c r="CW28" s="219" t="s">
        <v>53</v>
      </c>
      <c r="CX28" s="220">
        <v>7500</v>
      </c>
      <c r="CY28" s="220">
        <v>6458</v>
      </c>
      <c r="CZ28" s="218">
        <f t="shared" si="54"/>
        <v>-13.893333333333333</v>
      </c>
      <c r="DA28" s="220">
        <v>4612</v>
      </c>
      <c r="DB28" s="220">
        <v>6458</v>
      </c>
      <c r="DC28" s="218">
        <f t="shared" si="55"/>
        <v>40.026019080659147</v>
      </c>
      <c r="DD28" s="73"/>
      <c r="DE28" s="168"/>
      <c r="DF28" s="168" t="s">
        <v>53</v>
      </c>
      <c r="DG28" s="169">
        <v>5689</v>
      </c>
      <c r="DH28" s="169">
        <f>1836+649+577+1435+102</f>
        <v>4599</v>
      </c>
      <c r="DI28" s="167">
        <f t="shared" si="56"/>
        <v>-19.159782035507121</v>
      </c>
      <c r="DJ28" s="169">
        <f>2065+356+740+1253+29</f>
        <v>4443</v>
      </c>
      <c r="DK28" s="169">
        <f>1836+649+577+1435+102</f>
        <v>4599</v>
      </c>
      <c r="DL28" s="167">
        <f t="shared" si="57"/>
        <v>3.5111411208642807</v>
      </c>
      <c r="DM28" s="73"/>
      <c r="DN28" s="138"/>
      <c r="DO28" s="138" t="s">
        <v>53</v>
      </c>
      <c r="DP28" s="139">
        <v>5495</v>
      </c>
      <c r="DQ28" s="139">
        <f>2065+356+740+1253+29</f>
        <v>4443</v>
      </c>
      <c r="DR28" s="137">
        <f t="shared" si="58"/>
        <v>-19.144676979071885</v>
      </c>
      <c r="DS28" s="139">
        <v>3230</v>
      </c>
      <c r="DT28" s="139">
        <v>4443</v>
      </c>
      <c r="DU28" s="137">
        <f t="shared" si="59"/>
        <v>37.554179566563469</v>
      </c>
      <c r="DV28" s="73"/>
      <c r="DW28" s="89"/>
      <c r="DX28" s="89" t="s">
        <v>53</v>
      </c>
      <c r="DY28" s="90">
        <v>4344</v>
      </c>
      <c r="DZ28" s="90">
        <v>3230</v>
      </c>
      <c r="EA28" s="88">
        <f t="shared" si="60"/>
        <v>-25.644567219152854</v>
      </c>
      <c r="EB28" s="90">
        <v>1951</v>
      </c>
      <c r="EC28" s="90">
        <v>3230</v>
      </c>
      <c r="ED28" s="88">
        <f t="shared" si="61"/>
        <v>65.556125064069704</v>
      </c>
      <c r="EE28" s="117"/>
      <c r="EF28" s="42"/>
      <c r="EG28" s="42" t="s">
        <v>53</v>
      </c>
      <c r="EH28" s="43">
        <v>2800</v>
      </c>
      <c r="EI28" s="43">
        <v>1951</v>
      </c>
      <c r="EJ28" s="65">
        <f t="shared" si="62"/>
        <v>-30.321428571428573</v>
      </c>
      <c r="EK28" s="43">
        <v>3109</v>
      </c>
      <c r="EL28" s="43">
        <v>1951</v>
      </c>
      <c r="EM28" s="65">
        <f t="shared" si="63"/>
        <v>-37.246703119974271</v>
      </c>
      <c r="EN28" s="61"/>
      <c r="EO28" s="89"/>
      <c r="EP28" s="89" t="s">
        <v>53</v>
      </c>
      <c r="EQ28" s="90">
        <v>4388</v>
      </c>
      <c r="ER28" s="90">
        <v>3109</v>
      </c>
      <c r="ES28" s="91">
        <f t="shared" si="46"/>
        <v>-29.147675478577938</v>
      </c>
      <c r="ET28" s="92">
        <v>2868</v>
      </c>
      <c r="EU28" s="90">
        <v>3109</v>
      </c>
      <c r="EV28" s="91">
        <f t="shared" si="47"/>
        <v>8.4030683403068345</v>
      </c>
      <c r="FA28" s="59"/>
      <c r="FD28" s="59"/>
    </row>
    <row r="29" spans="1:176" x14ac:dyDescent="0.5">
      <c r="A29" s="168"/>
      <c r="B29" s="168" t="s">
        <v>53</v>
      </c>
      <c r="C29" s="279">
        <v>2802</v>
      </c>
      <c r="D29" s="279">
        <v>2119</v>
      </c>
      <c r="E29" s="167">
        <f t="shared" si="79"/>
        <v>-24.375446109921484</v>
      </c>
      <c r="F29" s="279">
        <v>2512</v>
      </c>
      <c r="G29" s="279">
        <v>2119</v>
      </c>
      <c r="H29" s="167">
        <f t="shared" si="48"/>
        <v>-15.644904458598727</v>
      </c>
      <c r="I29" s="168"/>
      <c r="J29" s="168" t="s">
        <v>53</v>
      </c>
      <c r="K29" s="279">
        <v>4803</v>
      </c>
      <c r="L29" s="279">
        <v>2512</v>
      </c>
      <c r="M29" s="167">
        <f t="shared" si="80"/>
        <v>-47.699354570060379</v>
      </c>
      <c r="N29" s="279">
        <v>3012</v>
      </c>
      <c r="O29" s="279">
        <v>2512</v>
      </c>
      <c r="P29" s="167">
        <f t="shared" si="49"/>
        <v>-16.600265604249667</v>
      </c>
      <c r="Q29" s="313"/>
      <c r="R29" s="313" t="s">
        <v>53</v>
      </c>
      <c r="S29" s="279">
        <v>4813</v>
      </c>
      <c r="T29" s="315">
        <v>3012</v>
      </c>
      <c r="U29" s="314">
        <f t="shared" si="64"/>
        <v>-37.419488884271765</v>
      </c>
      <c r="V29" s="315">
        <v>3432</v>
      </c>
      <c r="W29" s="315">
        <v>3012</v>
      </c>
      <c r="X29" s="314">
        <f t="shared" si="65"/>
        <v>-12.237762237762238</v>
      </c>
      <c r="Y29" s="313"/>
      <c r="Z29" s="313" t="s">
        <v>53</v>
      </c>
      <c r="AA29" s="279">
        <v>5016</v>
      </c>
      <c r="AB29" s="315">
        <v>3432</v>
      </c>
      <c r="AC29" s="314">
        <f t="shared" si="66"/>
        <v>-31.578947368421051</v>
      </c>
      <c r="AD29" s="315">
        <v>2947</v>
      </c>
      <c r="AE29" s="315">
        <v>3432</v>
      </c>
      <c r="AF29" s="314">
        <f t="shared" si="67"/>
        <v>16.4574143196471</v>
      </c>
      <c r="AG29" s="313"/>
      <c r="AH29" s="313" t="s">
        <v>53</v>
      </c>
      <c r="AI29" s="279">
        <v>4528</v>
      </c>
      <c r="AJ29" s="315">
        <v>2947</v>
      </c>
      <c r="AK29" s="314">
        <f t="shared" si="68"/>
        <v>-34.916077738515902</v>
      </c>
      <c r="AL29" s="315">
        <v>3254</v>
      </c>
      <c r="AM29" s="315">
        <v>2947</v>
      </c>
      <c r="AN29" s="314">
        <f t="shared" si="69"/>
        <v>-9.4345421020282725</v>
      </c>
      <c r="AO29" s="313"/>
      <c r="AP29" s="313" t="s">
        <v>53</v>
      </c>
      <c r="AQ29" s="279">
        <v>4296</v>
      </c>
      <c r="AR29" s="315">
        <v>3254</v>
      </c>
      <c r="AS29" s="314">
        <f t="shared" si="70"/>
        <v>-24.255121042830542</v>
      </c>
      <c r="AT29" s="315">
        <v>3325</v>
      </c>
      <c r="AU29" s="315">
        <v>3254</v>
      </c>
      <c r="AV29" s="314">
        <f t="shared" si="71"/>
        <v>-2.1353383458646618</v>
      </c>
      <c r="AW29" s="313"/>
      <c r="AX29" s="313" t="s">
        <v>53</v>
      </c>
      <c r="AY29" s="279">
        <v>5447</v>
      </c>
      <c r="AZ29" s="315">
        <v>3325</v>
      </c>
      <c r="BA29" s="314">
        <f t="shared" si="72"/>
        <v>-38.957224160088124</v>
      </c>
      <c r="BB29" s="315">
        <v>3072</v>
      </c>
      <c r="BC29" s="315">
        <v>3325</v>
      </c>
      <c r="BD29" s="314">
        <f t="shared" si="73"/>
        <v>8.2356770833333321</v>
      </c>
      <c r="BE29" s="313"/>
      <c r="BF29" s="313" t="s">
        <v>53</v>
      </c>
      <c r="BG29" s="315">
        <v>5093</v>
      </c>
      <c r="BH29" s="315">
        <v>3072</v>
      </c>
      <c r="BI29" s="314">
        <f t="shared" si="74"/>
        <v>-39.681916355782448</v>
      </c>
      <c r="BJ29" s="315">
        <v>3192</v>
      </c>
      <c r="BK29" s="315">
        <v>3072</v>
      </c>
      <c r="BL29" s="314">
        <f t="shared" si="75"/>
        <v>-3.7593984962406015</v>
      </c>
      <c r="BM29" s="313"/>
      <c r="BN29" s="313" t="s">
        <v>53</v>
      </c>
      <c r="BO29" s="315">
        <v>5469</v>
      </c>
      <c r="BP29" s="315">
        <v>3192</v>
      </c>
      <c r="BQ29" s="314">
        <f t="shared" si="76"/>
        <v>-41.634668129456934</v>
      </c>
      <c r="BR29" s="315">
        <v>3239</v>
      </c>
      <c r="BS29" s="315">
        <v>3192</v>
      </c>
      <c r="BT29" s="314">
        <f t="shared" si="77"/>
        <v>-1.4510651435628281</v>
      </c>
      <c r="BU29" s="59"/>
      <c r="BV29" s="313" t="s">
        <v>54</v>
      </c>
      <c r="BW29" s="315">
        <v>23355</v>
      </c>
      <c r="BX29" s="315">
        <v>8132</v>
      </c>
      <c r="BY29" s="314">
        <f t="shared" si="50"/>
        <v>-65.180903446799405</v>
      </c>
      <c r="BZ29" s="315">
        <f t="shared" si="78"/>
        <v>6526</v>
      </c>
      <c r="CA29" s="315">
        <v>8132</v>
      </c>
      <c r="CB29" s="314">
        <f t="shared" si="51"/>
        <v>24.609255286546123</v>
      </c>
      <c r="CC29" s="59"/>
      <c r="CD29" s="168"/>
      <c r="CE29" s="168" t="s">
        <v>54</v>
      </c>
      <c r="CF29" s="294">
        <f>'ธ.ค.  '!CL30</f>
        <v>10106</v>
      </c>
      <c r="CG29" s="277">
        <v>6526</v>
      </c>
      <c r="CH29" s="293">
        <f t="shared" si="52"/>
        <v>-35.424500296853353</v>
      </c>
      <c r="CI29" s="294">
        <f>4552+3326</f>
        <v>7878</v>
      </c>
      <c r="CJ29" s="294">
        <f t="shared" si="43"/>
        <v>6526</v>
      </c>
      <c r="CK29" s="293">
        <f t="shared" si="44"/>
        <v>-17.161716171617162</v>
      </c>
      <c r="CL29" s="73"/>
      <c r="CM29" s="168"/>
      <c r="CN29" s="168" t="s">
        <v>54</v>
      </c>
      <c r="CO29" s="169">
        <v>10833</v>
      </c>
      <c r="CP29" s="169">
        <f>4552+3326</f>
        <v>7878</v>
      </c>
      <c r="CQ29" s="167">
        <f t="shared" si="53"/>
        <v>-27.277762392689002</v>
      </c>
      <c r="CR29" s="169">
        <v>9661</v>
      </c>
      <c r="CS29" s="169">
        <f>4552+3326</f>
        <v>7878</v>
      </c>
      <c r="CT29" s="167">
        <f t="shared" si="45"/>
        <v>-18.455646413414762</v>
      </c>
      <c r="CU29" s="73"/>
      <c r="CV29" s="219"/>
      <c r="CW29" s="219" t="s">
        <v>54</v>
      </c>
      <c r="CX29" s="220">
        <v>9839</v>
      </c>
      <c r="CY29" s="220">
        <v>9661</v>
      </c>
      <c r="CZ29" s="218">
        <f t="shared" si="54"/>
        <v>-1.8091269437951012</v>
      </c>
      <c r="DA29" s="220">
        <v>5957</v>
      </c>
      <c r="DB29" s="220">
        <v>9661</v>
      </c>
      <c r="DC29" s="218">
        <f t="shared" si="55"/>
        <v>62.178949135470873</v>
      </c>
      <c r="DD29" s="73"/>
      <c r="DE29" s="168"/>
      <c r="DF29" s="168" t="s">
        <v>54</v>
      </c>
      <c r="DG29" s="169">
        <v>4237</v>
      </c>
      <c r="DH29" s="169">
        <f>884+5073</f>
        <v>5957</v>
      </c>
      <c r="DI29" s="167">
        <f t="shared" si="56"/>
        <v>40.594760443710172</v>
      </c>
      <c r="DJ29" s="169">
        <f>2457+1309</f>
        <v>3766</v>
      </c>
      <c r="DK29" s="169">
        <f>884+5073</f>
        <v>5957</v>
      </c>
      <c r="DL29" s="167">
        <f t="shared" si="57"/>
        <v>58.17843866171004</v>
      </c>
      <c r="DM29" s="73"/>
      <c r="DN29" s="138"/>
      <c r="DO29" s="138" t="s">
        <v>54</v>
      </c>
      <c r="DP29" s="139">
        <v>7013</v>
      </c>
      <c r="DQ29" s="139">
        <f>2457+1309</f>
        <v>3766</v>
      </c>
      <c r="DR29" s="137">
        <f t="shared" si="58"/>
        <v>-46.299729074575794</v>
      </c>
      <c r="DS29" s="139">
        <v>3332</v>
      </c>
      <c r="DT29" s="139">
        <v>3766</v>
      </c>
      <c r="DU29" s="137">
        <f t="shared" si="59"/>
        <v>13.025210084033615</v>
      </c>
      <c r="DV29" s="73"/>
      <c r="DW29" s="89"/>
      <c r="DX29" s="89" t="s">
        <v>54</v>
      </c>
      <c r="DY29" s="90">
        <v>5436</v>
      </c>
      <c r="DZ29" s="90">
        <v>3332</v>
      </c>
      <c r="EA29" s="88">
        <f t="shared" si="60"/>
        <v>-38.704930095658575</v>
      </c>
      <c r="EB29" s="90">
        <v>2067</v>
      </c>
      <c r="EC29" s="90">
        <v>3332</v>
      </c>
      <c r="ED29" s="88">
        <f t="shared" si="61"/>
        <v>61.199806482825345</v>
      </c>
      <c r="EE29" s="117"/>
      <c r="EF29" s="42"/>
      <c r="EG29" s="42" t="s">
        <v>54</v>
      </c>
      <c r="EH29" s="43">
        <v>3757</v>
      </c>
      <c r="EI29" s="43">
        <v>2067</v>
      </c>
      <c r="EJ29" s="65">
        <f t="shared" si="62"/>
        <v>-44.982698961937714</v>
      </c>
      <c r="EK29" s="43">
        <v>2942</v>
      </c>
      <c r="EL29" s="43">
        <v>2067</v>
      </c>
      <c r="EM29" s="65">
        <f t="shared" si="63"/>
        <v>-29.741672331747111</v>
      </c>
      <c r="EN29" s="61"/>
      <c r="EO29" s="89"/>
      <c r="EP29" s="89" t="s">
        <v>54</v>
      </c>
      <c r="EQ29" s="90">
        <v>3390</v>
      </c>
      <c r="ER29" s="90">
        <v>2942</v>
      </c>
      <c r="ES29" s="91">
        <f t="shared" si="46"/>
        <v>-13.215339233038348</v>
      </c>
      <c r="ET29" s="92">
        <v>2787</v>
      </c>
      <c r="EU29" s="90">
        <v>2942</v>
      </c>
      <c r="EV29" s="91">
        <f t="shared" si="47"/>
        <v>5.561535701471116</v>
      </c>
      <c r="FA29" s="59"/>
      <c r="FD29" s="59"/>
    </row>
    <row r="30" spans="1:176" x14ac:dyDescent="0.5">
      <c r="A30" s="168"/>
      <c r="B30" s="168" t="s">
        <v>54</v>
      </c>
      <c r="C30" s="277">
        <v>16072</v>
      </c>
      <c r="D30" s="277">
        <v>15393</v>
      </c>
      <c r="E30" s="167">
        <f t="shared" si="79"/>
        <v>-4.2247386759581884</v>
      </c>
      <c r="F30" s="277">
        <v>14026</v>
      </c>
      <c r="G30" s="277">
        <v>15393</v>
      </c>
      <c r="H30" s="167">
        <f t="shared" si="48"/>
        <v>9.7461856552117485</v>
      </c>
      <c r="I30" s="168"/>
      <c r="J30" s="168" t="s">
        <v>54</v>
      </c>
      <c r="K30" s="277">
        <v>17839</v>
      </c>
      <c r="L30" s="277">
        <v>14026</v>
      </c>
      <c r="M30" s="167">
        <f t="shared" si="80"/>
        <v>-21.374516508772913</v>
      </c>
      <c r="N30" s="277">
        <v>12523</v>
      </c>
      <c r="O30" s="277">
        <v>14026</v>
      </c>
      <c r="P30" s="167">
        <f t="shared" si="49"/>
        <v>12.001916473688414</v>
      </c>
      <c r="Q30" s="313"/>
      <c r="R30" s="313" t="s">
        <v>54</v>
      </c>
      <c r="S30" s="277">
        <v>17797</v>
      </c>
      <c r="T30" s="315">
        <v>12523</v>
      </c>
      <c r="U30" s="314">
        <f t="shared" si="64"/>
        <v>-29.634208012586388</v>
      </c>
      <c r="V30" s="315">
        <v>12457</v>
      </c>
      <c r="W30" s="315">
        <v>12523</v>
      </c>
      <c r="X30" s="314">
        <f t="shared" si="65"/>
        <v>0.52982258970859764</v>
      </c>
      <c r="Y30" s="313"/>
      <c r="Z30" s="313" t="s">
        <v>54</v>
      </c>
      <c r="AA30" s="277">
        <v>17572</v>
      </c>
      <c r="AB30" s="315">
        <v>12457</v>
      </c>
      <c r="AC30" s="314">
        <f t="shared" si="66"/>
        <v>-29.108809469610748</v>
      </c>
      <c r="AD30" s="315">
        <v>10344</v>
      </c>
      <c r="AE30" s="315">
        <v>12457</v>
      </c>
      <c r="AF30" s="314">
        <f t="shared" si="67"/>
        <v>20.427300850734724</v>
      </c>
      <c r="AG30" s="313"/>
      <c r="AH30" s="313" t="s">
        <v>54</v>
      </c>
      <c r="AI30" s="277">
        <v>17427</v>
      </c>
      <c r="AJ30" s="315">
        <v>10344</v>
      </c>
      <c r="AK30" s="314">
        <f t="shared" si="68"/>
        <v>-40.643828541917713</v>
      </c>
      <c r="AL30" s="315">
        <v>8032</v>
      </c>
      <c r="AM30" s="315">
        <v>10344</v>
      </c>
      <c r="AN30" s="314">
        <f t="shared" si="69"/>
        <v>28.784860557768926</v>
      </c>
      <c r="AO30" s="313"/>
      <c r="AP30" s="313" t="s">
        <v>54</v>
      </c>
      <c r="AQ30" s="277">
        <v>12630</v>
      </c>
      <c r="AR30" s="315">
        <v>8032</v>
      </c>
      <c r="AS30" s="314">
        <f t="shared" si="70"/>
        <v>-36.405384006334124</v>
      </c>
      <c r="AT30" s="315">
        <v>9729</v>
      </c>
      <c r="AU30" s="315">
        <v>8032</v>
      </c>
      <c r="AV30" s="314">
        <f t="shared" si="71"/>
        <v>-17.442697091170729</v>
      </c>
      <c r="AW30" s="313"/>
      <c r="AX30" s="313" t="s">
        <v>54</v>
      </c>
      <c r="AY30" s="277">
        <v>16291</v>
      </c>
      <c r="AZ30" s="315">
        <v>9729</v>
      </c>
      <c r="BA30" s="314">
        <f t="shared" si="72"/>
        <v>-40.279909152292674</v>
      </c>
      <c r="BB30" s="315">
        <v>9409</v>
      </c>
      <c r="BC30" s="315">
        <v>9729</v>
      </c>
      <c r="BD30" s="314">
        <f t="shared" si="73"/>
        <v>3.4009990434690192</v>
      </c>
      <c r="BE30" s="313"/>
      <c r="BF30" s="313" t="s">
        <v>54</v>
      </c>
      <c r="BG30" s="315">
        <v>15204</v>
      </c>
      <c r="BH30" s="315">
        <v>9409</v>
      </c>
      <c r="BI30" s="314">
        <f t="shared" si="74"/>
        <v>-38.114969744804</v>
      </c>
      <c r="BJ30" s="315">
        <v>7567</v>
      </c>
      <c r="BK30" s="315">
        <v>9409</v>
      </c>
      <c r="BL30" s="314">
        <f t="shared" si="75"/>
        <v>24.342539976212503</v>
      </c>
      <c r="BM30" s="313"/>
      <c r="BN30" s="313" t="s">
        <v>54</v>
      </c>
      <c r="BO30" s="315">
        <v>12291</v>
      </c>
      <c r="BP30" s="315">
        <v>7567</v>
      </c>
      <c r="BQ30" s="314">
        <f t="shared" si="76"/>
        <v>-38.434626962818328</v>
      </c>
      <c r="BR30" s="315">
        <v>8132</v>
      </c>
      <c r="BS30" s="315">
        <v>7567</v>
      </c>
      <c r="BT30" s="314">
        <f t="shared" si="77"/>
        <v>-6.9478603049680272</v>
      </c>
      <c r="BU30" s="59"/>
      <c r="BV30" s="313" t="s">
        <v>55</v>
      </c>
      <c r="BW30" s="292">
        <v>86650</v>
      </c>
      <c r="BX30" s="292">
        <v>93714</v>
      </c>
      <c r="BY30" s="314">
        <f t="shared" si="50"/>
        <v>8.1523369878822844</v>
      </c>
      <c r="BZ30" s="292">
        <f t="shared" si="78"/>
        <v>92440</v>
      </c>
      <c r="CA30" s="292">
        <v>93714</v>
      </c>
      <c r="CB30" s="314">
        <f t="shared" si="51"/>
        <v>1.3781912591951537</v>
      </c>
      <c r="CC30" s="59"/>
      <c r="CD30" s="165" t="s">
        <v>2</v>
      </c>
      <c r="CE30" s="165" t="s">
        <v>55</v>
      </c>
      <c r="CF30" s="291">
        <f>'ธ.ค.  '!CL31</f>
        <v>89146</v>
      </c>
      <c r="CG30" s="277">
        <v>92440</v>
      </c>
      <c r="CH30" s="293">
        <f t="shared" si="52"/>
        <v>3.6950620330693469</v>
      </c>
      <c r="CI30" s="291">
        <v>81025</v>
      </c>
      <c r="CJ30" s="291">
        <f t="shared" si="43"/>
        <v>92440</v>
      </c>
      <c r="CK30" s="293">
        <f t="shared" si="44"/>
        <v>14.088244369021908</v>
      </c>
      <c r="CL30" s="73"/>
      <c r="CM30" s="165" t="s">
        <v>2</v>
      </c>
      <c r="CN30" s="165" t="s">
        <v>55</v>
      </c>
      <c r="CO30" s="166">
        <v>87961</v>
      </c>
      <c r="CP30" s="166">
        <v>81025</v>
      </c>
      <c r="CQ30" s="167">
        <f t="shared" si="53"/>
        <v>-7.8853128090858453</v>
      </c>
      <c r="CR30" s="166">
        <v>87062</v>
      </c>
      <c r="CS30" s="166">
        <v>81025</v>
      </c>
      <c r="CT30" s="167">
        <f t="shared" si="45"/>
        <v>-6.934138889527004</v>
      </c>
      <c r="CU30" s="73"/>
      <c r="CV30" s="216" t="s">
        <v>2</v>
      </c>
      <c r="CW30" s="216" t="s">
        <v>55</v>
      </c>
      <c r="CX30" s="217">
        <v>86297</v>
      </c>
      <c r="CY30" s="217">
        <v>86697</v>
      </c>
      <c r="CZ30" s="218">
        <f t="shared" si="54"/>
        <v>0.46351553356431863</v>
      </c>
      <c r="DA30" s="217">
        <v>53591</v>
      </c>
      <c r="DB30" s="217">
        <v>86697</v>
      </c>
      <c r="DC30" s="218">
        <f t="shared" si="55"/>
        <v>61.775298091097383</v>
      </c>
      <c r="DD30" s="73"/>
      <c r="DE30" s="165" t="s">
        <v>2</v>
      </c>
      <c r="DF30" s="165" t="s">
        <v>55</v>
      </c>
      <c r="DG30" s="166">
        <v>35046</v>
      </c>
      <c r="DH30" s="166">
        <v>53591</v>
      </c>
      <c r="DI30" s="167">
        <f t="shared" si="56"/>
        <v>52.916167322946983</v>
      </c>
      <c r="DJ30" s="166">
        <v>68082</v>
      </c>
      <c r="DK30" s="166">
        <v>53591</v>
      </c>
      <c r="DL30" s="167">
        <f t="shared" si="57"/>
        <v>-21.284627361123352</v>
      </c>
      <c r="DM30" s="73"/>
      <c r="DN30" s="135" t="s">
        <v>2</v>
      </c>
      <c r="DO30" s="135" t="s">
        <v>55</v>
      </c>
      <c r="DP30" s="136">
        <v>71025</v>
      </c>
      <c r="DQ30" s="136">
        <v>68082</v>
      </c>
      <c r="DR30" s="137">
        <f t="shared" si="58"/>
        <v>-4.1436114044350578</v>
      </c>
      <c r="DS30" s="136">
        <v>58525</v>
      </c>
      <c r="DT30" s="136">
        <v>68082</v>
      </c>
      <c r="DU30" s="137">
        <f t="shared" si="59"/>
        <v>16.329773601025202</v>
      </c>
      <c r="DV30" s="73"/>
      <c r="DW30" s="86" t="s">
        <v>2</v>
      </c>
      <c r="DX30" s="86" t="s">
        <v>55</v>
      </c>
      <c r="DY30" s="87">
        <v>53600</v>
      </c>
      <c r="DZ30" s="87">
        <v>58525</v>
      </c>
      <c r="EA30" s="88">
        <f t="shared" si="60"/>
        <v>9.1884328358208958</v>
      </c>
      <c r="EB30" s="87">
        <v>49454</v>
      </c>
      <c r="EC30" s="87">
        <v>58525</v>
      </c>
      <c r="ED30" s="88">
        <f t="shared" si="61"/>
        <v>18.342297892991468</v>
      </c>
      <c r="EE30" s="117"/>
      <c r="EF30" s="63" t="s">
        <v>2</v>
      </c>
      <c r="EG30" s="63" t="s">
        <v>55</v>
      </c>
      <c r="EH30" s="68">
        <v>43273</v>
      </c>
      <c r="EI30" s="68">
        <v>49454</v>
      </c>
      <c r="EJ30" s="65">
        <f t="shared" si="62"/>
        <v>14.283733505881266</v>
      </c>
      <c r="EK30" s="68">
        <v>58510</v>
      </c>
      <c r="EL30" s="68">
        <v>49454</v>
      </c>
      <c r="EM30" s="65">
        <f t="shared" si="63"/>
        <v>-15.477696120321314</v>
      </c>
      <c r="EN30" s="73"/>
      <c r="EO30" s="86" t="s">
        <v>2</v>
      </c>
      <c r="EP30" s="86" t="s">
        <v>55</v>
      </c>
      <c r="EQ30" s="87">
        <v>68313</v>
      </c>
      <c r="ER30" s="87">
        <v>58502</v>
      </c>
      <c r="ES30" s="88">
        <f t="shared" si="46"/>
        <v>-14.361834497094259</v>
      </c>
      <c r="ET30" s="87">
        <v>40708</v>
      </c>
      <c r="EU30" s="87">
        <v>58502</v>
      </c>
      <c r="EV30" s="88">
        <f t="shared" si="47"/>
        <v>43.711309816252339</v>
      </c>
      <c r="FA30" s="59"/>
      <c r="FD30" s="59"/>
    </row>
    <row r="31" spans="1:176" x14ac:dyDescent="0.5">
      <c r="A31" s="165" t="s">
        <v>2</v>
      </c>
      <c r="B31" s="165" t="s">
        <v>55</v>
      </c>
      <c r="C31" s="292">
        <v>76346</v>
      </c>
      <c r="D31" s="292">
        <v>62321</v>
      </c>
      <c r="E31" s="167">
        <f t="shared" si="79"/>
        <v>-18.370314096350825</v>
      </c>
      <c r="F31" s="292">
        <v>86716</v>
      </c>
      <c r="G31" s="292">
        <v>62321</v>
      </c>
      <c r="H31" s="167">
        <f t="shared" si="48"/>
        <v>-28.132063287051984</v>
      </c>
      <c r="I31" s="165" t="s">
        <v>2</v>
      </c>
      <c r="J31" s="165" t="s">
        <v>55</v>
      </c>
      <c r="K31" s="292">
        <v>90305</v>
      </c>
      <c r="L31" s="292">
        <v>86716</v>
      </c>
      <c r="M31" s="167">
        <f t="shared" si="80"/>
        <v>-3.9743092852001554</v>
      </c>
      <c r="N31" s="292">
        <v>86786</v>
      </c>
      <c r="O31" s="292">
        <v>86716</v>
      </c>
      <c r="P31" s="167">
        <f t="shared" si="49"/>
        <v>-8.0658170672689142E-2</v>
      </c>
      <c r="Q31" s="313" t="s">
        <v>2</v>
      </c>
      <c r="R31" s="313" t="s">
        <v>55</v>
      </c>
      <c r="S31" s="292">
        <v>111605</v>
      </c>
      <c r="T31" s="292">
        <v>86786</v>
      </c>
      <c r="U31" s="314">
        <f t="shared" si="64"/>
        <v>-22.238250974418708</v>
      </c>
      <c r="V31" s="292">
        <v>69833</v>
      </c>
      <c r="W31" s="292">
        <v>86786</v>
      </c>
      <c r="X31" s="314">
        <f t="shared" si="65"/>
        <v>24.276488193261063</v>
      </c>
      <c r="Y31" s="313" t="s">
        <v>2</v>
      </c>
      <c r="Z31" s="313" t="s">
        <v>55</v>
      </c>
      <c r="AA31" s="292">
        <v>101307</v>
      </c>
      <c r="AB31" s="292">
        <v>69833</v>
      </c>
      <c r="AC31" s="314">
        <f t="shared" si="66"/>
        <v>-31.067941998085029</v>
      </c>
      <c r="AD31" s="292">
        <v>74132</v>
      </c>
      <c r="AE31" s="292">
        <v>69833</v>
      </c>
      <c r="AF31" s="314">
        <f t="shared" si="67"/>
        <v>-5.7991150919980576</v>
      </c>
      <c r="AG31" s="313" t="s">
        <v>2</v>
      </c>
      <c r="AH31" s="313" t="s">
        <v>55</v>
      </c>
      <c r="AI31" s="292">
        <v>68481</v>
      </c>
      <c r="AJ31" s="292">
        <v>74132</v>
      </c>
      <c r="AK31" s="314">
        <f t="shared" si="68"/>
        <v>8.2519238912983166</v>
      </c>
      <c r="AL31" s="292">
        <v>65295</v>
      </c>
      <c r="AM31" s="292">
        <v>74132</v>
      </c>
      <c r="AN31" s="314">
        <f t="shared" si="69"/>
        <v>13.533961252775864</v>
      </c>
      <c r="AO31" s="313" t="s">
        <v>2</v>
      </c>
      <c r="AP31" s="313" t="s">
        <v>55</v>
      </c>
      <c r="AQ31" s="292">
        <v>72265</v>
      </c>
      <c r="AR31" s="292">
        <v>65295</v>
      </c>
      <c r="AS31" s="314">
        <f t="shared" si="70"/>
        <v>-9.6450563896768848</v>
      </c>
      <c r="AT31" s="292">
        <v>81583</v>
      </c>
      <c r="AU31" s="292">
        <v>65295</v>
      </c>
      <c r="AV31" s="314">
        <f t="shared" si="71"/>
        <v>-19.964943676991531</v>
      </c>
      <c r="AW31" s="313" t="s">
        <v>2</v>
      </c>
      <c r="AX31" s="313" t="s">
        <v>55</v>
      </c>
      <c r="AY31" s="292">
        <v>95407</v>
      </c>
      <c r="AZ31" s="292">
        <v>81583</v>
      </c>
      <c r="BA31" s="314">
        <f t="shared" si="72"/>
        <v>-14.489502866665967</v>
      </c>
      <c r="BB31" s="292">
        <v>82067</v>
      </c>
      <c r="BC31" s="292">
        <v>81583</v>
      </c>
      <c r="BD31" s="314">
        <f t="shared" si="73"/>
        <v>-0.58976202371233266</v>
      </c>
      <c r="BE31" s="313" t="s">
        <v>2</v>
      </c>
      <c r="BF31" s="313" t="s">
        <v>55</v>
      </c>
      <c r="BG31" s="292">
        <v>95834</v>
      </c>
      <c r="BH31" s="292">
        <v>82067</v>
      </c>
      <c r="BI31" s="314">
        <f t="shared" si="74"/>
        <v>-14.365465283719766</v>
      </c>
      <c r="BJ31" s="292">
        <v>80097</v>
      </c>
      <c r="BK31" s="292">
        <v>82067</v>
      </c>
      <c r="BL31" s="314">
        <f t="shared" si="75"/>
        <v>2.4595178346255167</v>
      </c>
      <c r="BM31" s="313" t="s">
        <v>2</v>
      </c>
      <c r="BN31" s="313" t="s">
        <v>55</v>
      </c>
      <c r="BO31" s="292">
        <v>86120</v>
      </c>
      <c r="BP31" s="292">
        <v>80097</v>
      </c>
      <c r="BQ31" s="314">
        <f t="shared" si="76"/>
        <v>-6.9937296795169539</v>
      </c>
      <c r="BR31" s="292">
        <v>93714</v>
      </c>
      <c r="BS31" s="292">
        <v>80097</v>
      </c>
      <c r="BT31" s="314">
        <f t="shared" si="77"/>
        <v>-14.530379665791665</v>
      </c>
      <c r="BU31" s="59"/>
      <c r="BV31" s="313" t="s">
        <v>56</v>
      </c>
      <c r="BW31" s="316">
        <v>46414.76</v>
      </c>
      <c r="BX31" s="316">
        <v>50582.23</v>
      </c>
      <c r="BY31" s="314">
        <f t="shared" si="50"/>
        <v>8.9787602047279815</v>
      </c>
      <c r="BZ31" s="316">
        <f t="shared" si="78"/>
        <v>41151.4</v>
      </c>
      <c r="CA31" s="316">
        <v>50582.23</v>
      </c>
      <c r="CB31" s="314">
        <f t="shared" si="51"/>
        <v>22.917397707003897</v>
      </c>
      <c r="CC31" s="59"/>
      <c r="CD31" s="168"/>
      <c r="CE31" s="168" t="s">
        <v>56</v>
      </c>
      <c r="CF31" s="295">
        <f>'ธ.ค.  '!CL32</f>
        <v>39256.44</v>
      </c>
      <c r="CG31" s="296">
        <v>41151.4</v>
      </c>
      <c r="CH31" s="293">
        <f t="shared" si="52"/>
        <v>4.8271315483523187</v>
      </c>
      <c r="CI31" s="295">
        <v>37411.07</v>
      </c>
      <c r="CJ31" s="295">
        <f t="shared" si="43"/>
        <v>41151.4</v>
      </c>
      <c r="CK31" s="293">
        <f t="shared" si="44"/>
        <v>9.997923074640747</v>
      </c>
      <c r="CL31" s="73"/>
      <c r="CM31" s="168"/>
      <c r="CN31" s="168" t="s">
        <v>56</v>
      </c>
      <c r="CO31" s="170">
        <v>40462.89</v>
      </c>
      <c r="CP31" s="170">
        <v>37411.07</v>
      </c>
      <c r="CQ31" s="167">
        <f t="shared" si="53"/>
        <v>-7.5422689778214052</v>
      </c>
      <c r="CR31" s="170">
        <v>39594.129999999997</v>
      </c>
      <c r="CS31" s="170">
        <v>37411.07</v>
      </c>
      <c r="CT31" s="167">
        <f t="shared" si="45"/>
        <v>-5.5135950707844774</v>
      </c>
      <c r="CU31" s="73"/>
      <c r="CV31" s="219"/>
      <c r="CW31" s="219" t="s">
        <v>56</v>
      </c>
      <c r="CX31" s="221">
        <v>40767.17</v>
      </c>
      <c r="CY31" s="221">
        <v>39484.93</v>
      </c>
      <c r="CZ31" s="218">
        <f t="shared" si="54"/>
        <v>-3.1452759659304239</v>
      </c>
      <c r="DA31" s="221">
        <v>24855.85</v>
      </c>
      <c r="DB31" s="221">
        <v>39484.93</v>
      </c>
      <c r="DC31" s="218">
        <f t="shared" si="55"/>
        <v>58.855681861614073</v>
      </c>
      <c r="DD31" s="73"/>
      <c r="DE31" s="168"/>
      <c r="DF31" s="168" t="s">
        <v>56</v>
      </c>
      <c r="DG31" s="170">
        <v>17048.54</v>
      </c>
      <c r="DH31" s="170">
        <v>24855.85</v>
      </c>
      <c r="DI31" s="167">
        <f t="shared" si="56"/>
        <v>45.794595900880644</v>
      </c>
      <c r="DJ31" s="170">
        <v>29195.65</v>
      </c>
      <c r="DK31" s="170">
        <v>24855.85</v>
      </c>
      <c r="DL31" s="167">
        <f t="shared" si="57"/>
        <v>-14.864543176808883</v>
      </c>
      <c r="DM31" s="73"/>
      <c r="DN31" s="138"/>
      <c r="DO31" s="138" t="s">
        <v>56</v>
      </c>
      <c r="DP31" s="140">
        <v>29872.69</v>
      </c>
      <c r="DQ31" s="140">
        <v>29195.65</v>
      </c>
      <c r="DR31" s="137">
        <f t="shared" si="58"/>
        <v>-2.2664179221891207</v>
      </c>
      <c r="DS31" s="140">
        <v>28132.39</v>
      </c>
      <c r="DT31" s="140">
        <v>29195.65</v>
      </c>
      <c r="DU31" s="137">
        <f t="shared" si="59"/>
        <v>3.7794869188149391</v>
      </c>
      <c r="DV31" s="73"/>
      <c r="DW31" s="89"/>
      <c r="DX31" s="89" t="s">
        <v>56</v>
      </c>
      <c r="DY31" s="93">
        <v>25210.53</v>
      </c>
      <c r="DZ31" s="93">
        <v>28132.39</v>
      </c>
      <c r="EA31" s="88">
        <f t="shared" si="60"/>
        <v>11.589839642403394</v>
      </c>
      <c r="EB31" s="93">
        <v>23035.23</v>
      </c>
      <c r="EC31" s="93">
        <v>28132.39</v>
      </c>
      <c r="ED31" s="88">
        <f t="shared" si="61"/>
        <v>22.12767139724674</v>
      </c>
      <c r="EE31" s="117"/>
      <c r="EF31" s="42"/>
      <c r="EG31" s="42" t="s">
        <v>56</v>
      </c>
      <c r="EH31" s="66">
        <v>17777.349999999999</v>
      </c>
      <c r="EI31" s="66">
        <v>23035.23</v>
      </c>
      <c r="EJ31" s="65">
        <f t="shared" si="62"/>
        <v>29.576286679398233</v>
      </c>
      <c r="EK31" s="66">
        <v>26845.68</v>
      </c>
      <c r="EL31" s="66">
        <v>23035.23</v>
      </c>
      <c r="EM31" s="65">
        <f t="shared" si="63"/>
        <v>-14.193903823631961</v>
      </c>
      <c r="EN31" s="61"/>
      <c r="EO31" s="89"/>
      <c r="EP31" s="89" t="s">
        <v>56</v>
      </c>
      <c r="EQ31" s="93">
        <v>30708.67</v>
      </c>
      <c r="ER31" s="93">
        <v>26845.68</v>
      </c>
      <c r="ES31" s="91">
        <f t="shared" si="46"/>
        <v>-12.579476740607776</v>
      </c>
      <c r="ET31" s="94">
        <v>18329.87</v>
      </c>
      <c r="EU31" s="93">
        <v>26845.68</v>
      </c>
      <c r="EV31" s="91">
        <f t="shared" si="47"/>
        <v>46.458649188455794</v>
      </c>
      <c r="FA31" s="59"/>
      <c r="FD31" s="59"/>
    </row>
    <row r="32" spans="1:176" x14ac:dyDescent="0.5">
      <c r="A32" s="168"/>
      <c r="B32" s="168" t="s">
        <v>56</v>
      </c>
      <c r="C32" s="300">
        <v>52414.336032769999</v>
      </c>
      <c r="D32" s="300">
        <v>41445.304224649997</v>
      </c>
      <c r="E32" s="167">
        <f>((D32-C32)/C32)*100</f>
        <v>-20.927541276611894</v>
      </c>
      <c r="F32" s="300">
        <v>60567.427630680002</v>
      </c>
      <c r="G32" s="300">
        <v>41445.304224649997</v>
      </c>
      <c r="H32" s="167">
        <f t="shared" si="48"/>
        <v>-31.571628768238835</v>
      </c>
      <c r="I32" s="168"/>
      <c r="J32" s="168" t="s">
        <v>56</v>
      </c>
      <c r="K32" s="300">
        <v>62499.783751920018</v>
      </c>
      <c r="L32" s="300">
        <v>60567.427630679987</v>
      </c>
      <c r="M32" s="167">
        <f>((L32-K32)/K32)*100</f>
        <v>-3.0917804914495695</v>
      </c>
      <c r="N32" s="300">
        <v>52671.551747437748</v>
      </c>
      <c r="O32" s="300">
        <v>60567.427630680002</v>
      </c>
      <c r="P32" s="167">
        <f t="shared" si="49"/>
        <v>14.990778933385714</v>
      </c>
      <c r="Q32" s="313"/>
      <c r="R32" s="313" t="s">
        <v>56</v>
      </c>
      <c r="S32" s="300">
        <v>71351.548286693302</v>
      </c>
      <c r="T32" s="316">
        <v>52671.551747437748</v>
      </c>
      <c r="U32" s="314">
        <f t="shared" si="64"/>
        <v>-26.180225920534479</v>
      </c>
      <c r="V32" s="316">
        <v>42773.015169496983</v>
      </c>
      <c r="W32" s="316">
        <v>52671.551747437748</v>
      </c>
      <c r="X32" s="314">
        <f t="shared" si="65"/>
        <v>23.142012642119695</v>
      </c>
      <c r="Y32" s="313"/>
      <c r="Z32" s="313" t="s">
        <v>56</v>
      </c>
      <c r="AA32" s="300">
        <v>60988.308159750006</v>
      </c>
      <c r="AB32" s="316">
        <v>42773.015169496983</v>
      </c>
      <c r="AC32" s="314">
        <f t="shared" si="66"/>
        <v>-29.866860616203212</v>
      </c>
      <c r="AD32" s="316">
        <v>41435.206706728997</v>
      </c>
      <c r="AE32" s="316">
        <v>42773.015169496983</v>
      </c>
      <c r="AF32" s="314">
        <f t="shared" si="67"/>
        <v>3.22867573036803</v>
      </c>
      <c r="AG32" s="313"/>
      <c r="AH32" s="313" t="s">
        <v>56</v>
      </c>
      <c r="AI32" s="300">
        <v>39216.911703617377</v>
      </c>
      <c r="AJ32" s="316">
        <v>41435.206706728997</v>
      </c>
      <c r="AK32" s="314">
        <f t="shared" si="68"/>
        <v>5.65647550188661</v>
      </c>
      <c r="AL32" s="316">
        <v>32271.37</v>
      </c>
      <c r="AM32" s="316">
        <v>41435.206706728997</v>
      </c>
      <c r="AN32" s="314">
        <f t="shared" si="69"/>
        <v>28.396181217992911</v>
      </c>
      <c r="AO32" s="313"/>
      <c r="AP32" s="313" t="s">
        <v>56</v>
      </c>
      <c r="AQ32" s="300">
        <v>37595.949999999997</v>
      </c>
      <c r="AR32" s="316">
        <v>32271.37</v>
      </c>
      <c r="AS32" s="314">
        <f t="shared" si="70"/>
        <v>-14.162642518675545</v>
      </c>
      <c r="AT32" s="316">
        <v>40816.86</v>
      </c>
      <c r="AU32" s="316">
        <v>32271.37</v>
      </c>
      <c r="AV32" s="314">
        <f t="shared" si="71"/>
        <v>-20.936176864168388</v>
      </c>
      <c r="AW32" s="313"/>
      <c r="AX32" s="313" t="s">
        <v>56</v>
      </c>
      <c r="AY32" s="300">
        <v>47336.81</v>
      </c>
      <c r="AZ32" s="316">
        <v>40816.86</v>
      </c>
      <c r="BA32" s="314">
        <f t="shared" si="72"/>
        <v>-13.773530578000498</v>
      </c>
      <c r="BB32" s="316">
        <v>42014.28</v>
      </c>
      <c r="BC32" s="316">
        <v>40816.86</v>
      </c>
      <c r="BD32" s="314">
        <f t="shared" si="73"/>
        <v>-2.8500309894635785</v>
      </c>
      <c r="BE32" s="313"/>
      <c r="BF32" s="313" t="s">
        <v>56</v>
      </c>
      <c r="BG32" s="316">
        <v>49779.55</v>
      </c>
      <c r="BH32" s="316">
        <v>42014.28</v>
      </c>
      <c r="BI32" s="314">
        <f t="shared" si="74"/>
        <v>-15.599317390374168</v>
      </c>
      <c r="BJ32" s="316">
        <v>41424.68</v>
      </c>
      <c r="BK32" s="316">
        <v>42014.28</v>
      </c>
      <c r="BL32" s="314">
        <f t="shared" si="75"/>
        <v>1.4233061064080605</v>
      </c>
      <c r="BM32" s="313"/>
      <c r="BN32" s="313" t="s">
        <v>56</v>
      </c>
      <c r="BO32" s="316">
        <v>46368.25</v>
      </c>
      <c r="BP32" s="316">
        <v>41424.68</v>
      </c>
      <c r="BQ32" s="314">
        <f t="shared" si="76"/>
        <v>-10.661541032926625</v>
      </c>
      <c r="BR32" s="316">
        <v>50582.23</v>
      </c>
      <c r="BS32" s="316">
        <v>41424.68</v>
      </c>
      <c r="BT32" s="314">
        <f t="shared" si="77"/>
        <v>-18.104282867718567</v>
      </c>
      <c r="BU32" s="59"/>
      <c r="BV32" s="59"/>
      <c r="BW32" s="59"/>
      <c r="BX32" s="59"/>
      <c r="BY32" s="59"/>
      <c r="BZ32" s="59"/>
      <c r="CA32" s="59"/>
      <c r="CB32" s="59"/>
      <c r="CC32" s="59"/>
      <c r="DN32"/>
      <c r="EE32" s="116"/>
      <c r="EJ32"/>
      <c r="EM32"/>
      <c r="FA32" s="59"/>
      <c r="FD32" s="59"/>
    </row>
    <row r="33" spans="17:24" x14ac:dyDescent="0.5">
      <c r="Q33" s="59"/>
      <c r="R33" s="59"/>
      <c r="S33" s="59"/>
      <c r="T33" s="59"/>
      <c r="U33" s="59"/>
      <c r="V33" s="59"/>
      <c r="W33" s="59"/>
      <c r="X33" s="59"/>
    </row>
  </sheetData>
  <phoneticPr fontId="0" type="noConversion"/>
  <pageMargins left="0.55118110236220474" right="0.35433070866141736" top="0.98425196850393704" bottom="0.98425196850393704" header="0.51181102362204722" footer="0.51181102362204722"/>
  <pageSetup paperSize="9" scale="107" orientation="portrait" r:id="rId1"/>
  <headerFooter alignWithMargins="0"/>
  <colBreaks count="2" manualBreakCount="2">
    <brk id="56" max="28" man="1"/>
    <brk id="7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ธ.ค.  </vt:lpstr>
      <vt:lpstr>พ.ย. </vt:lpstr>
      <vt:lpstr>ต.ค.</vt:lpstr>
      <vt:lpstr>ก.ย.</vt:lpstr>
      <vt:lpstr>ส.ค.</vt:lpstr>
      <vt:lpstr>ก.ค.</vt:lpstr>
      <vt:lpstr>มิ.ย.</vt:lpstr>
      <vt:lpstr>พ.ค.</vt:lpstr>
      <vt:lpstr>เม.ย.</vt:lpstr>
      <vt:lpstr>มี.ค.</vt:lpstr>
      <vt:lpstr>ก.พ.</vt:lpstr>
      <vt:lpstr>ม.ค.</vt:lpstr>
      <vt:lpstr>เม.ย.!Print_Area</vt:lpstr>
      <vt:lpstr>ก.ค.!Print_Area</vt:lpstr>
      <vt:lpstr>ก.พ.!Print_Area</vt:lpstr>
      <vt:lpstr>ก.ย.!Print_Area</vt:lpstr>
      <vt:lpstr>ต.ค.!Print_Area</vt:lpstr>
      <vt:lpstr>'ธ.ค.  '!Print_Area</vt:lpstr>
      <vt:lpstr>พ.ค.!Print_Area</vt:lpstr>
      <vt:lpstr>'พ.ย. '!Print_Area</vt:lpstr>
      <vt:lpstr>ม.ค.!Print_Area</vt:lpstr>
      <vt:lpstr>มิ.ย.!Print_Area</vt:lpstr>
      <vt:lpstr>มี.ค.!Print_Area</vt:lpstr>
      <vt:lpstr>ส.ค.!Print_Area</vt:lpstr>
    </vt:vector>
  </TitlesOfParts>
  <Company>OIE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</dc:creator>
  <cp:lastModifiedBy>วิภากร ฤทธิสุทธิ์</cp:lastModifiedBy>
  <cp:lastPrinted>2025-12-24T06:16:25Z</cp:lastPrinted>
  <dcterms:created xsi:type="dcterms:W3CDTF">2004-05-25T07:15:48Z</dcterms:created>
  <dcterms:modified xsi:type="dcterms:W3CDTF">2026-02-24T09:25:56Z</dcterms:modified>
</cp:coreProperties>
</file>